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ldy\Documents\DATA ANALYST\MICROSOFT EXCEL\"/>
    </mc:Choice>
  </mc:AlternateContent>
  <xr:revisionPtr revIDLastSave="0" documentId="13_ncr:1_{4C8914DC-2CFA-4401-8067-1070F695E793}" xr6:coauthVersionLast="47" xr6:coauthVersionMax="47" xr10:uidLastSave="{00000000-0000-0000-0000-000000000000}"/>
  <bookViews>
    <workbookView xWindow="-120" yWindow="-120" windowWidth="20730" windowHeight="11760" firstSheet="2" activeTab="5" xr2:uid="{00000000-000D-0000-FFFF-FFFF00000000}"/>
  </bookViews>
  <sheets>
    <sheet name="Panduan &amp; Soal Latihan" sheetId="1" r:id="rId1"/>
    <sheet name="Raw_Data_Transaksi" sheetId="2" r:id="rId2"/>
    <sheet name="Master_Produk" sheetId="3" r:id="rId3"/>
    <sheet name="Master_Sales" sheetId="4" r:id="rId4"/>
    <sheet name="Lembar_Kerja_Analisis" sheetId="5" r:id="rId5"/>
    <sheet name="PT_Sales_Performance" sheetId="6" r:id="rId6"/>
  </sheets>
  <calcPr calcId="191029"/>
  <pivotCaches>
    <pivotCache cacheId="6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5" l="1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374" i="5"/>
  <c r="R375" i="5"/>
  <c r="R376" i="5"/>
  <c r="R377" i="5"/>
  <c r="R378" i="5"/>
  <c r="R379" i="5"/>
  <c r="R380" i="5"/>
  <c r="R381" i="5"/>
  <c r="R382" i="5"/>
  <c r="R383" i="5"/>
  <c r="R384" i="5"/>
  <c r="R385" i="5"/>
  <c r="R386" i="5"/>
  <c r="R387" i="5"/>
  <c r="R388" i="5"/>
  <c r="R389" i="5"/>
  <c r="R390" i="5"/>
  <c r="R391" i="5"/>
  <c r="R392" i="5"/>
  <c r="R393" i="5"/>
  <c r="R394" i="5"/>
  <c r="R395" i="5"/>
  <c r="R396" i="5"/>
  <c r="R397" i="5"/>
  <c r="R398" i="5"/>
  <c r="R399" i="5"/>
  <c r="R400" i="5"/>
  <c r="R401" i="5"/>
  <c r="R402" i="5"/>
  <c r="R403" i="5"/>
  <c r="R404" i="5"/>
  <c r="R405" i="5"/>
  <c r="R406" i="5"/>
  <c r="R407" i="5"/>
  <c r="R408" i="5"/>
  <c r="R409" i="5"/>
  <c r="R410" i="5"/>
  <c r="R411" i="5"/>
  <c r="R412" i="5"/>
  <c r="R413" i="5"/>
  <c r="R414" i="5"/>
  <c r="R415" i="5"/>
  <c r="R416" i="5"/>
  <c r="R417" i="5"/>
  <c r="R418" i="5"/>
  <c r="R419" i="5"/>
  <c r="R420" i="5"/>
  <c r="R421" i="5"/>
  <c r="R422" i="5"/>
  <c r="R423" i="5"/>
  <c r="R424" i="5"/>
  <c r="R425" i="5"/>
  <c r="R426" i="5"/>
  <c r="R427" i="5"/>
  <c r="R428" i="5"/>
  <c r="R429" i="5"/>
  <c r="R430" i="5"/>
  <c r="R431" i="5"/>
  <c r="R432" i="5"/>
  <c r="R433" i="5"/>
  <c r="R434" i="5"/>
  <c r="R435" i="5"/>
  <c r="R436" i="5"/>
  <c r="R437" i="5"/>
  <c r="R438" i="5"/>
  <c r="R439" i="5"/>
  <c r="R440" i="5"/>
  <c r="R441" i="5"/>
  <c r="R442" i="5"/>
  <c r="R443" i="5"/>
  <c r="R444" i="5"/>
  <c r="R445" i="5"/>
  <c r="R446" i="5"/>
  <c r="R447" i="5"/>
  <c r="R448" i="5"/>
  <c r="R449" i="5"/>
  <c r="R450" i="5"/>
  <c r="R451" i="5"/>
  <c r="R452" i="5"/>
  <c r="R453" i="5"/>
  <c r="R454" i="5"/>
  <c r="R455" i="5"/>
  <c r="R456" i="5"/>
  <c r="R457" i="5"/>
  <c r="R458" i="5"/>
  <c r="R459" i="5"/>
  <c r="R460" i="5"/>
  <c r="R461" i="5"/>
  <c r="R462" i="5"/>
  <c r="R463" i="5"/>
  <c r="R464" i="5"/>
  <c r="R465" i="5"/>
  <c r="R466" i="5"/>
  <c r="R467" i="5"/>
  <c r="R468" i="5"/>
  <c r="R469" i="5"/>
  <c r="R470" i="5"/>
  <c r="R471" i="5"/>
  <c r="R472" i="5"/>
  <c r="R473" i="5"/>
  <c r="R474" i="5"/>
  <c r="R475" i="5"/>
  <c r="R476" i="5"/>
  <c r="R477" i="5"/>
  <c r="R478" i="5"/>
  <c r="R479" i="5"/>
  <c r="R480" i="5"/>
  <c r="R481" i="5"/>
  <c r="R482" i="5"/>
  <c r="R483" i="5"/>
  <c r="R484" i="5"/>
  <c r="R485" i="5"/>
  <c r="R486" i="5"/>
  <c r="R487" i="5"/>
  <c r="R488" i="5"/>
  <c r="R489" i="5"/>
  <c r="R490" i="5"/>
  <c r="R491" i="5"/>
  <c r="R492" i="5"/>
  <c r="R493" i="5"/>
  <c r="R494" i="5"/>
  <c r="R495" i="5"/>
  <c r="R496" i="5"/>
  <c r="R497" i="5"/>
  <c r="R498" i="5"/>
  <c r="R499" i="5"/>
  <c r="R500" i="5"/>
  <c r="R501" i="5"/>
  <c r="R502" i="5"/>
  <c r="R503" i="5"/>
  <c r="R504" i="5"/>
  <c r="R505" i="5"/>
  <c r="R506" i="5"/>
  <c r="R507" i="5"/>
  <c r="R508" i="5"/>
  <c r="R509" i="5"/>
  <c r="R510" i="5"/>
  <c r="R511" i="5"/>
  <c r="R512" i="5"/>
  <c r="R513" i="5"/>
  <c r="R514" i="5"/>
  <c r="R515" i="5"/>
  <c r="R516" i="5"/>
  <c r="R517" i="5"/>
  <c r="R518" i="5"/>
  <c r="R519" i="5"/>
  <c r="R520" i="5"/>
  <c r="R521" i="5"/>
  <c r="R522" i="5"/>
  <c r="R523" i="5"/>
  <c r="R524" i="5"/>
  <c r="R525" i="5"/>
  <c r="R526" i="5"/>
  <c r="R527" i="5"/>
  <c r="R528" i="5"/>
  <c r="R529" i="5"/>
  <c r="R530" i="5"/>
  <c r="R531" i="5"/>
  <c r="R532" i="5"/>
  <c r="R533" i="5"/>
  <c r="R534" i="5"/>
  <c r="R535" i="5"/>
  <c r="R536" i="5"/>
  <c r="R537" i="5"/>
  <c r="R538" i="5"/>
  <c r="R539" i="5"/>
  <c r="R540" i="5"/>
  <c r="R541" i="5"/>
  <c r="R542" i="5"/>
  <c r="R543" i="5"/>
  <c r="R544" i="5"/>
  <c r="R545" i="5"/>
  <c r="R546" i="5"/>
  <c r="R547" i="5"/>
  <c r="R548" i="5"/>
  <c r="R549" i="5"/>
  <c r="R550" i="5"/>
  <c r="R551" i="5"/>
  <c r="R552" i="5"/>
  <c r="R553" i="5"/>
  <c r="R554" i="5"/>
  <c r="R555" i="5"/>
  <c r="R556" i="5"/>
  <c r="R557" i="5"/>
  <c r="R558" i="5"/>
  <c r="R559" i="5"/>
  <c r="R560" i="5"/>
  <c r="R561" i="5"/>
  <c r="R562" i="5"/>
  <c r="R563" i="5"/>
  <c r="R564" i="5"/>
  <c r="R565" i="5"/>
  <c r="R566" i="5"/>
  <c r="R567" i="5"/>
  <c r="R568" i="5"/>
  <c r="R569" i="5"/>
  <c r="R570" i="5"/>
  <c r="R571" i="5"/>
  <c r="R572" i="5"/>
  <c r="R573" i="5"/>
  <c r="R574" i="5"/>
  <c r="R575" i="5"/>
  <c r="R576" i="5"/>
  <c r="R577" i="5"/>
  <c r="R578" i="5"/>
  <c r="R579" i="5"/>
  <c r="R580" i="5"/>
  <c r="R581" i="5"/>
  <c r="R582" i="5"/>
  <c r="R583" i="5"/>
  <c r="R584" i="5"/>
  <c r="R585" i="5"/>
  <c r="R586" i="5"/>
  <c r="R587" i="5"/>
  <c r="R588" i="5"/>
  <c r="R589" i="5"/>
  <c r="R590" i="5"/>
  <c r="R591" i="5"/>
  <c r="R592" i="5"/>
  <c r="R593" i="5"/>
  <c r="R594" i="5"/>
  <c r="R595" i="5"/>
  <c r="R596" i="5"/>
  <c r="R597" i="5"/>
  <c r="R598" i="5"/>
  <c r="R599" i="5"/>
  <c r="R600" i="5"/>
  <c r="R601" i="5"/>
  <c r="R602" i="5"/>
  <c r="R603" i="5"/>
  <c r="R604" i="5"/>
  <c r="R605" i="5"/>
  <c r="R606" i="5"/>
  <c r="R607" i="5"/>
  <c r="R608" i="5"/>
  <c r="R609" i="5"/>
  <c r="R610" i="5"/>
  <c r="R611" i="5"/>
  <c r="R612" i="5"/>
  <c r="R613" i="5"/>
  <c r="R614" i="5"/>
  <c r="R615" i="5"/>
  <c r="R616" i="5"/>
  <c r="R617" i="5"/>
  <c r="R618" i="5"/>
  <c r="R619" i="5"/>
  <c r="R620" i="5"/>
  <c r="R621" i="5"/>
  <c r="R622" i="5"/>
  <c r="R623" i="5"/>
  <c r="R624" i="5"/>
  <c r="R625" i="5"/>
  <c r="R626" i="5"/>
  <c r="R627" i="5"/>
  <c r="R628" i="5"/>
  <c r="R629" i="5"/>
  <c r="R630" i="5"/>
  <c r="R631" i="5"/>
  <c r="R632" i="5"/>
  <c r="R633" i="5"/>
  <c r="R634" i="5"/>
  <c r="R635" i="5"/>
  <c r="R636" i="5"/>
  <c r="R637" i="5"/>
  <c r="R638" i="5"/>
  <c r="R639" i="5"/>
  <c r="R640" i="5"/>
  <c r="R641" i="5"/>
  <c r="R642" i="5"/>
  <c r="R643" i="5"/>
  <c r="R644" i="5"/>
  <c r="R645" i="5"/>
  <c r="R646" i="5"/>
  <c r="R647" i="5"/>
  <c r="R648" i="5"/>
  <c r="R649" i="5"/>
  <c r="R650" i="5"/>
  <c r="R651" i="5"/>
  <c r="R652" i="5"/>
  <c r="R653" i="5"/>
  <c r="R654" i="5"/>
  <c r="R655" i="5"/>
  <c r="R656" i="5"/>
  <c r="R657" i="5"/>
  <c r="R658" i="5"/>
  <c r="R659" i="5"/>
  <c r="R660" i="5"/>
  <c r="R661" i="5"/>
  <c r="R662" i="5"/>
  <c r="R663" i="5"/>
  <c r="R664" i="5"/>
  <c r="R665" i="5"/>
  <c r="R666" i="5"/>
  <c r="R667" i="5"/>
  <c r="R668" i="5"/>
  <c r="R669" i="5"/>
  <c r="R670" i="5"/>
  <c r="R671" i="5"/>
  <c r="R672" i="5"/>
  <c r="R673" i="5"/>
  <c r="R674" i="5"/>
  <c r="R675" i="5"/>
  <c r="R676" i="5"/>
  <c r="R677" i="5"/>
  <c r="R678" i="5"/>
  <c r="R679" i="5"/>
  <c r="R680" i="5"/>
  <c r="R681" i="5"/>
  <c r="R682" i="5"/>
  <c r="R683" i="5"/>
  <c r="R684" i="5"/>
  <c r="R685" i="5"/>
  <c r="R686" i="5"/>
  <c r="R687" i="5"/>
  <c r="R688" i="5"/>
  <c r="R689" i="5"/>
  <c r="R690" i="5"/>
  <c r="R691" i="5"/>
  <c r="R692" i="5"/>
  <c r="R693" i="5"/>
  <c r="R694" i="5"/>
  <c r="R695" i="5"/>
  <c r="R696" i="5"/>
  <c r="R697" i="5"/>
  <c r="R698" i="5"/>
  <c r="R699" i="5"/>
  <c r="R700" i="5"/>
  <c r="R701" i="5"/>
  <c r="R702" i="5"/>
  <c r="R703" i="5"/>
  <c r="R704" i="5"/>
  <c r="R705" i="5"/>
  <c r="R706" i="5"/>
  <c r="R707" i="5"/>
  <c r="R708" i="5"/>
  <c r="R709" i="5"/>
  <c r="R710" i="5"/>
  <c r="R711" i="5"/>
  <c r="R712" i="5"/>
  <c r="R713" i="5"/>
  <c r="R714" i="5"/>
  <c r="R715" i="5"/>
  <c r="R716" i="5"/>
  <c r="R717" i="5"/>
  <c r="R718" i="5"/>
  <c r="R719" i="5"/>
  <c r="R720" i="5"/>
  <c r="R721" i="5"/>
  <c r="R722" i="5"/>
  <c r="R723" i="5"/>
  <c r="R724" i="5"/>
  <c r="R725" i="5"/>
  <c r="R726" i="5"/>
  <c r="R727" i="5"/>
  <c r="R728" i="5"/>
  <c r="R729" i="5"/>
  <c r="R730" i="5"/>
  <c r="R731" i="5"/>
  <c r="R732" i="5"/>
  <c r="R733" i="5"/>
  <c r="R734" i="5"/>
  <c r="R735" i="5"/>
  <c r="R736" i="5"/>
  <c r="R737" i="5"/>
  <c r="R738" i="5"/>
  <c r="R739" i="5"/>
  <c r="R740" i="5"/>
  <c r="R741" i="5"/>
  <c r="R742" i="5"/>
  <c r="R743" i="5"/>
  <c r="R744" i="5"/>
  <c r="R745" i="5"/>
  <c r="R746" i="5"/>
  <c r="R747" i="5"/>
  <c r="R748" i="5"/>
  <c r="R749" i="5"/>
  <c r="R750" i="5"/>
  <c r="R751" i="5"/>
  <c r="R752" i="5"/>
  <c r="R753" i="5"/>
  <c r="R754" i="5"/>
  <c r="R755" i="5"/>
  <c r="R756" i="5"/>
  <c r="R757" i="5"/>
  <c r="R758" i="5"/>
  <c r="R759" i="5"/>
  <c r="R760" i="5"/>
  <c r="R761" i="5"/>
  <c r="R762" i="5"/>
  <c r="R763" i="5"/>
  <c r="R764" i="5"/>
  <c r="R765" i="5"/>
  <c r="R766" i="5"/>
  <c r="R767" i="5"/>
  <c r="R768" i="5"/>
  <c r="R769" i="5"/>
  <c r="R770" i="5"/>
  <c r="R771" i="5"/>
  <c r="R772" i="5"/>
  <c r="R773" i="5"/>
  <c r="R774" i="5"/>
  <c r="R775" i="5"/>
  <c r="R776" i="5"/>
  <c r="R777" i="5"/>
  <c r="R778" i="5"/>
  <c r="R779" i="5"/>
  <c r="R780" i="5"/>
  <c r="R781" i="5"/>
  <c r="R782" i="5"/>
  <c r="R783" i="5"/>
  <c r="R784" i="5"/>
  <c r="R785" i="5"/>
  <c r="R786" i="5"/>
  <c r="R787" i="5"/>
  <c r="R788" i="5"/>
  <c r="R789" i="5"/>
  <c r="R790" i="5"/>
  <c r="R791" i="5"/>
  <c r="R792" i="5"/>
  <c r="R793" i="5"/>
  <c r="R794" i="5"/>
  <c r="R795" i="5"/>
  <c r="R796" i="5"/>
  <c r="R797" i="5"/>
  <c r="R798" i="5"/>
  <c r="R799" i="5"/>
  <c r="R800" i="5"/>
  <c r="R801" i="5"/>
  <c r="R802" i="5"/>
  <c r="R803" i="5"/>
  <c r="R804" i="5"/>
  <c r="R805" i="5"/>
  <c r="R806" i="5"/>
  <c r="R807" i="5"/>
  <c r="R808" i="5"/>
  <c r="R809" i="5"/>
  <c r="R810" i="5"/>
  <c r="R811" i="5"/>
  <c r="R812" i="5"/>
  <c r="R813" i="5"/>
  <c r="R814" i="5"/>
  <c r="R815" i="5"/>
  <c r="R816" i="5"/>
  <c r="R817" i="5"/>
  <c r="R818" i="5"/>
  <c r="R819" i="5"/>
  <c r="R820" i="5"/>
  <c r="R821" i="5"/>
  <c r="R822" i="5"/>
  <c r="R823" i="5"/>
  <c r="R824" i="5"/>
  <c r="R825" i="5"/>
  <c r="R826" i="5"/>
  <c r="R827" i="5"/>
  <c r="R828" i="5"/>
  <c r="R829" i="5"/>
  <c r="R830" i="5"/>
  <c r="R831" i="5"/>
  <c r="R832" i="5"/>
  <c r="R833" i="5"/>
  <c r="R834" i="5"/>
  <c r="R835" i="5"/>
  <c r="R836" i="5"/>
  <c r="R837" i="5"/>
  <c r="R838" i="5"/>
  <c r="R839" i="5"/>
  <c r="R840" i="5"/>
  <c r="R841" i="5"/>
  <c r="R842" i="5"/>
  <c r="R843" i="5"/>
  <c r="R844" i="5"/>
  <c r="R845" i="5"/>
  <c r="R846" i="5"/>
  <c r="R847" i="5"/>
  <c r="R848" i="5"/>
  <c r="R849" i="5"/>
  <c r="R850" i="5"/>
  <c r="R851" i="5"/>
  <c r="R852" i="5"/>
  <c r="R853" i="5"/>
  <c r="R854" i="5"/>
  <c r="R855" i="5"/>
  <c r="R856" i="5"/>
  <c r="R857" i="5"/>
  <c r="R858" i="5"/>
  <c r="R859" i="5"/>
  <c r="R860" i="5"/>
  <c r="R861" i="5"/>
  <c r="R862" i="5"/>
  <c r="R863" i="5"/>
  <c r="R864" i="5"/>
  <c r="R865" i="5"/>
  <c r="R866" i="5"/>
  <c r="R867" i="5"/>
  <c r="R868" i="5"/>
  <c r="R869" i="5"/>
  <c r="R870" i="5"/>
  <c r="R871" i="5"/>
  <c r="R872" i="5"/>
  <c r="R873" i="5"/>
  <c r="R874" i="5"/>
  <c r="R875" i="5"/>
  <c r="R876" i="5"/>
  <c r="R877" i="5"/>
  <c r="R878" i="5"/>
  <c r="R879" i="5"/>
  <c r="R880" i="5"/>
  <c r="R881" i="5"/>
  <c r="R882" i="5"/>
  <c r="R883" i="5"/>
  <c r="R884" i="5"/>
  <c r="R885" i="5"/>
  <c r="R886" i="5"/>
  <c r="R887" i="5"/>
  <c r="R888" i="5"/>
  <c r="R889" i="5"/>
  <c r="R890" i="5"/>
  <c r="R891" i="5"/>
  <c r="R892" i="5"/>
  <c r="R893" i="5"/>
  <c r="R894" i="5"/>
  <c r="R895" i="5"/>
  <c r="R896" i="5"/>
  <c r="R897" i="5"/>
  <c r="R898" i="5"/>
  <c r="R899" i="5"/>
  <c r="R900" i="5"/>
  <c r="R901" i="5"/>
  <c r="R902" i="5"/>
  <c r="R903" i="5"/>
  <c r="R904" i="5"/>
  <c r="R905" i="5"/>
  <c r="R906" i="5"/>
  <c r="R907" i="5"/>
  <c r="R908" i="5"/>
  <c r="R909" i="5"/>
  <c r="R910" i="5"/>
  <c r="R911" i="5"/>
  <c r="R912" i="5"/>
  <c r="R913" i="5"/>
  <c r="R914" i="5"/>
  <c r="R915" i="5"/>
  <c r="R916" i="5"/>
  <c r="R917" i="5"/>
  <c r="R918" i="5"/>
  <c r="R919" i="5"/>
  <c r="R920" i="5"/>
  <c r="R921" i="5"/>
  <c r="R922" i="5"/>
  <c r="R923" i="5"/>
  <c r="R924" i="5"/>
  <c r="R925" i="5"/>
  <c r="R926" i="5"/>
  <c r="R927" i="5"/>
  <c r="R928" i="5"/>
  <c r="R929" i="5"/>
  <c r="R930" i="5"/>
  <c r="R931" i="5"/>
  <c r="R932" i="5"/>
  <c r="R933" i="5"/>
  <c r="R934" i="5"/>
  <c r="R935" i="5"/>
  <c r="R936" i="5"/>
  <c r="R937" i="5"/>
  <c r="R938" i="5"/>
  <c r="R939" i="5"/>
  <c r="R940" i="5"/>
  <c r="R941" i="5"/>
  <c r="R942" i="5"/>
  <c r="R943" i="5"/>
  <c r="R944" i="5"/>
  <c r="R945" i="5"/>
  <c r="R946" i="5"/>
  <c r="R947" i="5"/>
  <c r="R948" i="5"/>
  <c r="R949" i="5"/>
  <c r="R950" i="5"/>
  <c r="R951" i="5"/>
  <c r="R952" i="5"/>
  <c r="R953" i="5"/>
  <c r="R954" i="5"/>
  <c r="R955" i="5"/>
  <c r="R956" i="5"/>
  <c r="R957" i="5"/>
  <c r="R958" i="5"/>
  <c r="R959" i="5"/>
  <c r="R960" i="5"/>
  <c r="R961" i="5"/>
  <c r="R962" i="5"/>
  <c r="R963" i="5"/>
  <c r="R964" i="5"/>
  <c r="R965" i="5"/>
  <c r="R966" i="5"/>
  <c r="R967" i="5"/>
  <c r="R968" i="5"/>
  <c r="R969" i="5"/>
  <c r="R970" i="5"/>
  <c r="R971" i="5"/>
  <c r="R972" i="5"/>
  <c r="R973" i="5"/>
  <c r="R974" i="5"/>
  <c r="R975" i="5"/>
  <c r="R976" i="5"/>
  <c r="R977" i="5"/>
  <c r="R978" i="5"/>
  <c r="R979" i="5"/>
  <c r="R980" i="5"/>
  <c r="R981" i="5"/>
  <c r="R982" i="5"/>
  <c r="R983" i="5"/>
  <c r="R984" i="5"/>
  <c r="R985" i="5"/>
  <c r="R986" i="5"/>
  <c r="R987" i="5"/>
  <c r="R988" i="5"/>
  <c r="R989" i="5"/>
  <c r="R990" i="5"/>
  <c r="R991" i="5"/>
  <c r="R992" i="5"/>
  <c r="R993" i="5"/>
  <c r="R994" i="5"/>
  <c r="R995" i="5"/>
  <c r="R996" i="5"/>
  <c r="R997" i="5"/>
  <c r="R998" i="5"/>
  <c r="R999" i="5"/>
  <c r="R1000" i="5"/>
  <c r="R1001" i="5"/>
  <c r="R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Q502" i="5"/>
  <c r="Q503" i="5"/>
  <c r="Q504" i="5"/>
  <c r="Q505" i="5"/>
  <c r="Q506" i="5"/>
  <c r="Q507" i="5"/>
  <c r="Q508" i="5"/>
  <c r="Q509" i="5"/>
  <c r="Q510" i="5"/>
  <c r="Q511" i="5"/>
  <c r="Q512" i="5"/>
  <c r="Q513" i="5"/>
  <c r="Q514" i="5"/>
  <c r="Q515" i="5"/>
  <c r="Q516" i="5"/>
  <c r="Q517" i="5"/>
  <c r="Q518" i="5"/>
  <c r="Q519" i="5"/>
  <c r="Q520" i="5"/>
  <c r="Q521" i="5"/>
  <c r="Q522" i="5"/>
  <c r="Q523" i="5"/>
  <c r="Q524" i="5"/>
  <c r="Q525" i="5"/>
  <c r="Q526" i="5"/>
  <c r="Q527" i="5"/>
  <c r="Q528" i="5"/>
  <c r="Q529" i="5"/>
  <c r="Q530" i="5"/>
  <c r="Q531" i="5"/>
  <c r="Q532" i="5"/>
  <c r="Q533" i="5"/>
  <c r="Q534" i="5"/>
  <c r="Q535" i="5"/>
  <c r="Q536" i="5"/>
  <c r="Q537" i="5"/>
  <c r="Q538" i="5"/>
  <c r="Q539" i="5"/>
  <c r="Q540" i="5"/>
  <c r="Q541" i="5"/>
  <c r="Q542" i="5"/>
  <c r="Q543" i="5"/>
  <c r="Q544" i="5"/>
  <c r="Q545" i="5"/>
  <c r="Q546" i="5"/>
  <c r="Q547" i="5"/>
  <c r="Q548" i="5"/>
  <c r="Q549" i="5"/>
  <c r="Q550" i="5"/>
  <c r="Q551" i="5"/>
  <c r="Q552" i="5"/>
  <c r="Q553" i="5"/>
  <c r="Q554" i="5"/>
  <c r="Q555" i="5"/>
  <c r="Q556" i="5"/>
  <c r="Q557" i="5"/>
  <c r="Q558" i="5"/>
  <c r="Q559" i="5"/>
  <c r="Q560" i="5"/>
  <c r="Q561" i="5"/>
  <c r="Q562" i="5"/>
  <c r="Q563" i="5"/>
  <c r="Q564" i="5"/>
  <c r="Q565" i="5"/>
  <c r="Q566" i="5"/>
  <c r="Q567" i="5"/>
  <c r="Q568" i="5"/>
  <c r="Q569" i="5"/>
  <c r="Q570" i="5"/>
  <c r="Q571" i="5"/>
  <c r="Q572" i="5"/>
  <c r="Q573" i="5"/>
  <c r="Q574" i="5"/>
  <c r="Q575" i="5"/>
  <c r="Q576" i="5"/>
  <c r="Q577" i="5"/>
  <c r="Q578" i="5"/>
  <c r="Q579" i="5"/>
  <c r="Q580" i="5"/>
  <c r="Q581" i="5"/>
  <c r="Q582" i="5"/>
  <c r="Q583" i="5"/>
  <c r="Q584" i="5"/>
  <c r="Q585" i="5"/>
  <c r="Q586" i="5"/>
  <c r="Q587" i="5"/>
  <c r="Q588" i="5"/>
  <c r="Q589" i="5"/>
  <c r="Q590" i="5"/>
  <c r="Q591" i="5"/>
  <c r="Q592" i="5"/>
  <c r="Q593" i="5"/>
  <c r="Q594" i="5"/>
  <c r="Q595" i="5"/>
  <c r="Q596" i="5"/>
  <c r="Q597" i="5"/>
  <c r="Q598" i="5"/>
  <c r="Q599" i="5"/>
  <c r="Q600" i="5"/>
  <c r="Q601" i="5"/>
  <c r="Q602" i="5"/>
  <c r="Q603" i="5"/>
  <c r="Q604" i="5"/>
  <c r="Q605" i="5"/>
  <c r="Q606" i="5"/>
  <c r="Q607" i="5"/>
  <c r="Q608" i="5"/>
  <c r="Q609" i="5"/>
  <c r="Q610" i="5"/>
  <c r="Q611" i="5"/>
  <c r="Q612" i="5"/>
  <c r="Q613" i="5"/>
  <c r="Q614" i="5"/>
  <c r="Q615" i="5"/>
  <c r="Q616" i="5"/>
  <c r="Q617" i="5"/>
  <c r="Q618" i="5"/>
  <c r="Q619" i="5"/>
  <c r="Q620" i="5"/>
  <c r="Q621" i="5"/>
  <c r="Q622" i="5"/>
  <c r="Q623" i="5"/>
  <c r="Q624" i="5"/>
  <c r="Q625" i="5"/>
  <c r="Q626" i="5"/>
  <c r="Q627" i="5"/>
  <c r="Q628" i="5"/>
  <c r="Q629" i="5"/>
  <c r="Q630" i="5"/>
  <c r="Q631" i="5"/>
  <c r="Q632" i="5"/>
  <c r="Q633" i="5"/>
  <c r="Q634" i="5"/>
  <c r="Q635" i="5"/>
  <c r="Q636" i="5"/>
  <c r="Q637" i="5"/>
  <c r="Q638" i="5"/>
  <c r="Q639" i="5"/>
  <c r="Q640" i="5"/>
  <c r="Q641" i="5"/>
  <c r="Q642" i="5"/>
  <c r="Q643" i="5"/>
  <c r="Q644" i="5"/>
  <c r="Q645" i="5"/>
  <c r="Q646" i="5"/>
  <c r="Q647" i="5"/>
  <c r="Q648" i="5"/>
  <c r="Q649" i="5"/>
  <c r="Q650" i="5"/>
  <c r="Q651" i="5"/>
  <c r="Q652" i="5"/>
  <c r="Q653" i="5"/>
  <c r="Q654" i="5"/>
  <c r="Q655" i="5"/>
  <c r="Q656" i="5"/>
  <c r="Q657" i="5"/>
  <c r="Q658" i="5"/>
  <c r="Q659" i="5"/>
  <c r="Q660" i="5"/>
  <c r="Q661" i="5"/>
  <c r="Q662" i="5"/>
  <c r="Q663" i="5"/>
  <c r="Q664" i="5"/>
  <c r="Q665" i="5"/>
  <c r="Q666" i="5"/>
  <c r="Q667" i="5"/>
  <c r="Q668" i="5"/>
  <c r="Q669" i="5"/>
  <c r="Q670" i="5"/>
  <c r="Q671" i="5"/>
  <c r="Q672" i="5"/>
  <c r="Q673" i="5"/>
  <c r="Q674" i="5"/>
  <c r="Q675" i="5"/>
  <c r="Q676" i="5"/>
  <c r="Q677" i="5"/>
  <c r="Q678" i="5"/>
  <c r="Q679" i="5"/>
  <c r="Q680" i="5"/>
  <c r="Q681" i="5"/>
  <c r="Q682" i="5"/>
  <c r="Q683" i="5"/>
  <c r="Q684" i="5"/>
  <c r="Q685" i="5"/>
  <c r="Q686" i="5"/>
  <c r="Q687" i="5"/>
  <c r="Q688" i="5"/>
  <c r="Q689" i="5"/>
  <c r="Q690" i="5"/>
  <c r="Q691" i="5"/>
  <c r="Q692" i="5"/>
  <c r="Q693" i="5"/>
  <c r="Q694" i="5"/>
  <c r="Q695" i="5"/>
  <c r="Q696" i="5"/>
  <c r="Q697" i="5"/>
  <c r="Q698" i="5"/>
  <c r="Q699" i="5"/>
  <c r="Q700" i="5"/>
  <c r="Q701" i="5"/>
  <c r="Q702" i="5"/>
  <c r="Q703" i="5"/>
  <c r="Q704" i="5"/>
  <c r="Q705" i="5"/>
  <c r="Q706" i="5"/>
  <c r="Q707" i="5"/>
  <c r="Q708" i="5"/>
  <c r="Q709" i="5"/>
  <c r="Q710" i="5"/>
  <c r="Q711" i="5"/>
  <c r="Q712" i="5"/>
  <c r="Q713" i="5"/>
  <c r="Q714" i="5"/>
  <c r="Q715" i="5"/>
  <c r="Q716" i="5"/>
  <c r="Q717" i="5"/>
  <c r="Q718" i="5"/>
  <c r="Q719" i="5"/>
  <c r="Q720" i="5"/>
  <c r="Q721" i="5"/>
  <c r="Q722" i="5"/>
  <c r="Q723" i="5"/>
  <c r="Q724" i="5"/>
  <c r="Q725" i="5"/>
  <c r="Q726" i="5"/>
  <c r="Q727" i="5"/>
  <c r="Q728" i="5"/>
  <c r="Q729" i="5"/>
  <c r="Q730" i="5"/>
  <c r="Q731" i="5"/>
  <c r="Q732" i="5"/>
  <c r="Q733" i="5"/>
  <c r="Q734" i="5"/>
  <c r="Q735" i="5"/>
  <c r="Q736" i="5"/>
  <c r="Q737" i="5"/>
  <c r="Q738" i="5"/>
  <c r="Q739" i="5"/>
  <c r="Q740" i="5"/>
  <c r="Q741" i="5"/>
  <c r="Q742" i="5"/>
  <c r="Q743" i="5"/>
  <c r="Q744" i="5"/>
  <c r="Q745" i="5"/>
  <c r="Q746" i="5"/>
  <c r="Q747" i="5"/>
  <c r="Q748" i="5"/>
  <c r="Q749" i="5"/>
  <c r="Q750" i="5"/>
  <c r="Q751" i="5"/>
  <c r="Q752" i="5"/>
  <c r="Q753" i="5"/>
  <c r="Q754" i="5"/>
  <c r="Q755" i="5"/>
  <c r="Q756" i="5"/>
  <c r="Q757" i="5"/>
  <c r="Q758" i="5"/>
  <c r="Q759" i="5"/>
  <c r="Q760" i="5"/>
  <c r="Q761" i="5"/>
  <c r="Q762" i="5"/>
  <c r="Q763" i="5"/>
  <c r="Q764" i="5"/>
  <c r="Q765" i="5"/>
  <c r="Q766" i="5"/>
  <c r="Q767" i="5"/>
  <c r="Q768" i="5"/>
  <c r="Q769" i="5"/>
  <c r="Q770" i="5"/>
  <c r="Q771" i="5"/>
  <c r="Q772" i="5"/>
  <c r="Q773" i="5"/>
  <c r="Q774" i="5"/>
  <c r="Q775" i="5"/>
  <c r="Q776" i="5"/>
  <c r="Q777" i="5"/>
  <c r="Q778" i="5"/>
  <c r="Q779" i="5"/>
  <c r="Q780" i="5"/>
  <c r="Q781" i="5"/>
  <c r="Q782" i="5"/>
  <c r="Q783" i="5"/>
  <c r="Q784" i="5"/>
  <c r="Q785" i="5"/>
  <c r="Q786" i="5"/>
  <c r="Q787" i="5"/>
  <c r="Q788" i="5"/>
  <c r="Q789" i="5"/>
  <c r="Q790" i="5"/>
  <c r="Q791" i="5"/>
  <c r="Q792" i="5"/>
  <c r="Q793" i="5"/>
  <c r="Q794" i="5"/>
  <c r="Q795" i="5"/>
  <c r="Q796" i="5"/>
  <c r="Q797" i="5"/>
  <c r="Q798" i="5"/>
  <c r="Q799" i="5"/>
  <c r="Q800" i="5"/>
  <c r="Q801" i="5"/>
  <c r="Q802" i="5"/>
  <c r="Q803" i="5"/>
  <c r="Q804" i="5"/>
  <c r="Q805" i="5"/>
  <c r="Q806" i="5"/>
  <c r="Q807" i="5"/>
  <c r="Q808" i="5"/>
  <c r="Q809" i="5"/>
  <c r="Q810" i="5"/>
  <c r="Q811" i="5"/>
  <c r="Q812" i="5"/>
  <c r="Q813" i="5"/>
  <c r="Q814" i="5"/>
  <c r="Q815" i="5"/>
  <c r="Q816" i="5"/>
  <c r="Q817" i="5"/>
  <c r="Q818" i="5"/>
  <c r="Q819" i="5"/>
  <c r="Q820" i="5"/>
  <c r="Q821" i="5"/>
  <c r="Q822" i="5"/>
  <c r="Q823" i="5"/>
  <c r="Q824" i="5"/>
  <c r="Q825" i="5"/>
  <c r="Q826" i="5"/>
  <c r="Q827" i="5"/>
  <c r="Q828" i="5"/>
  <c r="Q829" i="5"/>
  <c r="Q830" i="5"/>
  <c r="Q831" i="5"/>
  <c r="Q832" i="5"/>
  <c r="Q833" i="5"/>
  <c r="Q834" i="5"/>
  <c r="Q835" i="5"/>
  <c r="Q836" i="5"/>
  <c r="Q837" i="5"/>
  <c r="Q838" i="5"/>
  <c r="Q839" i="5"/>
  <c r="Q840" i="5"/>
  <c r="Q841" i="5"/>
  <c r="Q842" i="5"/>
  <c r="Q843" i="5"/>
  <c r="Q844" i="5"/>
  <c r="Q845" i="5"/>
  <c r="Q846" i="5"/>
  <c r="Q847" i="5"/>
  <c r="Q848" i="5"/>
  <c r="Q849" i="5"/>
  <c r="Q850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891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947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989" i="5"/>
  <c r="Q990" i="5"/>
  <c r="Q991" i="5"/>
  <c r="Q992" i="5"/>
  <c r="Q993" i="5"/>
  <c r="Q994" i="5"/>
  <c r="Q995" i="5"/>
  <c r="Q996" i="5"/>
  <c r="Q997" i="5"/>
  <c r="Q998" i="5"/>
  <c r="Q999" i="5"/>
  <c r="Q1000" i="5"/>
  <c r="Q1001" i="5"/>
  <c r="Q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509" i="5"/>
  <c r="P510" i="5"/>
  <c r="P511" i="5"/>
  <c r="P512" i="5"/>
  <c r="P513" i="5"/>
  <c r="P514" i="5"/>
  <c r="P515" i="5"/>
  <c r="P516" i="5"/>
  <c r="P517" i="5"/>
  <c r="P518" i="5"/>
  <c r="P519" i="5"/>
  <c r="P520" i="5"/>
  <c r="P521" i="5"/>
  <c r="P522" i="5"/>
  <c r="P523" i="5"/>
  <c r="P524" i="5"/>
  <c r="P525" i="5"/>
  <c r="P526" i="5"/>
  <c r="P527" i="5"/>
  <c r="P528" i="5"/>
  <c r="P529" i="5"/>
  <c r="P530" i="5"/>
  <c r="P531" i="5"/>
  <c r="P532" i="5"/>
  <c r="P533" i="5"/>
  <c r="P534" i="5"/>
  <c r="P535" i="5"/>
  <c r="P536" i="5"/>
  <c r="P537" i="5"/>
  <c r="P538" i="5"/>
  <c r="P539" i="5"/>
  <c r="P540" i="5"/>
  <c r="P541" i="5"/>
  <c r="P542" i="5"/>
  <c r="P543" i="5"/>
  <c r="P544" i="5"/>
  <c r="P545" i="5"/>
  <c r="P546" i="5"/>
  <c r="P547" i="5"/>
  <c r="P548" i="5"/>
  <c r="P549" i="5"/>
  <c r="P550" i="5"/>
  <c r="P551" i="5"/>
  <c r="P552" i="5"/>
  <c r="P553" i="5"/>
  <c r="P554" i="5"/>
  <c r="P555" i="5"/>
  <c r="P556" i="5"/>
  <c r="P557" i="5"/>
  <c r="P558" i="5"/>
  <c r="P559" i="5"/>
  <c r="P560" i="5"/>
  <c r="P561" i="5"/>
  <c r="P562" i="5"/>
  <c r="P563" i="5"/>
  <c r="P564" i="5"/>
  <c r="P565" i="5"/>
  <c r="P566" i="5"/>
  <c r="P567" i="5"/>
  <c r="P568" i="5"/>
  <c r="P569" i="5"/>
  <c r="P570" i="5"/>
  <c r="P571" i="5"/>
  <c r="P572" i="5"/>
  <c r="P573" i="5"/>
  <c r="P574" i="5"/>
  <c r="P575" i="5"/>
  <c r="P576" i="5"/>
  <c r="P577" i="5"/>
  <c r="P578" i="5"/>
  <c r="P579" i="5"/>
  <c r="P580" i="5"/>
  <c r="P581" i="5"/>
  <c r="P582" i="5"/>
  <c r="P583" i="5"/>
  <c r="P584" i="5"/>
  <c r="P585" i="5"/>
  <c r="P586" i="5"/>
  <c r="P587" i="5"/>
  <c r="P588" i="5"/>
  <c r="P589" i="5"/>
  <c r="P590" i="5"/>
  <c r="P591" i="5"/>
  <c r="P592" i="5"/>
  <c r="P593" i="5"/>
  <c r="P594" i="5"/>
  <c r="P595" i="5"/>
  <c r="P596" i="5"/>
  <c r="P597" i="5"/>
  <c r="P598" i="5"/>
  <c r="P599" i="5"/>
  <c r="P600" i="5"/>
  <c r="P601" i="5"/>
  <c r="P602" i="5"/>
  <c r="P603" i="5"/>
  <c r="P604" i="5"/>
  <c r="P605" i="5"/>
  <c r="P606" i="5"/>
  <c r="P607" i="5"/>
  <c r="P608" i="5"/>
  <c r="P609" i="5"/>
  <c r="P610" i="5"/>
  <c r="P611" i="5"/>
  <c r="P612" i="5"/>
  <c r="P613" i="5"/>
  <c r="P614" i="5"/>
  <c r="P615" i="5"/>
  <c r="P616" i="5"/>
  <c r="P617" i="5"/>
  <c r="P618" i="5"/>
  <c r="P619" i="5"/>
  <c r="P620" i="5"/>
  <c r="P621" i="5"/>
  <c r="P622" i="5"/>
  <c r="P623" i="5"/>
  <c r="P624" i="5"/>
  <c r="P625" i="5"/>
  <c r="P626" i="5"/>
  <c r="P627" i="5"/>
  <c r="P628" i="5"/>
  <c r="P629" i="5"/>
  <c r="P630" i="5"/>
  <c r="P631" i="5"/>
  <c r="P632" i="5"/>
  <c r="P633" i="5"/>
  <c r="P634" i="5"/>
  <c r="P635" i="5"/>
  <c r="P636" i="5"/>
  <c r="P637" i="5"/>
  <c r="P638" i="5"/>
  <c r="P639" i="5"/>
  <c r="P640" i="5"/>
  <c r="P641" i="5"/>
  <c r="P642" i="5"/>
  <c r="P643" i="5"/>
  <c r="P644" i="5"/>
  <c r="P645" i="5"/>
  <c r="P646" i="5"/>
  <c r="P647" i="5"/>
  <c r="P648" i="5"/>
  <c r="P649" i="5"/>
  <c r="P650" i="5"/>
  <c r="P651" i="5"/>
  <c r="P652" i="5"/>
  <c r="P653" i="5"/>
  <c r="P654" i="5"/>
  <c r="P655" i="5"/>
  <c r="P656" i="5"/>
  <c r="P657" i="5"/>
  <c r="P658" i="5"/>
  <c r="P659" i="5"/>
  <c r="P660" i="5"/>
  <c r="P661" i="5"/>
  <c r="P662" i="5"/>
  <c r="P663" i="5"/>
  <c r="P664" i="5"/>
  <c r="P665" i="5"/>
  <c r="P666" i="5"/>
  <c r="P667" i="5"/>
  <c r="P668" i="5"/>
  <c r="P669" i="5"/>
  <c r="P670" i="5"/>
  <c r="P671" i="5"/>
  <c r="P672" i="5"/>
  <c r="P673" i="5"/>
  <c r="P674" i="5"/>
  <c r="P675" i="5"/>
  <c r="P676" i="5"/>
  <c r="P677" i="5"/>
  <c r="P678" i="5"/>
  <c r="P679" i="5"/>
  <c r="P680" i="5"/>
  <c r="P681" i="5"/>
  <c r="P682" i="5"/>
  <c r="P683" i="5"/>
  <c r="P684" i="5"/>
  <c r="P685" i="5"/>
  <c r="P686" i="5"/>
  <c r="P687" i="5"/>
  <c r="P688" i="5"/>
  <c r="P689" i="5"/>
  <c r="P690" i="5"/>
  <c r="P691" i="5"/>
  <c r="P692" i="5"/>
  <c r="P693" i="5"/>
  <c r="P694" i="5"/>
  <c r="P695" i="5"/>
  <c r="P696" i="5"/>
  <c r="P697" i="5"/>
  <c r="P698" i="5"/>
  <c r="P699" i="5"/>
  <c r="P700" i="5"/>
  <c r="P701" i="5"/>
  <c r="P702" i="5"/>
  <c r="P703" i="5"/>
  <c r="P704" i="5"/>
  <c r="P705" i="5"/>
  <c r="P706" i="5"/>
  <c r="P707" i="5"/>
  <c r="P708" i="5"/>
  <c r="P709" i="5"/>
  <c r="P710" i="5"/>
  <c r="P711" i="5"/>
  <c r="P712" i="5"/>
  <c r="P713" i="5"/>
  <c r="P714" i="5"/>
  <c r="P715" i="5"/>
  <c r="P716" i="5"/>
  <c r="P717" i="5"/>
  <c r="P718" i="5"/>
  <c r="P719" i="5"/>
  <c r="P720" i="5"/>
  <c r="P721" i="5"/>
  <c r="P722" i="5"/>
  <c r="P723" i="5"/>
  <c r="P724" i="5"/>
  <c r="P725" i="5"/>
  <c r="P726" i="5"/>
  <c r="P727" i="5"/>
  <c r="P728" i="5"/>
  <c r="P729" i="5"/>
  <c r="P730" i="5"/>
  <c r="P731" i="5"/>
  <c r="P732" i="5"/>
  <c r="P733" i="5"/>
  <c r="P734" i="5"/>
  <c r="P735" i="5"/>
  <c r="P736" i="5"/>
  <c r="P737" i="5"/>
  <c r="P738" i="5"/>
  <c r="P739" i="5"/>
  <c r="P740" i="5"/>
  <c r="P741" i="5"/>
  <c r="P742" i="5"/>
  <c r="P743" i="5"/>
  <c r="P744" i="5"/>
  <c r="P745" i="5"/>
  <c r="P746" i="5"/>
  <c r="P747" i="5"/>
  <c r="P748" i="5"/>
  <c r="P749" i="5"/>
  <c r="P750" i="5"/>
  <c r="P751" i="5"/>
  <c r="P752" i="5"/>
  <c r="P753" i="5"/>
  <c r="P754" i="5"/>
  <c r="P755" i="5"/>
  <c r="P756" i="5"/>
  <c r="P757" i="5"/>
  <c r="P758" i="5"/>
  <c r="P759" i="5"/>
  <c r="P760" i="5"/>
  <c r="P761" i="5"/>
  <c r="P762" i="5"/>
  <c r="P763" i="5"/>
  <c r="P764" i="5"/>
  <c r="P765" i="5"/>
  <c r="P766" i="5"/>
  <c r="P767" i="5"/>
  <c r="P768" i="5"/>
  <c r="P769" i="5"/>
  <c r="P770" i="5"/>
  <c r="P771" i="5"/>
  <c r="P772" i="5"/>
  <c r="P773" i="5"/>
  <c r="P774" i="5"/>
  <c r="P775" i="5"/>
  <c r="P776" i="5"/>
  <c r="P777" i="5"/>
  <c r="P778" i="5"/>
  <c r="P779" i="5"/>
  <c r="P780" i="5"/>
  <c r="P781" i="5"/>
  <c r="P782" i="5"/>
  <c r="P783" i="5"/>
  <c r="P784" i="5"/>
  <c r="P785" i="5"/>
  <c r="P786" i="5"/>
  <c r="P787" i="5"/>
  <c r="P788" i="5"/>
  <c r="P789" i="5"/>
  <c r="P790" i="5"/>
  <c r="P791" i="5"/>
  <c r="P792" i="5"/>
  <c r="P793" i="5"/>
  <c r="P794" i="5"/>
  <c r="P795" i="5"/>
  <c r="P796" i="5"/>
  <c r="P797" i="5"/>
  <c r="P798" i="5"/>
  <c r="P799" i="5"/>
  <c r="P800" i="5"/>
  <c r="P801" i="5"/>
  <c r="P802" i="5"/>
  <c r="P803" i="5"/>
  <c r="P804" i="5"/>
  <c r="P805" i="5"/>
  <c r="P806" i="5"/>
  <c r="P807" i="5"/>
  <c r="P808" i="5"/>
  <c r="P809" i="5"/>
  <c r="P810" i="5"/>
  <c r="P811" i="5"/>
  <c r="P812" i="5"/>
  <c r="P813" i="5"/>
  <c r="P814" i="5"/>
  <c r="P815" i="5"/>
  <c r="P816" i="5"/>
  <c r="P817" i="5"/>
  <c r="P818" i="5"/>
  <c r="P819" i="5"/>
  <c r="P820" i="5"/>
  <c r="P821" i="5"/>
  <c r="P822" i="5"/>
  <c r="P823" i="5"/>
  <c r="P824" i="5"/>
  <c r="P825" i="5"/>
  <c r="P826" i="5"/>
  <c r="P827" i="5"/>
  <c r="P828" i="5"/>
  <c r="P829" i="5"/>
  <c r="P830" i="5"/>
  <c r="P831" i="5"/>
  <c r="P832" i="5"/>
  <c r="P833" i="5"/>
  <c r="P834" i="5"/>
  <c r="P835" i="5"/>
  <c r="P836" i="5"/>
  <c r="P837" i="5"/>
  <c r="P838" i="5"/>
  <c r="P839" i="5"/>
  <c r="P840" i="5"/>
  <c r="P841" i="5"/>
  <c r="P842" i="5"/>
  <c r="P843" i="5"/>
  <c r="P844" i="5"/>
  <c r="P845" i="5"/>
  <c r="P846" i="5"/>
  <c r="P847" i="5"/>
  <c r="P848" i="5"/>
  <c r="P849" i="5"/>
  <c r="P850" i="5"/>
  <c r="P851" i="5"/>
  <c r="P852" i="5"/>
  <c r="P853" i="5"/>
  <c r="P854" i="5"/>
  <c r="P855" i="5"/>
  <c r="P856" i="5"/>
  <c r="P857" i="5"/>
  <c r="P858" i="5"/>
  <c r="P859" i="5"/>
  <c r="P860" i="5"/>
  <c r="P861" i="5"/>
  <c r="P862" i="5"/>
  <c r="P863" i="5"/>
  <c r="P864" i="5"/>
  <c r="P865" i="5"/>
  <c r="P866" i="5"/>
  <c r="P867" i="5"/>
  <c r="P868" i="5"/>
  <c r="P869" i="5"/>
  <c r="P870" i="5"/>
  <c r="P871" i="5"/>
  <c r="P872" i="5"/>
  <c r="P873" i="5"/>
  <c r="P874" i="5"/>
  <c r="P875" i="5"/>
  <c r="P876" i="5"/>
  <c r="P877" i="5"/>
  <c r="P878" i="5"/>
  <c r="P879" i="5"/>
  <c r="P880" i="5"/>
  <c r="P881" i="5"/>
  <c r="P882" i="5"/>
  <c r="P883" i="5"/>
  <c r="P884" i="5"/>
  <c r="P885" i="5"/>
  <c r="P886" i="5"/>
  <c r="P887" i="5"/>
  <c r="P888" i="5"/>
  <c r="P889" i="5"/>
  <c r="P890" i="5"/>
  <c r="P891" i="5"/>
  <c r="P892" i="5"/>
  <c r="P893" i="5"/>
  <c r="P894" i="5"/>
  <c r="P895" i="5"/>
  <c r="P896" i="5"/>
  <c r="P897" i="5"/>
  <c r="P898" i="5"/>
  <c r="P899" i="5"/>
  <c r="P900" i="5"/>
  <c r="P901" i="5"/>
  <c r="P902" i="5"/>
  <c r="P903" i="5"/>
  <c r="P904" i="5"/>
  <c r="P905" i="5"/>
  <c r="P906" i="5"/>
  <c r="P907" i="5"/>
  <c r="P908" i="5"/>
  <c r="P909" i="5"/>
  <c r="P910" i="5"/>
  <c r="P911" i="5"/>
  <c r="P912" i="5"/>
  <c r="P913" i="5"/>
  <c r="P914" i="5"/>
  <c r="P915" i="5"/>
  <c r="P916" i="5"/>
  <c r="P917" i="5"/>
  <c r="P918" i="5"/>
  <c r="P919" i="5"/>
  <c r="P920" i="5"/>
  <c r="P921" i="5"/>
  <c r="P922" i="5"/>
  <c r="P923" i="5"/>
  <c r="P924" i="5"/>
  <c r="P925" i="5"/>
  <c r="P926" i="5"/>
  <c r="P927" i="5"/>
  <c r="P928" i="5"/>
  <c r="P929" i="5"/>
  <c r="P930" i="5"/>
  <c r="P931" i="5"/>
  <c r="P932" i="5"/>
  <c r="P933" i="5"/>
  <c r="P934" i="5"/>
  <c r="P935" i="5"/>
  <c r="P936" i="5"/>
  <c r="P937" i="5"/>
  <c r="P938" i="5"/>
  <c r="P939" i="5"/>
  <c r="P940" i="5"/>
  <c r="P941" i="5"/>
  <c r="P942" i="5"/>
  <c r="P943" i="5"/>
  <c r="P944" i="5"/>
  <c r="P945" i="5"/>
  <c r="P946" i="5"/>
  <c r="P947" i="5"/>
  <c r="P948" i="5"/>
  <c r="P949" i="5"/>
  <c r="P950" i="5"/>
  <c r="P951" i="5"/>
  <c r="P952" i="5"/>
  <c r="P953" i="5"/>
  <c r="P954" i="5"/>
  <c r="P955" i="5"/>
  <c r="P956" i="5"/>
  <c r="P957" i="5"/>
  <c r="P958" i="5"/>
  <c r="P959" i="5"/>
  <c r="P960" i="5"/>
  <c r="P961" i="5"/>
  <c r="P962" i="5"/>
  <c r="P963" i="5"/>
  <c r="P964" i="5"/>
  <c r="P965" i="5"/>
  <c r="P966" i="5"/>
  <c r="P967" i="5"/>
  <c r="P968" i="5"/>
  <c r="P969" i="5"/>
  <c r="P970" i="5"/>
  <c r="P971" i="5"/>
  <c r="P972" i="5"/>
  <c r="P973" i="5"/>
  <c r="P974" i="5"/>
  <c r="P975" i="5"/>
  <c r="P976" i="5"/>
  <c r="P977" i="5"/>
  <c r="P978" i="5"/>
  <c r="P979" i="5"/>
  <c r="P980" i="5"/>
  <c r="P981" i="5"/>
  <c r="P982" i="5"/>
  <c r="P983" i="5"/>
  <c r="P984" i="5"/>
  <c r="P985" i="5"/>
  <c r="P986" i="5"/>
  <c r="P987" i="5"/>
  <c r="P988" i="5"/>
  <c r="P989" i="5"/>
  <c r="P990" i="5"/>
  <c r="P991" i="5"/>
  <c r="P992" i="5"/>
  <c r="P993" i="5"/>
  <c r="P994" i="5"/>
  <c r="P995" i="5"/>
  <c r="P996" i="5"/>
  <c r="P997" i="5"/>
  <c r="P998" i="5"/>
  <c r="P999" i="5"/>
  <c r="P1000" i="5"/>
  <c r="P1001" i="5"/>
  <c r="P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O569" i="5"/>
  <c r="O570" i="5"/>
  <c r="O571" i="5"/>
  <c r="O572" i="5"/>
  <c r="O573" i="5"/>
  <c r="O574" i="5"/>
  <c r="O575" i="5"/>
  <c r="O576" i="5"/>
  <c r="O577" i="5"/>
  <c r="O578" i="5"/>
  <c r="O579" i="5"/>
  <c r="O580" i="5"/>
  <c r="O581" i="5"/>
  <c r="O582" i="5"/>
  <c r="O583" i="5"/>
  <c r="O584" i="5"/>
  <c r="O585" i="5"/>
  <c r="O586" i="5"/>
  <c r="O587" i="5"/>
  <c r="O588" i="5"/>
  <c r="O589" i="5"/>
  <c r="O590" i="5"/>
  <c r="O591" i="5"/>
  <c r="O592" i="5"/>
  <c r="O593" i="5"/>
  <c r="O594" i="5"/>
  <c r="O595" i="5"/>
  <c r="O596" i="5"/>
  <c r="O597" i="5"/>
  <c r="O598" i="5"/>
  <c r="O599" i="5"/>
  <c r="O600" i="5"/>
  <c r="O601" i="5"/>
  <c r="O602" i="5"/>
  <c r="O603" i="5"/>
  <c r="O604" i="5"/>
  <c r="O605" i="5"/>
  <c r="O606" i="5"/>
  <c r="O607" i="5"/>
  <c r="O608" i="5"/>
  <c r="O609" i="5"/>
  <c r="O610" i="5"/>
  <c r="O611" i="5"/>
  <c r="O612" i="5"/>
  <c r="O613" i="5"/>
  <c r="O614" i="5"/>
  <c r="O615" i="5"/>
  <c r="O616" i="5"/>
  <c r="O617" i="5"/>
  <c r="O618" i="5"/>
  <c r="O619" i="5"/>
  <c r="O620" i="5"/>
  <c r="O621" i="5"/>
  <c r="O622" i="5"/>
  <c r="O623" i="5"/>
  <c r="O624" i="5"/>
  <c r="O625" i="5"/>
  <c r="O626" i="5"/>
  <c r="O627" i="5"/>
  <c r="O628" i="5"/>
  <c r="O629" i="5"/>
  <c r="O630" i="5"/>
  <c r="O631" i="5"/>
  <c r="O632" i="5"/>
  <c r="O633" i="5"/>
  <c r="O634" i="5"/>
  <c r="O635" i="5"/>
  <c r="O636" i="5"/>
  <c r="O637" i="5"/>
  <c r="O638" i="5"/>
  <c r="O639" i="5"/>
  <c r="O640" i="5"/>
  <c r="O641" i="5"/>
  <c r="O642" i="5"/>
  <c r="O643" i="5"/>
  <c r="O644" i="5"/>
  <c r="O645" i="5"/>
  <c r="O646" i="5"/>
  <c r="O647" i="5"/>
  <c r="O648" i="5"/>
  <c r="O649" i="5"/>
  <c r="O650" i="5"/>
  <c r="O651" i="5"/>
  <c r="O652" i="5"/>
  <c r="O653" i="5"/>
  <c r="O654" i="5"/>
  <c r="O655" i="5"/>
  <c r="O656" i="5"/>
  <c r="O657" i="5"/>
  <c r="O658" i="5"/>
  <c r="O659" i="5"/>
  <c r="O660" i="5"/>
  <c r="O661" i="5"/>
  <c r="O662" i="5"/>
  <c r="O663" i="5"/>
  <c r="O664" i="5"/>
  <c r="O665" i="5"/>
  <c r="O666" i="5"/>
  <c r="O667" i="5"/>
  <c r="O668" i="5"/>
  <c r="O669" i="5"/>
  <c r="O670" i="5"/>
  <c r="O671" i="5"/>
  <c r="O672" i="5"/>
  <c r="O673" i="5"/>
  <c r="O674" i="5"/>
  <c r="O675" i="5"/>
  <c r="O676" i="5"/>
  <c r="O677" i="5"/>
  <c r="O678" i="5"/>
  <c r="O679" i="5"/>
  <c r="O680" i="5"/>
  <c r="O681" i="5"/>
  <c r="O682" i="5"/>
  <c r="O683" i="5"/>
  <c r="O684" i="5"/>
  <c r="O685" i="5"/>
  <c r="O686" i="5"/>
  <c r="O687" i="5"/>
  <c r="O688" i="5"/>
  <c r="O689" i="5"/>
  <c r="O690" i="5"/>
  <c r="O691" i="5"/>
  <c r="O692" i="5"/>
  <c r="O693" i="5"/>
  <c r="O694" i="5"/>
  <c r="O695" i="5"/>
  <c r="O696" i="5"/>
  <c r="O697" i="5"/>
  <c r="O698" i="5"/>
  <c r="O699" i="5"/>
  <c r="O700" i="5"/>
  <c r="O701" i="5"/>
  <c r="O702" i="5"/>
  <c r="O703" i="5"/>
  <c r="O704" i="5"/>
  <c r="O705" i="5"/>
  <c r="O706" i="5"/>
  <c r="O707" i="5"/>
  <c r="O708" i="5"/>
  <c r="O709" i="5"/>
  <c r="O710" i="5"/>
  <c r="O711" i="5"/>
  <c r="O712" i="5"/>
  <c r="O713" i="5"/>
  <c r="O714" i="5"/>
  <c r="O715" i="5"/>
  <c r="O716" i="5"/>
  <c r="O717" i="5"/>
  <c r="O718" i="5"/>
  <c r="O719" i="5"/>
  <c r="O720" i="5"/>
  <c r="O721" i="5"/>
  <c r="O722" i="5"/>
  <c r="O723" i="5"/>
  <c r="O724" i="5"/>
  <c r="O725" i="5"/>
  <c r="O726" i="5"/>
  <c r="O727" i="5"/>
  <c r="O728" i="5"/>
  <c r="O729" i="5"/>
  <c r="O730" i="5"/>
  <c r="O731" i="5"/>
  <c r="O732" i="5"/>
  <c r="O733" i="5"/>
  <c r="O734" i="5"/>
  <c r="O735" i="5"/>
  <c r="O736" i="5"/>
  <c r="O737" i="5"/>
  <c r="O738" i="5"/>
  <c r="O739" i="5"/>
  <c r="O740" i="5"/>
  <c r="O741" i="5"/>
  <c r="O742" i="5"/>
  <c r="O743" i="5"/>
  <c r="O744" i="5"/>
  <c r="O745" i="5"/>
  <c r="O746" i="5"/>
  <c r="O747" i="5"/>
  <c r="O748" i="5"/>
  <c r="O749" i="5"/>
  <c r="O750" i="5"/>
  <c r="O751" i="5"/>
  <c r="O752" i="5"/>
  <c r="O753" i="5"/>
  <c r="O754" i="5"/>
  <c r="O755" i="5"/>
  <c r="O756" i="5"/>
  <c r="O757" i="5"/>
  <c r="O758" i="5"/>
  <c r="O759" i="5"/>
  <c r="O760" i="5"/>
  <c r="O761" i="5"/>
  <c r="O762" i="5"/>
  <c r="O763" i="5"/>
  <c r="O764" i="5"/>
  <c r="O765" i="5"/>
  <c r="O766" i="5"/>
  <c r="O767" i="5"/>
  <c r="O768" i="5"/>
  <c r="O769" i="5"/>
  <c r="O770" i="5"/>
  <c r="O771" i="5"/>
  <c r="O772" i="5"/>
  <c r="O773" i="5"/>
  <c r="O774" i="5"/>
  <c r="O775" i="5"/>
  <c r="O776" i="5"/>
  <c r="O777" i="5"/>
  <c r="O778" i="5"/>
  <c r="O779" i="5"/>
  <c r="O780" i="5"/>
  <c r="O781" i="5"/>
  <c r="O782" i="5"/>
  <c r="O783" i="5"/>
  <c r="O784" i="5"/>
  <c r="O785" i="5"/>
  <c r="O786" i="5"/>
  <c r="O787" i="5"/>
  <c r="O788" i="5"/>
  <c r="O789" i="5"/>
  <c r="O790" i="5"/>
  <c r="O791" i="5"/>
  <c r="O792" i="5"/>
  <c r="O793" i="5"/>
  <c r="O794" i="5"/>
  <c r="O795" i="5"/>
  <c r="O796" i="5"/>
  <c r="O797" i="5"/>
  <c r="O798" i="5"/>
  <c r="O799" i="5"/>
  <c r="O800" i="5"/>
  <c r="O801" i="5"/>
  <c r="O802" i="5"/>
  <c r="O803" i="5"/>
  <c r="O804" i="5"/>
  <c r="O805" i="5"/>
  <c r="O806" i="5"/>
  <c r="O807" i="5"/>
  <c r="O808" i="5"/>
  <c r="O809" i="5"/>
  <c r="O810" i="5"/>
  <c r="O811" i="5"/>
  <c r="O812" i="5"/>
  <c r="O813" i="5"/>
  <c r="O814" i="5"/>
  <c r="O815" i="5"/>
  <c r="O816" i="5"/>
  <c r="O817" i="5"/>
  <c r="O818" i="5"/>
  <c r="O819" i="5"/>
  <c r="O820" i="5"/>
  <c r="O821" i="5"/>
  <c r="O822" i="5"/>
  <c r="O823" i="5"/>
  <c r="O824" i="5"/>
  <c r="O825" i="5"/>
  <c r="O826" i="5"/>
  <c r="O827" i="5"/>
  <c r="O828" i="5"/>
  <c r="O829" i="5"/>
  <c r="O830" i="5"/>
  <c r="O831" i="5"/>
  <c r="O832" i="5"/>
  <c r="O833" i="5"/>
  <c r="O834" i="5"/>
  <c r="O835" i="5"/>
  <c r="O836" i="5"/>
  <c r="O837" i="5"/>
  <c r="O838" i="5"/>
  <c r="O839" i="5"/>
  <c r="O840" i="5"/>
  <c r="O841" i="5"/>
  <c r="O842" i="5"/>
  <c r="O843" i="5"/>
  <c r="O844" i="5"/>
  <c r="O845" i="5"/>
  <c r="O846" i="5"/>
  <c r="O847" i="5"/>
  <c r="O848" i="5"/>
  <c r="O849" i="5"/>
  <c r="O850" i="5"/>
  <c r="O851" i="5"/>
  <c r="O852" i="5"/>
  <c r="O853" i="5"/>
  <c r="O854" i="5"/>
  <c r="O855" i="5"/>
  <c r="O856" i="5"/>
  <c r="O857" i="5"/>
  <c r="O858" i="5"/>
  <c r="O859" i="5"/>
  <c r="O860" i="5"/>
  <c r="O861" i="5"/>
  <c r="O862" i="5"/>
  <c r="O863" i="5"/>
  <c r="O864" i="5"/>
  <c r="O865" i="5"/>
  <c r="O866" i="5"/>
  <c r="O867" i="5"/>
  <c r="O868" i="5"/>
  <c r="O869" i="5"/>
  <c r="O870" i="5"/>
  <c r="O871" i="5"/>
  <c r="O872" i="5"/>
  <c r="O873" i="5"/>
  <c r="O874" i="5"/>
  <c r="O875" i="5"/>
  <c r="O876" i="5"/>
  <c r="O877" i="5"/>
  <c r="O878" i="5"/>
  <c r="O879" i="5"/>
  <c r="O880" i="5"/>
  <c r="O881" i="5"/>
  <c r="O882" i="5"/>
  <c r="O883" i="5"/>
  <c r="O884" i="5"/>
  <c r="O885" i="5"/>
  <c r="O886" i="5"/>
  <c r="O887" i="5"/>
  <c r="O888" i="5"/>
  <c r="O889" i="5"/>
  <c r="O890" i="5"/>
  <c r="O891" i="5"/>
  <c r="O892" i="5"/>
  <c r="O893" i="5"/>
  <c r="O894" i="5"/>
  <c r="O895" i="5"/>
  <c r="O896" i="5"/>
  <c r="O897" i="5"/>
  <c r="O898" i="5"/>
  <c r="O899" i="5"/>
  <c r="O900" i="5"/>
  <c r="O901" i="5"/>
  <c r="O902" i="5"/>
  <c r="O903" i="5"/>
  <c r="O904" i="5"/>
  <c r="O905" i="5"/>
  <c r="O906" i="5"/>
  <c r="O907" i="5"/>
  <c r="O908" i="5"/>
  <c r="O909" i="5"/>
  <c r="O910" i="5"/>
  <c r="O911" i="5"/>
  <c r="O912" i="5"/>
  <c r="O913" i="5"/>
  <c r="O914" i="5"/>
  <c r="O915" i="5"/>
  <c r="O916" i="5"/>
  <c r="O917" i="5"/>
  <c r="O918" i="5"/>
  <c r="O919" i="5"/>
  <c r="O920" i="5"/>
  <c r="O921" i="5"/>
  <c r="O922" i="5"/>
  <c r="O923" i="5"/>
  <c r="O924" i="5"/>
  <c r="O925" i="5"/>
  <c r="O926" i="5"/>
  <c r="O927" i="5"/>
  <c r="O928" i="5"/>
  <c r="O929" i="5"/>
  <c r="O930" i="5"/>
  <c r="O931" i="5"/>
  <c r="O932" i="5"/>
  <c r="O933" i="5"/>
  <c r="O934" i="5"/>
  <c r="O935" i="5"/>
  <c r="O936" i="5"/>
  <c r="O937" i="5"/>
  <c r="O938" i="5"/>
  <c r="O939" i="5"/>
  <c r="O940" i="5"/>
  <c r="O941" i="5"/>
  <c r="O942" i="5"/>
  <c r="O943" i="5"/>
  <c r="O944" i="5"/>
  <c r="O945" i="5"/>
  <c r="O946" i="5"/>
  <c r="O947" i="5"/>
  <c r="O948" i="5"/>
  <c r="O949" i="5"/>
  <c r="O950" i="5"/>
  <c r="O951" i="5"/>
  <c r="O952" i="5"/>
  <c r="O953" i="5"/>
  <c r="O954" i="5"/>
  <c r="O955" i="5"/>
  <c r="O956" i="5"/>
  <c r="O957" i="5"/>
  <c r="O958" i="5"/>
  <c r="O959" i="5"/>
  <c r="O960" i="5"/>
  <c r="O961" i="5"/>
  <c r="O962" i="5"/>
  <c r="O963" i="5"/>
  <c r="O964" i="5"/>
  <c r="O965" i="5"/>
  <c r="O966" i="5"/>
  <c r="O967" i="5"/>
  <c r="O968" i="5"/>
  <c r="O969" i="5"/>
  <c r="O970" i="5"/>
  <c r="O971" i="5"/>
  <c r="O972" i="5"/>
  <c r="O973" i="5"/>
  <c r="O974" i="5"/>
  <c r="O975" i="5"/>
  <c r="O976" i="5"/>
  <c r="O977" i="5"/>
  <c r="O978" i="5"/>
  <c r="O979" i="5"/>
  <c r="O980" i="5"/>
  <c r="O981" i="5"/>
  <c r="O982" i="5"/>
  <c r="O983" i="5"/>
  <c r="O984" i="5"/>
  <c r="O985" i="5"/>
  <c r="O986" i="5"/>
  <c r="O987" i="5"/>
  <c r="O988" i="5"/>
  <c r="O989" i="5"/>
  <c r="O990" i="5"/>
  <c r="O991" i="5"/>
  <c r="O992" i="5"/>
  <c r="O993" i="5"/>
  <c r="O994" i="5"/>
  <c r="O995" i="5"/>
  <c r="O996" i="5"/>
  <c r="O997" i="5"/>
  <c r="O998" i="5"/>
  <c r="O999" i="5"/>
  <c r="O1000" i="5"/>
  <c r="O1001" i="5"/>
  <c r="O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2" i="5"/>
  <c r="G617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231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G73" i="5" s="1"/>
  <c r="B74" i="5"/>
  <c r="G74" i="5" s="1"/>
  <c r="B75" i="5"/>
  <c r="G75" i="5" s="1"/>
  <c r="B76" i="5"/>
  <c r="G76" i="5" s="1"/>
  <c r="B77" i="5"/>
  <c r="G77" i="5" s="1"/>
  <c r="B78" i="5"/>
  <c r="G78" i="5" s="1"/>
  <c r="B79" i="5"/>
  <c r="G79" i="5" s="1"/>
  <c r="B80" i="5"/>
  <c r="G80" i="5" s="1"/>
  <c r="B81" i="5"/>
  <c r="G81" i="5" s="1"/>
  <c r="B82" i="5"/>
  <c r="G82" i="5" s="1"/>
  <c r="B83" i="5"/>
  <c r="G83" i="5" s="1"/>
  <c r="B84" i="5"/>
  <c r="G84" i="5" s="1"/>
  <c r="B85" i="5"/>
  <c r="G85" i="5" s="1"/>
  <c r="B86" i="5"/>
  <c r="G86" i="5" s="1"/>
  <c r="B87" i="5"/>
  <c r="G87" i="5" s="1"/>
  <c r="B88" i="5"/>
  <c r="G88" i="5" s="1"/>
  <c r="B89" i="5"/>
  <c r="G89" i="5" s="1"/>
  <c r="B90" i="5"/>
  <c r="G90" i="5" s="1"/>
  <c r="B91" i="5"/>
  <c r="G91" i="5" s="1"/>
  <c r="B92" i="5"/>
  <c r="G92" i="5" s="1"/>
  <c r="B93" i="5"/>
  <c r="G93" i="5" s="1"/>
  <c r="B94" i="5"/>
  <c r="G94" i="5" s="1"/>
  <c r="B95" i="5"/>
  <c r="G95" i="5" s="1"/>
  <c r="B96" i="5"/>
  <c r="G96" i="5" s="1"/>
  <c r="B97" i="5"/>
  <c r="G97" i="5" s="1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2" i="5"/>
  <c r="G3" i="5" l="1"/>
  <c r="F3" i="5"/>
  <c r="E3" i="5"/>
  <c r="E4" i="5"/>
  <c r="G4" i="5"/>
  <c r="F4" i="5"/>
  <c r="G5" i="5"/>
  <c r="E5" i="5"/>
  <c r="F5" i="5"/>
  <c r="G6" i="5"/>
  <c r="E6" i="5"/>
  <c r="F6" i="5"/>
  <c r="G7" i="5"/>
  <c r="F7" i="5"/>
  <c r="E7" i="5"/>
  <c r="G8" i="5"/>
  <c r="E8" i="5"/>
  <c r="F8" i="5"/>
  <c r="E9" i="5"/>
  <c r="G9" i="5"/>
  <c r="F9" i="5"/>
  <c r="G10" i="5"/>
  <c r="E10" i="5"/>
  <c r="F10" i="5"/>
  <c r="G11" i="5"/>
  <c r="F11" i="5"/>
  <c r="E11" i="5"/>
  <c r="G12" i="5"/>
  <c r="F12" i="5"/>
  <c r="E12" i="5"/>
  <c r="F13" i="5"/>
  <c r="G13" i="5"/>
  <c r="E13" i="5"/>
  <c r="F14" i="5"/>
  <c r="G14" i="5"/>
  <c r="E14" i="5"/>
  <c r="G15" i="5"/>
  <c r="F15" i="5"/>
  <c r="E15" i="5"/>
  <c r="G16" i="5"/>
  <c r="F16" i="5"/>
  <c r="E16" i="5"/>
  <c r="G17" i="5"/>
  <c r="F17" i="5"/>
  <c r="E17" i="5"/>
  <c r="G18" i="5"/>
  <c r="E18" i="5"/>
  <c r="F18" i="5"/>
  <c r="G19" i="5"/>
  <c r="E19" i="5"/>
  <c r="F19" i="5"/>
  <c r="G20" i="5"/>
  <c r="E20" i="5"/>
  <c r="F20" i="5"/>
  <c r="E21" i="5"/>
  <c r="G21" i="5"/>
  <c r="F21" i="5"/>
  <c r="G22" i="5"/>
  <c r="F22" i="5"/>
  <c r="E22" i="5"/>
  <c r="E23" i="5"/>
  <c r="G23" i="5"/>
  <c r="F23" i="5"/>
  <c r="G24" i="5"/>
  <c r="E24" i="5"/>
  <c r="F24" i="5"/>
  <c r="E25" i="5"/>
  <c r="G25" i="5"/>
  <c r="F25" i="5"/>
  <c r="G26" i="5"/>
  <c r="E26" i="5"/>
  <c r="F26" i="5"/>
  <c r="F27" i="5"/>
  <c r="E27" i="5"/>
  <c r="G27" i="5"/>
  <c r="G28" i="5"/>
  <c r="F28" i="5"/>
  <c r="E28" i="5"/>
  <c r="E29" i="5"/>
  <c r="F29" i="5"/>
  <c r="G29" i="5"/>
  <c r="G30" i="5"/>
  <c r="E30" i="5"/>
  <c r="F30" i="5"/>
  <c r="F31" i="5"/>
  <c r="E31" i="5"/>
  <c r="G31" i="5"/>
  <c r="G32" i="5"/>
  <c r="F32" i="5"/>
  <c r="E32" i="5"/>
  <c r="E33" i="5"/>
  <c r="G33" i="5"/>
  <c r="F33" i="5"/>
  <c r="G34" i="5"/>
  <c r="F34" i="5"/>
  <c r="E34" i="5"/>
  <c r="G35" i="5"/>
  <c r="F35" i="5"/>
  <c r="E35" i="5"/>
  <c r="G36" i="5"/>
  <c r="F36" i="5"/>
  <c r="E36" i="5"/>
  <c r="F37" i="5"/>
  <c r="E37" i="5"/>
  <c r="G37" i="5"/>
  <c r="G38" i="5"/>
  <c r="E38" i="5"/>
  <c r="F38" i="5"/>
  <c r="F39" i="5"/>
  <c r="E39" i="5"/>
  <c r="G39" i="5"/>
  <c r="G40" i="5"/>
  <c r="F40" i="5"/>
  <c r="E40" i="5"/>
  <c r="E41" i="5"/>
  <c r="F41" i="5"/>
  <c r="G41" i="5"/>
  <c r="G42" i="5"/>
  <c r="F42" i="5"/>
  <c r="E42" i="5"/>
  <c r="G43" i="5"/>
  <c r="F43" i="5"/>
  <c r="E43" i="5"/>
  <c r="E44" i="5"/>
  <c r="F44" i="5"/>
  <c r="G44" i="5"/>
  <c r="G45" i="5"/>
  <c r="F45" i="5"/>
  <c r="E45" i="5"/>
  <c r="F46" i="5"/>
  <c r="E46" i="5"/>
  <c r="G46" i="5"/>
  <c r="F47" i="5"/>
  <c r="G47" i="5"/>
  <c r="E47" i="5"/>
  <c r="E48" i="5"/>
  <c r="F48" i="5"/>
  <c r="G48" i="5"/>
  <c r="E49" i="5"/>
  <c r="F49" i="5"/>
  <c r="G49" i="5"/>
  <c r="E50" i="5"/>
  <c r="F50" i="5"/>
  <c r="G50" i="5"/>
  <c r="E51" i="5"/>
  <c r="G51" i="5"/>
  <c r="F51" i="5"/>
  <c r="E52" i="5"/>
  <c r="F52" i="5"/>
  <c r="G52" i="5"/>
  <c r="E53" i="5"/>
  <c r="F53" i="5"/>
  <c r="G53" i="5"/>
  <c r="E54" i="5"/>
  <c r="G54" i="5"/>
  <c r="F54" i="5"/>
  <c r="G55" i="5"/>
  <c r="E55" i="5"/>
  <c r="F55" i="5"/>
  <c r="E56" i="5"/>
  <c r="G56" i="5"/>
  <c r="F56" i="5"/>
  <c r="E57" i="5"/>
  <c r="F57" i="5"/>
  <c r="G57" i="5"/>
  <c r="G58" i="5"/>
  <c r="F58" i="5"/>
  <c r="E58" i="5"/>
  <c r="E59" i="5"/>
  <c r="F59" i="5"/>
  <c r="G59" i="5"/>
  <c r="E60" i="5"/>
  <c r="F60" i="5"/>
  <c r="G60" i="5"/>
  <c r="F61" i="5"/>
  <c r="E61" i="5"/>
  <c r="G61" i="5"/>
  <c r="E62" i="5"/>
  <c r="F62" i="5"/>
  <c r="G62" i="5"/>
  <c r="F63" i="5"/>
  <c r="E63" i="5"/>
  <c r="G63" i="5"/>
  <c r="G64" i="5"/>
  <c r="E64" i="5"/>
  <c r="F64" i="5"/>
  <c r="G65" i="5"/>
  <c r="F65" i="5"/>
  <c r="E65" i="5"/>
  <c r="F66" i="5"/>
  <c r="G66" i="5"/>
  <c r="E66" i="5"/>
  <c r="F67" i="5"/>
  <c r="E67" i="5"/>
  <c r="G67" i="5"/>
  <c r="E68" i="5"/>
  <c r="G68" i="5"/>
  <c r="F68" i="5"/>
  <c r="F69" i="5"/>
  <c r="G69" i="5"/>
  <c r="E69" i="5"/>
  <c r="G70" i="5"/>
  <c r="E70" i="5"/>
  <c r="F70" i="5"/>
  <c r="E71" i="5"/>
  <c r="G71" i="5"/>
  <c r="F71" i="5"/>
  <c r="G72" i="5"/>
  <c r="E72" i="5"/>
  <c r="F72" i="5"/>
  <c r="G98" i="5"/>
  <c r="E98" i="5"/>
  <c r="G99" i="5"/>
  <c r="E99" i="5"/>
  <c r="G100" i="5"/>
  <c r="E100" i="5"/>
  <c r="G101" i="5"/>
  <c r="E101" i="5"/>
  <c r="E102" i="5"/>
  <c r="G102" i="5"/>
  <c r="F103" i="5"/>
  <c r="G103" i="5"/>
  <c r="E103" i="5"/>
  <c r="G104" i="5"/>
  <c r="F104" i="5"/>
  <c r="E104" i="5"/>
  <c r="E105" i="5"/>
  <c r="F105" i="5"/>
  <c r="G105" i="5"/>
  <c r="G106" i="5"/>
  <c r="E106" i="5"/>
  <c r="F106" i="5"/>
  <c r="E107" i="5"/>
  <c r="F107" i="5"/>
  <c r="G107" i="5"/>
  <c r="G108" i="5"/>
  <c r="E108" i="5"/>
  <c r="F108" i="5"/>
  <c r="G109" i="5"/>
  <c r="E109" i="5"/>
  <c r="F109" i="5"/>
  <c r="G110" i="5"/>
  <c r="E110" i="5"/>
  <c r="F110" i="5"/>
  <c r="G111" i="5"/>
  <c r="E111" i="5"/>
  <c r="F111" i="5"/>
  <c r="E112" i="5"/>
  <c r="F112" i="5"/>
  <c r="G112" i="5"/>
  <c r="E113" i="5"/>
  <c r="F113" i="5"/>
  <c r="G113" i="5"/>
  <c r="E114" i="5"/>
  <c r="G114" i="5"/>
  <c r="F114" i="5"/>
  <c r="E115" i="5"/>
  <c r="F115" i="5"/>
  <c r="G115" i="5"/>
  <c r="E116" i="5"/>
  <c r="F116" i="5"/>
  <c r="G116" i="5"/>
  <c r="E117" i="5"/>
  <c r="F117" i="5"/>
  <c r="G117" i="5"/>
  <c r="G118" i="5"/>
  <c r="F118" i="5"/>
  <c r="E118" i="5"/>
  <c r="F119" i="5"/>
  <c r="E119" i="5"/>
  <c r="G119" i="5"/>
  <c r="F120" i="5"/>
  <c r="E120" i="5"/>
  <c r="G120" i="5"/>
  <c r="F121" i="5"/>
  <c r="G121" i="5"/>
  <c r="E121" i="5"/>
  <c r="F122" i="5"/>
  <c r="G122" i="5"/>
  <c r="E122" i="5"/>
  <c r="F123" i="5"/>
  <c r="E123" i="5"/>
  <c r="G123" i="5"/>
  <c r="E124" i="5"/>
  <c r="F124" i="5"/>
  <c r="G124" i="5"/>
  <c r="F125" i="5"/>
  <c r="E125" i="5"/>
  <c r="G125" i="5"/>
  <c r="F126" i="5"/>
  <c r="G126" i="5"/>
  <c r="E126" i="5"/>
  <c r="E127" i="5"/>
  <c r="F127" i="5"/>
  <c r="G127" i="5"/>
  <c r="E128" i="5"/>
  <c r="G128" i="5"/>
  <c r="F128" i="5"/>
  <c r="F129" i="5"/>
  <c r="E129" i="5"/>
  <c r="G129" i="5"/>
  <c r="F130" i="5"/>
  <c r="E130" i="5"/>
  <c r="G130" i="5"/>
  <c r="E131" i="5"/>
  <c r="F131" i="5"/>
  <c r="G131" i="5"/>
  <c r="F132" i="5"/>
  <c r="E132" i="5"/>
  <c r="G132" i="5"/>
  <c r="F133" i="5"/>
  <c r="E133" i="5"/>
  <c r="G133" i="5"/>
  <c r="E134" i="5"/>
  <c r="F134" i="5"/>
  <c r="G134" i="5"/>
  <c r="E135" i="5"/>
  <c r="G135" i="5"/>
  <c r="F135" i="5"/>
  <c r="F136" i="5"/>
  <c r="E136" i="5"/>
  <c r="G136" i="5"/>
  <c r="E137" i="5"/>
  <c r="F137" i="5"/>
  <c r="G137" i="5"/>
  <c r="E138" i="5"/>
  <c r="F138" i="5"/>
  <c r="G138" i="5"/>
  <c r="E139" i="5"/>
  <c r="F139" i="5"/>
  <c r="G139" i="5"/>
  <c r="G140" i="5"/>
  <c r="E140" i="5"/>
  <c r="F140" i="5"/>
  <c r="G141" i="5"/>
  <c r="E141" i="5"/>
  <c r="F141" i="5"/>
  <c r="E142" i="5"/>
  <c r="G142" i="5"/>
  <c r="F142" i="5"/>
  <c r="F143" i="5"/>
  <c r="G143" i="5"/>
  <c r="E143" i="5"/>
  <c r="G144" i="5"/>
  <c r="E144" i="5"/>
  <c r="F144" i="5"/>
  <c r="E145" i="5"/>
  <c r="F145" i="5"/>
  <c r="G145" i="5"/>
  <c r="E146" i="5"/>
  <c r="F146" i="5"/>
  <c r="G146" i="5"/>
  <c r="F147" i="5"/>
  <c r="E147" i="5"/>
  <c r="G147" i="5"/>
  <c r="E148" i="5"/>
  <c r="G148" i="5"/>
  <c r="F148" i="5"/>
  <c r="F149" i="5"/>
  <c r="G149" i="5"/>
  <c r="E149" i="5"/>
  <c r="E150" i="5"/>
  <c r="G150" i="5"/>
  <c r="F150" i="5"/>
  <c r="F151" i="5"/>
  <c r="E151" i="5"/>
  <c r="G151" i="5"/>
  <c r="F152" i="5"/>
  <c r="E152" i="5"/>
  <c r="G152" i="5"/>
  <c r="E153" i="5"/>
  <c r="G153" i="5"/>
  <c r="F153" i="5"/>
  <c r="F154" i="5"/>
  <c r="G154" i="5"/>
  <c r="E154" i="5"/>
  <c r="G155" i="5"/>
  <c r="F155" i="5"/>
  <c r="E155" i="5"/>
  <c r="F156" i="5"/>
  <c r="G156" i="5"/>
  <c r="E156" i="5"/>
  <c r="G157" i="5"/>
  <c r="E157" i="5"/>
  <c r="F157" i="5"/>
  <c r="E158" i="5"/>
  <c r="G158" i="5"/>
  <c r="F158" i="5"/>
  <c r="E159" i="5"/>
  <c r="F159" i="5"/>
  <c r="G159" i="5"/>
  <c r="E160" i="5"/>
  <c r="G160" i="5"/>
  <c r="F160" i="5"/>
  <c r="E161" i="5"/>
  <c r="F161" i="5"/>
  <c r="G161" i="5"/>
  <c r="E162" i="5"/>
  <c r="F162" i="5"/>
  <c r="G162" i="5"/>
  <c r="E163" i="5"/>
  <c r="F163" i="5"/>
  <c r="G163" i="5"/>
  <c r="E164" i="5"/>
  <c r="G164" i="5"/>
  <c r="F164" i="5"/>
  <c r="E165" i="5"/>
  <c r="F165" i="5"/>
  <c r="G165" i="5"/>
  <c r="E166" i="5"/>
  <c r="G166" i="5"/>
  <c r="F166" i="5"/>
  <c r="E167" i="5"/>
  <c r="G167" i="5"/>
  <c r="F167" i="5"/>
  <c r="E168" i="5"/>
  <c r="G168" i="5"/>
  <c r="F168" i="5"/>
  <c r="E169" i="5"/>
  <c r="F169" i="5"/>
  <c r="G169" i="5"/>
  <c r="E170" i="5"/>
  <c r="G170" i="5"/>
  <c r="F170" i="5"/>
  <c r="E171" i="5"/>
  <c r="G171" i="5"/>
  <c r="F171" i="5"/>
  <c r="G172" i="5"/>
  <c r="F172" i="5"/>
  <c r="E172" i="5"/>
  <c r="G173" i="5"/>
  <c r="F173" i="5"/>
  <c r="E173" i="5"/>
  <c r="G174" i="5"/>
  <c r="F174" i="5"/>
  <c r="E174" i="5"/>
  <c r="G175" i="5"/>
  <c r="F175" i="5"/>
  <c r="E175" i="5"/>
  <c r="F176" i="5"/>
  <c r="G176" i="5"/>
  <c r="E176" i="5"/>
  <c r="F177" i="5"/>
  <c r="G177" i="5"/>
  <c r="E177" i="5"/>
  <c r="F178" i="5"/>
  <c r="G178" i="5"/>
  <c r="E178" i="5"/>
  <c r="F179" i="5"/>
  <c r="G179" i="5"/>
  <c r="E179" i="5"/>
  <c r="E180" i="5"/>
  <c r="G180" i="5"/>
  <c r="F180" i="5"/>
  <c r="E181" i="5"/>
  <c r="F181" i="5"/>
  <c r="G181" i="5"/>
  <c r="E182" i="5"/>
  <c r="G182" i="5"/>
  <c r="F182" i="5"/>
  <c r="G183" i="5"/>
  <c r="F183" i="5"/>
  <c r="E183" i="5"/>
  <c r="E184" i="5"/>
  <c r="F184" i="5"/>
  <c r="G184" i="5"/>
  <c r="E185" i="5"/>
  <c r="F185" i="5"/>
  <c r="G185" i="5"/>
  <c r="E186" i="5"/>
  <c r="F186" i="5"/>
  <c r="G186" i="5"/>
  <c r="G187" i="5"/>
  <c r="E187" i="5"/>
  <c r="F187" i="5"/>
  <c r="F188" i="5"/>
  <c r="E188" i="5"/>
  <c r="G188" i="5"/>
  <c r="G189" i="5"/>
  <c r="E189" i="5"/>
  <c r="F189" i="5"/>
  <c r="G190" i="5"/>
  <c r="F190" i="5"/>
  <c r="E190" i="5"/>
  <c r="F191" i="5"/>
  <c r="E191" i="5"/>
  <c r="G191" i="5"/>
  <c r="G192" i="5"/>
  <c r="E192" i="5"/>
  <c r="F192" i="5"/>
  <c r="F193" i="5"/>
  <c r="E193" i="5"/>
  <c r="G193" i="5"/>
  <c r="F194" i="5"/>
  <c r="G194" i="5"/>
  <c r="E194" i="5"/>
  <c r="F195" i="5"/>
  <c r="E195" i="5"/>
  <c r="G195" i="5"/>
  <c r="E196" i="5"/>
  <c r="F196" i="5"/>
  <c r="G196" i="5"/>
  <c r="F197" i="5"/>
  <c r="E197" i="5"/>
  <c r="G197" i="5"/>
  <c r="G198" i="5"/>
  <c r="E198" i="5"/>
  <c r="F198" i="5"/>
  <c r="G199" i="5"/>
  <c r="F199" i="5"/>
  <c r="E199" i="5"/>
  <c r="F200" i="5"/>
  <c r="E200" i="5"/>
  <c r="G200" i="5"/>
  <c r="G201" i="5"/>
  <c r="F201" i="5"/>
  <c r="E201" i="5"/>
  <c r="F202" i="5"/>
  <c r="G202" i="5"/>
  <c r="E202" i="5"/>
  <c r="G203" i="5"/>
  <c r="F203" i="5"/>
  <c r="E203" i="5"/>
  <c r="F204" i="5"/>
  <c r="E204" i="5"/>
  <c r="G204" i="5"/>
  <c r="G205" i="5"/>
  <c r="F205" i="5"/>
  <c r="E205" i="5"/>
  <c r="F206" i="5"/>
  <c r="E206" i="5"/>
  <c r="G206" i="5"/>
  <c r="G207" i="5"/>
  <c r="F207" i="5"/>
  <c r="E207" i="5"/>
  <c r="G208" i="5"/>
  <c r="E208" i="5"/>
  <c r="F208" i="5"/>
  <c r="F209" i="5"/>
  <c r="E209" i="5"/>
  <c r="G209" i="5"/>
  <c r="E210" i="5"/>
  <c r="F210" i="5"/>
  <c r="G210" i="5"/>
  <c r="F211" i="5"/>
  <c r="E211" i="5"/>
  <c r="G211" i="5"/>
  <c r="G212" i="5"/>
  <c r="E212" i="5"/>
  <c r="F212" i="5"/>
  <c r="F213" i="5"/>
  <c r="E213" i="5"/>
  <c r="G213" i="5"/>
  <c r="F214" i="5"/>
  <c r="G214" i="5"/>
  <c r="E214" i="5"/>
  <c r="G215" i="5"/>
  <c r="F215" i="5"/>
  <c r="E215" i="5"/>
  <c r="F216" i="5"/>
  <c r="G216" i="5"/>
  <c r="E216" i="5"/>
  <c r="F217" i="5"/>
  <c r="G217" i="5"/>
  <c r="E217" i="5"/>
  <c r="G218" i="5"/>
  <c r="E218" i="5"/>
  <c r="F218" i="5"/>
  <c r="E219" i="5"/>
  <c r="F219" i="5"/>
  <c r="G219" i="5"/>
  <c r="E220" i="5"/>
  <c r="G220" i="5"/>
  <c r="F220" i="5"/>
  <c r="F221" i="5"/>
  <c r="E221" i="5"/>
  <c r="G221" i="5"/>
  <c r="F222" i="5"/>
  <c r="E222" i="5"/>
  <c r="G222" i="5"/>
  <c r="F223" i="5"/>
  <c r="E223" i="5"/>
  <c r="G223" i="5"/>
  <c r="E224" i="5"/>
  <c r="F224" i="5"/>
  <c r="G224" i="5"/>
  <c r="G225" i="5"/>
  <c r="F225" i="5"/>
  <c r="E225" i="5"/>
  <c r="G226" i="5"/>
  <c r="F226" i="5"/>
  <c r="E226" i="5"/>
  <c r="F227" i="5"/>
  <c r="G227" i="5"/>
  <c r="E227" i="5"/>
  <c r="E228" i="5"/>
  <c r="G228" i="5"/>
  <c r="F228" i="5"/>
  <c r="F229" i="5"/>
  <c r="G229" i="5"/>
  <c r="E229" i="5"/>
  <c r="G230" i="5"/>
  <c r="E230" i="5"/>
  <c r="F230" i="5"/>
  <c r="E231" i="5"/>
  <c r="G231" i="5"/>
  <c r="G232" i="5"/>
  <c r="E232" i="5"/>
  <c r="F232" i="5"/>
  <c r="G233" i="5"/>
  <c r="E233" i="5"/>
  <c r="F233" i="5"/>
  <c r="G234" i="5"/>
  <c r="F234" i="5"/>
  <c r="E234" i="5"/>
  <c r="G235" i="5"/>
  <c r="F235" i="5"/>
  <c r="E235" i="5"/>
  <c r="F236" i="5"/>
  <c r="G236" i="5"/>
  <c r="E236" i="5"/>
  <c r="G237" i="5"/>
  <c r="F237" i="5"/>
  <c r="E237" i="5"/>
  <c r="F238" i="5"/>
  <c r="G238" i="5"/>
  <c r="E238" i="5"/>
  <c r="E239" i="5"/>
  <c r="G239" i="5"/>
  <c r="F239" i="5"/>
  <c r="E240" i="5"/>
  <c r="F240" i="5"/>
  <c r="G240" i="5"/>
  <c r="E241" i="5"/>
  <c r="F241" i="5"/>
  <c r="G241" i="5"/>
  <c r="E242" i="5"/>
  <c r="G242" i="5"/>
  <c r="F242" i="5"/>
  <c r="F243" i="5"/>
  <c r="E243" i="5"/>
  <c r="G243" i="5"/>
  <c r="G244" i="5"/>
  <c r="F244" i="5"/>
  <c r="E244" i="5"/>
  <c r="E245" i="5"/>
  <c r="G245" i="5"/>
  <c r="F245" i="5"/>
  <c r="E246" i="5"/>
  <c r="G246" i="5"/>
  <c r="F246" i="5"/>
  <c r="G247" i="5"/>
  <c r="F247" i="5"/>
  <c r="E247" i="5"/>
  <c r="G248" i="5"/>
  <c r="F248" i="5"/>
  <c r="E248" i="5"/>
  <c r="F249" i="5"/>
  <c r="G249" i="5"/>
  <c r="E249" i="5"/>
  <c r="F250" i="5"/>
  <c r="E250" i="5"/>
  <c r="G250" i="5"/>
  <c r="F251" i="5"/>
  <c r="E251" i="5"/>
  <c r="G251" i="5"/>
  <c r="E252" i="5"/>
  <c r="G252" i="5"/>
  <c r="F252" i="5"/>
  <c r="F253" i="5"/>
  <c r="E253" i="5"/>
  <c r="G253" i="5"/>
  <c r="E254" i="5"/>
  <c r="G254" i="5"/>
  <c r="F254" i="5"/>
  <c r="E255" i="5"/>
  <c r="G255" i="5"/>
  <c r="F255" i="5"/>
  <c r="F256" i="5"/>
  <c r="E256" i="5"/>
  <c r="G256" i="5"/>
  <c r="F257" i="5"/>
  <c r="E257" i="5"/>
  <c r="G257" i="5"/>
  <c r="E258" i="5"/>
  <c r="G258" i="5"/>
  <c r="F258" i="5"/>
  <c r="G259" i="5"/>
  <c r="F259" i="5"/>
  <c r="E259" i="5"/>
  <c r="G260" i="5"/>
  <c r="E260" i="5"/>
  <c r="F260" i="5"/>
  <c r="G261" i="5"/>
  <c r="F261" i="5"/>
  <c r="E261" i="5"/>
  <c r="F262" i="5"/>
  <c r="G262" i="5"/>
  <c r="E262" i="5"/>
  <c r="G263" i="5"/>
  <c r="F263" i="5"/>
  <c r="E263" i="5"/>
  <c r="F264" i="5"/>
  <c r="G264" i="5"/>
  <c r="E264" i="5"/>
  <c r="E265" i="5"/>
  <c r="F265" i="5"/>
  <c r="G265" i="5"/>
  <c r="F266" i="5"/>
  <c r="G266" i="5"/>
  <c r="E266" i="5"/>
  <c r="E267" i="5"/>
  <c r="G267" i="5"/>
  <c r="F267" i="5"/>
  <c r="F268" i="5"/>
  <c r="G268" i="5"/>
  <c r="E268" i="5"/>
  <c r="F269" i="5"/>
  <c r="G269" i="5"/>
  <c r="E269" i="5"/>
  <c r="G270" i="5"/>
  <c r="F270" i="5"/>
  <c r="E270" i="5"/>
  <c r="F271" i="5"/>
  <c r="G271" i="5"/>
  <c r="E271" i="5"/>
  <c r="E272" i="5"/>
  <c r="F272" i="5"/>
  <c r="G272" i="5"/>
  <c r="G273" i="5"/>
  <c r="E273" i="5"/>
  <c r="F273" i="5"/>
  <c r="E274" i="5"/>
  <c r="G274" i="5"/>
  <c r="F274" i="5"/>
  <c r="G275" i="5"/>
  <c r="E275" i="5"/>
  <c r="F275" i="5"/>
  <c r="E276" i="5"/>
  <c r="G276" i="5"/>
  <c r="F276" i="5"/>
  <c r="E277" i="5"/>
  <c r="G277" i="5"/>
  <c r="F277" i="5"/>
  <c r="E278" i="5"/>
  <c r="G278" i="5"/>
  <c r="F278" i="5"/>
  <c r="F279" i="5"/>
  <c r="E279" i="5"/>
  <c r="G279" i="5"/>
  <c r="E280" i="5"/>
  <c r="G280" i="5"/>
  <c r="F280" i="5"/>
  <c r="F281" i="5"/>
  <c r="E281" i="5"/>
  <c r="G281" i="5"/>
  <c r="E282" i="5"/>
  <c r="F282" i="5"/>
  <c r="G282" i="5"/>
  <c r="F283" i="5"/>
  <c r="G283" i="5"/>
  <c r="E283" i="5"/>
  <c r="G284" i="5"/>
  <c r="F284" i="5"/>
  <c r="E284" i="5"/>
  <c r="G285" i="5"/>
  <c r="F285" i="5"/>
  <c r="E285" i="5"/>
  <c r="E286" i="5"/>
  <c r="F286" i="5"/>
  <c r="G286" i="5"/>
  <c r="E287" i="5"/>
  <c r="G287" i="5"/>
  <c r="F287" i="5"/>
  <c r="F288" i="5"/>
  <c r="E288" i="5"/>
  <c r="G288" i="5"/>
  <c r="E289" i="5"/>
  <c r="G289" i="5"/>
  <c r="F289" i="5"/>
  <c r="F290" i="5"/>
  <c r="E290" i="5"/>
  <c r="G290" i="5"/>
  <c r="E291" i="5"/>
  <c r="G291" i="5"/>
  <c r="F291" i="5"/>
  <c r="G292" i="5"/>
  <c r="E292" i="5"/>
  <c r="F292" i="5"/>
  <c r="E293" i="5"/>
  <c r="G293" i="5"/>
  <c r="F293" i="5"/>
  <c r="F294" i="5"/>
  <c r="G294" i="5"/>
  <c r="E294" i="5"/>
  <c r="G295" i="5"/>
  <c r="F295" i="5"/>
  <c r="E295" i="5"/>
  <c r="F296" i="5"/>
  <c r="G296" i="5"/>
  <c r="E296" i="5"/>
  <c r="G297" i="5"/>
  <c r="F297" i="5"/>
  <c r="E297" i="5"/>
  <c r="E298" i="5"/>
  <c r="G298" i="5"/>
  <c r="F298" i="5"/>
  <c r="F299" i="5"/>
  <c r="G299" i="5"/>
  <c r="E299" i="5"/>
  <c r="F300" i="5"/>
  <c r="E300" i="5"/>
  <c r="G300" i="5"/>
  <c r="G301" i="5"/>
  <c r="F301" i="5"/>
  <c r="E301" i="5"/>
  <c r="G302" i="5"/>
  <c r="F302" i="5"/>
  <c r="E302" i="5"/>
  <c r="E303" i="5"/>
  <c r="F303" i="5"/>
  <c r="G303" i="5"/>
  <c r="F304" i="5"/>
  <c r="E304" i="5"/>
  <c r="G304" i="5"/>
  <c r="F305" i="5"/>
  <c r="E305" i="5"/>
  <c r="G305" i="5"/>
  <c r="G306" i="5"/>
  <c r="F306" i="5"/>
  <c r="E306" i="5"/>
  <c r="E307" i="5"/>
  <c r="F307" i="5"/>
  <c r="G307" i="5"/>
  <c r="E308" i="5"/>
  <c r="G308" i="5"/>
  <c r="F308" i="5"/>
  <c r="F309" i="5"/>
  <c r="E309" i="5"/>
  <c r="G309" i="5"/>
  <c r="G310" i="5"/>
  <c r="E310" i="5"/>
  <c r="F310" i="5"/>
  <c r="E311" i="5"/>
  <c r="F311" i="5"/>
  <c r="G311" i="5"/>
  <c r="G312" i="5"/>
  <c r="F312" i="5"/>
  <c r="E312" i="5"/>
  <c r="F313" i="5"/>
  <c r="G313" i="5"/>
  <c r="E313" i="5"/>
  <c r="G314" i="5"/>
  <c r="F314" i="5"/>
  <c r="E314" i="5"/>
  <c r="G315" i="5"/>
  <c r="F315" i="5"/>
  <c r="E315" i="5"/>
  <c r="G316" i="5"/>
  <c r="E316" i="5"/>
  <c r="F316" i="5"/>
  <c r="G317" i="5"/>
  <c r="F317" i="5"/>
  <c r="E317" i="5"/>
  <c r="F318" i="5"/>
  <c r="G318" i="5"/>
  <c r="E318" i="5"/>
  <c r="G319" i="5"/>
  <c r="E319" i="5"/>
  <c r="F319" i="5"/>
  <c r="G320" i="5"/>
  <c r="E320" i="5"/>
  <c r="F320" i="5"/>
  <c r="G321" i="5"/>
  <c r="F321" i="5"/>
  <c r="E321" i="5"/>
  <c r="G322" i="5"/>
  <c r="E322" i="5"/>
  <c r="F322" i="5"/>
  <c r="F323" i="5"/>
  <c r="G323" i="5"/>
  <c r="E323" i="5"/>
  <c r="E324" i="5"/>
  <c r="G324" i="5"/>
  <c r="F324" i="5"/>
  <c r="E325" i="5"/>
  <c r="F325" i="5"/>
  <c r="G325" i="5"/>
  <c r="E326" i="5"/>
  <c r="G326" i="5"/>
  <c r="F326" i="5"/>
  <c r="E327" i="5"/>
  <c r="F327" i="5"/>
  <c r="G327" i="5"/>
  <c r="E328" i="5"/>
  <c r="G328" i="5"/>
  <c r="F328" i="5"/>
  <c r="G329" i="5"/>
  <c r="E329" i="5"/>
  <c r="F329" i="5"/>
  <c r="G330" i="5"/>
  <c r="F330" i="5"/>
  <c r="E330" i="5"/>
  <c r="G331" i="5"/>
  <c r="F331" i="5"/>
  <c r="E331" i="5"/>
  <c r="F332" i="5"/>
  <c r="E332" i="5"/>
  <c r="G332" i="5"/>
  <c r="E333" i="5"/>
  <c r="G333" i="5"/>
  <c r="F333" i="5"/>
  <c r="E334" i="5"/>
  <c r="G334" i="5"/>
  <c r="F334" i="5"/>
  <c r="E335" i="5"/>
  <c r="G335" i="5"/>
  <c r="F335" i="5"/>
  <c r="F336" i="5"/>
  <c r="G336" i="5"/>
  <c r="E336" i="5"/>
  <c r="F337" i="5"/>
  <c r="E337" i="5"/>
  <c r="G337" i="5"/>
  <c r="F338" i="5"/>
  <c r="G338" i="5"/>
  <c r="E338" i="5"/>
  <c r="F339" i="5"/>
  <c r="E339" i="5"/>
  <c r="G339" i="5"/>
  <c r="G340" i="5"/>
  <c r="F340" i="5"/>
  <c r="E340" i="5"/>
  <c r="F341" i="5"/>
  <c r="E341" i="5"/>
  <c r="G341" i="5"/>
  <c r="F342" i="5"/>
  <c r="G342" i="5"/>
  <c r="E342" i="5"/>
  <c r="F343" i="5"/>
  <c r="E343" i="5"/>
  <c r="G343" i="5"/>
  <c r="E344" i="5"/>
  <c r="G344" i="5"/>
  <c r="F344" i="5"/>
  <c r="F345" i="5"/>
  <c r="G345" i="5"/>
  <c r="E345" i="5"/>
  <c r="G346" i="5"/>
  <c r="F346" i="5"/>
  <c r="E346" i="5"/>
  <c r="F347" i="5"/>
  <c r="E347" i="5"/>
  <c r="G347" i="5"/>
  <c r="G348" i="5"/>
  <c r="F348" i="5"/>
  <c r="E348" i="5"/>
  <c r="F349" i="5"/>
  <c r="E349" i="5"/>
  <c r="G349" i="5"/>
  <c r="E350" i="5"/>
  <c r="G350" i="5"/>
  <c r="F350" i="5"/>
  <c r="E351" i="5"/>
  <c r="F351" i="5"/>
  <c r="G351" i="5"/>
  <c r="F352" i="5"/>
  <c r="G352" i="5"/>
  <c r="E352" i="5"/>
  <c r="G353" i="5"/>
  <c r="F353" i="5"/>
  <c r="E353" i="5"/>
  <c r="G354" i="5"/>
  <c r="F354" i="5"/>
  <c r="E354" i="5"/>
  <c r="G355" i="5"/>
  <c r="F355" i="5"/>
  <c r="E355" i="5"/>
  <c r="G356" i="5"/>
  <c r="F356" i="5"/>
  <c r="E356" i="5"/>
  <c r="G357" i="5"/>
  <c r="F357" i="5"/>
  <c r="E357" i="5"/>
  <c r="G358" i="5"/>
  <c r="F358" i="5"/>
  <c r="E358" i="5"/>
  <c r="G359" i="5"/>
  <c r="F359" i="5"/>
  <c r="E359" i="5"/>
  <c r="G360" i="5"/>
  <c r="F360" i="5"/>
  <c r="E360" i="5"/>
  <c r="G361" i="5"/>
  <c r="E361" i="5"/>
  <c r="F361" i="5"/>
  <c r="G362" i="5"/>
  <c r="E362" i="5"/>
  <c r="F362" i="5"/>
  <c r="F363" i="5"/>
  <c r="G363" i="5"/>
  <c r="E363" i="5"/>
  <c r="G364" i="5"/>
  <c r="E364" i="5"/>
  <c r="F364" i="5"/>
  <c r="F365" i="5"/>
  <c r="E365" i="5"/>
  <c r="G365" i="5"/>
  <c r="G366" i="5"/>
  <c r="E366" i="5"/>
  <c r="F366" i="5"/>
  <c r="G367" i="5"/>
  <c r="F367" i="5"/>
  <c r="E367" i="5"/>
  <c r="G368" i="5"/>
  <c r="E368" i="5"/>
  <c r="F368" i="5"/>
  <c r="E369" i="5"/>
  <c r="F369" i="5"/>
  <c r="G369" i="5"/>
  <c r="G370" i="5"/>
  <c r="F370" i="5"/>
  <c r="E370" i="5"/>
  <c r="F371" i="5"/>
  <c r="G371" i="5"/>
  <c r="E371" i="5"/>
  <c r="G372" i="5"/>
  <c r="F372" i="5"/>
  <c r="E372" i="5"/>
  <c r="F373" i="5"/>
  <c r="E373" i="5"/>
  <c r="G373" i="5"/>
  <c r="E374" i="5"/>
  <c r="G374" i="5"/>
  <c r="F374" i="5"/>
  <c r="E375" i="5"/>
  <c r="F375" i="5"/>
  <c r="G375" i="5"/>
  <c r="F376" i="5"/>
  <c r="E376" i="5"/>
  <c r="G376" i="5"/>
  <c r="F377" i="5"/>
  <c r="E377" i="5"/>
  <c r="G377" i="5"/>
  <c r="E378" i="5"/>
  <c r="F378" i="5"/>
  <c r="G378" i="5"/>
  <c r="E379" i="5"/>
  <c r="F379" i="5"/>
  <c r="G379" i="5"/>
  <c r="F380" i="5"/>
  <c r="E380" i="5"/>
  <c r="G380" i="5"/>
  <c r="G381" i="5"/>
  <c r="E381" i="5"/>
  <c r="F381" i="5"/>
  <c r="F382" i="5"/>
  <c r="E382" i="5"/>
  <c r="G382" i="5"/>
  <c r="G383" i="5"/>
  <c r="E383" i="5"/>
  <c r="F383" i="5"/>
  <c r="F384" i="5"/>
  <c r="E384" i="5"/>
  <c r="G384" i="5"/>
  <c r="G385" i="5"/>
  <c r="E385" i="5"/>
  <c r="F385" i="5"/>
  <c r="E386" i="5"/>
  <c r="F386" i="5"/>
  <c r="G386" i="5"/>
  <c r="G387" i="5"/>
  <c r="F387" i="5"/>
  <c r="E387" i="5"/>
  <c r="G388" i="5"/>
  <c r="E388" i="5"/>
  <c r="F388" i="5"/>
  <c r="G389" i="5"/>
  <c r="F389" i="5"/>
  <c r="E389" i="5"/>
  <c r="E390" i="5"/>
  <c r="G390" i="5"/>
  <c r="F390" i="5"/>
  <c r="G391" i="5"/>
  <c r="E391" i="5"/>
  <c r="F391" i="5"/>
  <c r="E392" i="5"/>
  <c r="G392" i="5"/>
  <c r="F392" i="5"/>
  <c r="G393" i="5"/>
  <c r="F393" i="5"/>
  <c r="E393" i="5"/>
  <c r="G394" i="5"/>
  <c r="F394" i="5"/>
  <c r="E394" i="5"/>
  <c r="E395" i="5"/>
  <c r="G395" i="5"/>
  <c r="F395" i="5"/>
  <c r="E396" i="5"/>
  <c r="F396" i="5"/>
  <c r="G396" i="5"/>
  <c r="E397" i="5"/>
  <c r="G397" i="5"/>
  <c r="F397" i="5"/>
  <c r="E398" i="5"/>
  <c r="F398" i="5"/>
  <c r="G398" i="5"/>
  <c r="E399" i="5"/>
  <c r="G399" i="5"/>
  <c r="F399" i="5"/>
  <c r="G400" i="5"/>
  <c r="E400" i="5"/>
  <c r="F400" i="5"/>
  <c r="F401" i="5"/>
  <c r="G401" i="5"/>
  <c r="E401" i="5"/>
  <c r="F402" i="5"/>
  <c r="E402" i="5"/>
  <c r="G402" i="5"/>
  <c r="G403" i="5"/>
  <c r="F403" i="5"/>
  <c r="E403" i="5"/>
  <c r="F404" i="5"/>
  <c r="G404" i="5"/>
  <c r="E404" i="5"/>
  <c r="G405" i="5"/>
  <c r="F405" i="5"/>
  <c r="E405" i="5"/>
  <c r="F406" i="5"/>
  <c r="G406" i="5"/>
  <c r="E406" i="5"/>
  <c r="G407" i="5"/>
  <c r="F407" i="5"/>
  <c r="E407" i="5"/>
  <c r="G408" i="5"/>
  <c r="E408" i="5"/>
  <c r="F408" i="5"/>
  <c r="G409" i="5"/>
  <c r="F409" i="5"/>
  <c r="E409" i="5"/>
  <c r="F410" i="5"/>
  <c r="E410" i="5"/>
  <c r="G410" i="5"/>
  <c r="E411" i="5"/>
  <c r="G411" i="5"/>
  <c r="F411" i="5"/>
  <c r="G412" i="5"/>
  <c r="E412" i="5"/>
  <c r="F412" i="5"/>
  <c r="G413" i="5"/>
  <c r="F413" i="5"/>
  <c r="E413" i="5"/>
  <c r="G414" i="5"/>
  <c r="E414" i="5"/>
  <c r="F414" i="5"/>
  <c r="F415" i="5"/>
  <c r="E415" i="5"/>
  <c r="G415" i="5"/>
  <c r="E416" i="5"/>
  <c r="G416" i="5"/>
  <c r="F416" i="5"/>
  <c r="E417" i="5"/>
  <c r="G417" i="5"/>
  <c r="F417" i="5"/>
  <c r="E418" i="5"/>
  <c r="G418" i="5"/>
  <c r="F418" i="5"/>
  <c r="E419" i="5"/>
  <c r="F419" i="5"/>
  <c r="G419" i="5"/>
  <c r="E420" i="5"/>
  <c r="G420" i="5"/>
  <c r="F420" i="5"/>
  <c r="F421" i="5"/>
  <c r="G421" i="5"/>
  <c r="E421" i="5"/>
  <c r="G422" i="5"/>
  <c r="F422" i="5"/>
  <c r="E422" i="5"/>
  <c r="F423" i="5"/>
  <c r="G423" i="5"/>
  <c r="E423" i="5"/>
  <c r="F424" i="5"/>
  <c r="G424" i="5"/>
  <c r="E424" i="5"/>
  <c r="F425" i="5"/>
  <c r="E425" i="5"/>
  <c r="G425" i="5"/>
  <c r="E426" i="5"/>
  <c r="F426" i="5"/>
  <c r="G426" i="5"/>
  <c r="F427" i="5"/>
  <c r="E427" i="5"/>
  <c r="G427" i="5"/>
  <c r="E428" i="5"/>
  <c r="F428" i="5"/>
  <c r="G428" i="5"/>
  <c r="G429" i="5"/>
  <c r="F429" i="5"/>
  <c r="E429" i="5"/>
  <c r="F430" i="5"/>
  <c r="G430" i="5"/>
  <c r="E430" i="5"/>
  <c r="G431" i="5"/>
  <c r="F431" i="5"/>
  <c r="E431" i="5"/>
  <c r="G432" i="5"/>
  <c r="E432" i="5"/>
  <c r="F432" i="5"/>
  <c r="F433" i="5"/>
  <c r="G433" i="5"/>
  <c r="E433" i="5"/>
  <c r="G434" i="5"/>
  <c r="F434" i="5"/>
  <c r="E434" i="5"/>
  <c r="G435" i="5"/>
  <c r="F435" i="5"/>
  <c r="E435" i="5"/>
  <c r="F436" i="5"/>
  <c r="G436" i="5"/>
  <c r="E436" i="5"/>
  <c r="E437" i="5"/>
  <c r="G437" i="5"/>
  <c r="F437" i="5"/>
  <c r="F438" i="5"/>
  <c r="E438" i="5"/>
  <c r="G438" i="5"/>
  <c r="E439" i="5"/>
  <c r="G439" i="5"/>
  <c r="F439" i="5"/>
  <c r="F440" i="5"/>
  <c r="G440" i="5"/>
  <c r="E440" i="5"/>
  <c r="G441" i="5"/>
  <c r="E441" i="5"/>
  <c r="F441" i="5"/>
  <c r="F442" i="5"/>
  <c r="E442" i="5"/>
  <c r="G442" i="5"/>
  <c r="G443" i="5"/>
  <c r="E443" i="5"/>
  <c r="F443" i="5"/>
  <c r="F444" i="5"/>
  <c r="G444" i="5"/>
  <c r="E444" i="5"/>
  <c r="E445" i="5"/>
  <c r="F445" i="5"/>
  <c r="G445" i="5"/>
  <c r="F446" i="5"/>
  <c r="G446" i="5"/>
  <c r="E446" i="5"/>
  <c r="E447" i="5"/>
  <c r="F447" i="5"/>
  <c r="G447" i="5"/>
  <c r="G448" i="5"/>
  <c r="F448" i="5"/>
  <c r="E448" i="5"/>
  <c r="F449" i="5"/>
  <c r="E449" i="5"/>
  <c r="G449" i="5"/>
  <c r="E450" i="5"/>
  <c r="G450" i="5"/>
  <c r="F450" i="5"/>
  <c r="F451" i="5"/>
  <c r="E451" i="5"/>
  <c r="G451" i="5"/>
  <c r="F452" i="5"/>
  <c r="E452" i="5"/>
  <c r="G452" i="5"/>
  <c r="F453" i="5"/>
  <c r="E453" i="5"/>
  <c r="G453" i="5"/>
  <c r="G454" i="5"/>
  <c r="F454" i="5"/>
  <c r="E454" i="5"/>
  <c r="F455" i="5"/>
  <c r="E455" i="5"/>
  <c r="G455" i="5"/>
  <c r="E456" i="5"/>
  <c r="G456" i="5"/>
  <c r="F456" i="5"/>
  <c r="F457" i="5"/>
  <c r="E457" i="5"/>
  <c r="G457" i="5"/>
  <c r="G458" i="5"/>
  <c r="E458" i="5"/>
  <c r="F458" i="5"/>
  <c r="G459" i="5"/>
  <c r="E459" i="5"/>
  <c r="F459" i="5"/>
  <c r="G460" i="5"/>
  <c r="E460" i="5"/>
  <c r="F460" i="5"/>
  <c r="G461" i="5"/>
  <c r="E461" i="5"/>
  <c r="F461" i="5"/>
  <c r="G462" i="5"/>
  <c r="E462" i="5"/>
  <c r="F462" i="5"/>
  <c r="G463" i="5"/>
  <c r="F463" i="5"/>
  <c r="E463" i="5"/>
  <c r="F464" i="5"/>
  <c r="G464" i="5"/>
  <c r="E464" i="5"/>
  <c r="F465" i="5"/>
  <c r="E465" i="5"/>
  <c r="G465" i="5"/>
  <c r="G466" i="5"/>
  <c r="F466" i="5"/>
  <c r="E466" i="5"/>
  <c r="G467" i="5"/>
  <c r="F467" i="5"/>
  <c r="E467" i="5"/>
  <c r="G468" i="5"/>
  <c r="F468" i="5"/>
  <c r="E468" i="5"/>
  <c r="F469" i="5"/>
  <c r="G469" i="5"/>
  <c r="E469" i="5"/>
  <c r="G470" i="5"/>
  <c r="E470" i="5"/>
  <c r="F470" i="5"/>
  <c r="F471" i="5"/>
  <c r="E471" i="5"/>
  <c r="G471" i="5"/>
  <c r="G472" i="5"/>
  <c r="E472" i="5"/>
  <c r="F472" i="5"/>
  <c r="G473" i="5"/>
  <c r="F473" i="5"/>
  <c r="E473" i="5"/>
  <c r="F474" i="5"/>
  <c r="E474" i="5"/>
  <c r="G474" i="5"/>
  <c r="G475" i="5"/>
  <c r="F475" i="5"/>
  <c r="E475" i="5"/>
  <c r="E476" i="5"/>
  <c r="G476" i="5"/>
  <c r="F476" i="5"/>
  <c r="F477" i="5"/>
  <c r="G477" i="5"/>
  <c r="E477" i="5"/>
  <c r="E478" i="5"/>
  <c r="F478" i="5"/>
  <c r="G478" i="5"/>
  <c r="G479" i="5"/>
  <c r="E479" i="5"/>
  <c r="F479" i="5"/>
  <c r="G480" i="5"/>
  <c r="F480" i="5"/>
  <c r="E480" i="5"/>
  <c r="G481" i="5"/>
  <c r="E481" i="5"/>
  <c r="F481" i="5"/>
  <c r="E482" i="5"/>
  <c r="G482" i="5"/>
  <c r="F482" i="5"/>
  <c r="E483" i="5"/>
  <c r="G483" i="5"/>
  <c r="F483" i="5"/>
  <c r="E484" i="5"/>
  <c r="G484" i="5"/>
  <c r="F484" i="5"/>
  <c r="E485" i="5"/>
  <c r="G485" i="5"/>
  <c r="F485" i="5"/>
  <c r="E486" i="5"/>
  <c r="G486" i="5"/>
  <c r="F486" i="5"/>
  <c r="E487" i="5"/>
  <c r="G487" i="5"/>
  <c r="F487" i="5"/>
  <c r="E488" i="5"/>
  <c r="G488" i="5"/>
  <c r="F488" i="5"/>
  <c r="E489" i="5"/>
  <c r="G489" i="5"/>
  <c r="F489" i="5"/>
  <c r="E490" i="5"/>
  <c r="G490" i="5"/>
  <c r="F490" i="5"/>
  <c r="E491" i="5"/>
  <c r="F491" i="5"/>
  <c r="G491" i="5"/>
  <c r="E492" i="5"/>
  <c r="G492" i="5"/>
  <c r="F492" i="5"/>
  <c r="E493" i="5"/>
  <c r="G493" i="5"/>
  <c r="F493" i="5"/>
  <c r="E494" i="5"/>
  <c r="G494" i="5"/>
  <c r="F494" i="5"/>
  <c r="G495" i="5"/>
  <c r="F495" i="5"/>
  <c r="E495" i="5"/>
  <c r="G496" i="5"/>
  <c r="E496" i="5"/>
  <c r="F496" i="5"/>
  <c r="G497" i="5"/>
  <c r="F497" i="5"/>
  <c r="E497" i="5"/>
  <c r="G498" i="5"/>
  <c r="F498" i="5"/>
  <c r="E498" i="5"/>
  <c r="G499" i="5"/>
  <c r="E499" i="5"/>
  <c r="F499" i="5"/>
  <c r="F500" i="5"/>
  <c r="G500" i="5"/>
  <c r="E500" i="5"/>
  <c r="G501" i="5"/>
  <c r="E501" i="5"/>
  <c r="F501" i="5"/>
  <c r="F502" i="5"/>
  <c r="G502" i="5"/>
  <c r="E502" i="5"/>
  <c r="G503" i="5"/>
  <c r="F503" i="5"/>
  <c r="E503" i="5"/>
  <c r="F504" i="5"/>
  <c r="E504" i="5"/>
  <c r="G504" i="5"/>
  <c r="G505" i="5"/>
  <c r="E505" i="5"/>
  <c r="F505" i="5"/>
  <c r="F506" i="5"/>
  <c r="E506" i="5"/>
  <c r="G506" i="5"/>
  <c r="E507" i="5"/>
  <c r="G507" i="5"/>
  <c r="F507" i="5"/>
  <c r="F508" i="5"/>
  <c r="E508" i="5"/>
  <c r="G508" i="5"/>
  <c r="G509" i="5"/>
  <c r="F509" i="5"/>
  <c r="E509" i="5"/>
  <c r="E510" i="5"/>
  <c r="F510" i="5"/>
  <c r="G510" i="5"/>
  <c r="E511" i="5"/>
  <c r="G511" i="5"/>
  <c r="F511" i="5"/>
  <c r="E512" i="5"/>
  <c r="G512" i="5"/>
  <c r="F512" i="5"/>
  <c r="E513" i="5"/>
  <c r="G513" i="5"/>
  <c r="F513" i="5"/>
  <c r="F514" i="5"/>
  <c r="G514" i="5"/>
  <c r="E514" i="5"/>
  <c r="F515" i="5"/>
  <c r="E515" i="5"/>
  <c r="G515" i="5"/>
  <c r="E516" i="5"/>
  <c r="F516" i="5"/>
  <c r="G516" i="5"/>
  <c r="F517" i="5"/>
  <c r="E517" i="5"/>
  <c r="G517" i="5"/>
  <c r="F518" i="5"/>
  <c r="E518" i="5"/>
  <c r="G518" i="5"/>
  <c r="F519" i="5"/>
  <c r="E519" i="5"/>
  <c r="G519" i="5"/>
  <c r="E520" i="5"/>
  <c r="F520" i="5"/>
  <c r="G520" i="5"/>
  <c r="F521" i="5"/>
  <c r="E521" i="5"/>
  <c r="G521" i="5"/>
  <c r="G522" i="5"/>
  <c r="E522" i="5"/>
  <c r="F522" i="5"/>
  <c r="G523" i="5"/>
  <c r="F523" i="5"/>
  <c r="E523" i="5"/>
  <c r="G524" i="5"/>
  <c r="E524" i="5"/>
  <c r="F524" i="5"/>
  <c r="F525" i="5"/>
  <c r="G525" i="5"/>
  <c r="E525" i="5"/>
  <c r="G526" i="5"/>
  <c r="E526" i="5"/>
  <c r="F526" i="5"/>
  <c r="E527" i="5"/>
  <c r="F527" i="5"/>
  <c r="G527" i="5"/>
  <c r="G528" i="5"/>
  <c r="F528" i="5"/>
  <c r="E528" i="5"/>
  <c r="F529" i="5"/>
  <c r="G529" i="5"/>
  <c r="E529" i="5"/>
  <c r="G530" i="5"/>
  <c r="E530" i="5"/>
  <c r="F530" i="5"/>
  <c r="E531" i="5"/>
  <c r="G531" i="5"/>
  <c r="F531" i="5"/>
  <c r="E532" i="5"/>
  <c r="G532" i="5"/>
  <c r="F532" i="5"/>
  <c r="G533" i="5"/>
  <c r="E533" i="5"/>
  <c r="F533" i="5"/>
  <c r="E534" i="5"/>
  <c r="G534" i="5"/>
  <c r="F534" i="5"/>
  <c r="E535" i="5"/>
  <c r="G535" i="5"/>
  <c r="F535" i="5"/>
  <c r="G536" i="5"/>
  <c r="F536" i="5"/>
  <c r="E536" i="5"/>
  <c r="F537" i="5"/>
  <c r="E537" i="5"/>
  <c r="G537" i="5"/>
  <c r="F538" i="5"/>
  <c r="E538" i="5"/>
  <c r="G538" i="5"/>
  <c r="F539" i="5"/>
  <c r="G539" i="5"/>
  <c r="E539" i="5"/>
  <c r="G540" i="5"/>
  <c r="F540" i="5"/>
  <c r="E540" i="5"/>
  <c r="G541" i="5"/>
  <c r="E541" i="5"/>
  <c r="F541" i="5"/>
  <c r="F542" i="5"/>
  <c r="E542" i="5"/>
  <c r="G542" i="5"/>
  <c r="G543" i="5"/>
  <c r="E543" i="5"/>
  <c r="F543" i="5"/>
  <c r="G544" i="5"/>
  <c r="E544" i="5"/>
  <c r="F544" i="5"/>
  <c r="G545" i="5"/>
  <c r="F545" i="5"/>
  <c r="E545" i="5"/>
  <c r="G546" i="5"/>
  <c r="E546" i="5"/>
  <c r="F546" i="5"/>
  <c r="F547" i="5"/>
  <c r="G547" i="5"/>
  <c r="E547" i="5"/>
  <c r="E548" i="5"/>
  <c r="G548" i="5"/>
  <c r="F548" i="5"/>
  <c r="E549" i="5"/>
  <c r="F549" i="5"/>
  <c r="G549" i="5"/>
  <c r="E550" i="5"/>
  <c r="G550" i="5"/>
  <c r="F550" i="5"/>
  <c r="E551" i="5"/>
  <c r="F551" i="5"/>
  <c r="G551" i="5"/>
  <c r="E552" i="5"/>
  <c r="G552" i="5"/>
  <c r="F552" i="5"/>
  <c r="G553" i="5"/>
  <c r="E553" i="5"/>
  <c r="F553" i="5"/>
  <c r="E554" i="5"/>
  <c r="G554" i="5"/>
  <c r="F554" i="5"/>
  <c r="E555" i="5"/>
  <c r="G555" i="5"/>
  <c r="F555" i="5"/>
  <c r="E556" i="5"/>
  <c r="F556" i="5"/>
  <c r="G556" i="5"/>
  <c r="E557" i="5"/>
  <c r="F557" i="5"/>
  <c r="G557" i="5"/>
  <c r="E558" i="5"/>
  <c r="G558" i="5"/>
  <c r="F558" i="5"/>
  <c r="F559" i="5"/>
  <c r="E559" i="5"/>
  <c r="G559" i="5"/>
  <c r="F560" i="5"/>
  <c r="G560" i="5"/>
  <c r="E560" i="5"/>
  <c r="E561" i="5"/>
  <c r="F561" i="5"/>
  <c r="G561" i="5"/>
  <c r="F562" i="5"/>
  <c r="G562" i="5"/>
  <c r="E562" i="5"/>
  <c r="E563" i="5"/>
  <c r="G563" i="5"/>
  <c r="F563" i="5"/>
  <c r="G564" i="5"/>
  <c r="F564" i="5"/>
  <c r="E564" i="5"/>
  <c r="G565" i="5"/>
  <c r="F565" i="5"/>
  <c r="E565" i="5"/>
  <c r="G566" i="5"/>
  <c r="F566" i="5"/>
  <c r="E566" i="5"/>
  <c r="G567" i="5"/>
  <c r="F567" i="5"/>
  <c r="E567" i="5"/>
  <c r="G568" i="5"/>
  <c r="F568" i="5"/>
  <c r="E568" i="5"/>
  <c r="G569" i="5"/>
  <c r="F569" i="5"/>
  <c r="E569" i="5"/>
  <c r="G570" i="5"/>
  <c r="F570" i="5"/>
  <c r="E570" i="5"/>
  <c r="G571" i="5"/>
  <c r="F571" i="5"/>
  <c r="E571" i="5"/>
  <c r="G572" i="5"/>
  <c r="F572" i="5"/>
  <c r="E572" i="5"/>
  <c r="G573" i="5"/>
  <c r="F573" i="5"/>
  <c r="E573" i="5"/>
  <c r="G574" i="5"/>
  <c r="F574" i="5"/>
  <c r="E574" i="5"/>
  <c r="G575" i="5"/>
  <c r="F575" i="5"/>
  <c r="E575" i="5"/>
  <c r="G576" i="5"/>
  <c r="E576" i="5"/>
  <c r="F576" i="5"/>
  <c r="G577" i="5"/>
  <c r="E577" i="5"/>
  <c r="F577" i="5"/>
  <c r="G578" i="5"/>
  <c r="F578" i="5"/>
  <c r="E578" i="5"/>
  <c r="G579" i="5"/>
  <c r="F579" i="5"/>
  <c r="E579" i="5"/>
  <c r="G580" i="5"/>
  <c r="E580" i="5"/>
  <c r="F580" i="5"/>
  <c r="G581" i="5"/>
  <c r="E581" i="5"/>
  <c r="F581" i="5"/>
  <c r="G582" i="5"/>
  <c r="E582" i="5"/>
  <c r="F582" i="5"/>
  <c r="G583" i="5"/>
  <c r="E583" i="5"/>
  <c r="F583" i="5"/>
  <c r="G584" i="5"/>
  <c r="E584" i="5"/>
  <c r="F584" i="5"/>
  <c r="F585" i="5"/>
  <c r="E585" i="5"/>
  <c r="G585" i="5"/>
  <c r="F586" i="5"/>
  <c r="E586" i="5"/>
  <c r="G586" i="5"/>
  <c r="F587" i="5"/>
  <c r="G587" i="5"/>
  <c r="E587" i="5"/>
  <c r="E588" i="5"/>
  <c r="F588" i="5"/>
  <c r="G588" i="5"/>
  <c r="E589" i="5"/>
  <c r="F589" i="5"/>
  <c r="G589" i="5"/>
  <c r="E590" i="5"/>
  <c r="F590" i="5"/>
  <c r="G590" i="5"/>
  <c r="F591" i="5"/>
  <c r="E591" i="5"/>
  <c r="G591" i="5"/>
  <c r="G592" i="5"/>
  <c r="E592" i="5"/>
  <c r="F592" i="5"/>
  <c r="F593" i="5"/>
  <c r="E593" i="5"/>
  <c r="G593" i="5"/>
  <c r="E594" i="5"/>
  <c r="G594" i="5"/>
  <c r="F594" i="5"/>
  <c r="G595" i="5"/>
  <c r="F595" i="5"/>
  <c r="E595" i="5"/>
  <c r="F596" i="5"/>
  <c r="E596" i="5"/>
  <c r="G596" i="5"/>
  <c r="E597" i="5"/>
  <c r="G597" i="5"/>
  <c r="F597" i="5"/>
  <c r="F598" i="5"/>
  <c r="E598" i="5"/>
  <c r="G598" i="5"/>
  <c r="E599" i="5"/>
  <c r="F599" i="5"/>
  <c r="G599" i="5"/>
  <c r="G600" i="5"/>
  <c r="E600" i="5"/>
  <c r="F600" i="5"/>
  <c r="G601" i="5"/>
  <c r="E601" i="5"/>
  <c r="F601" i="5"/>
  <c r="E602" i="5"/>
  <c r="G602" i="5"/>
  <c r="F602" i="5"/>
  <c r="G603" i="5"/>
  <c r="F603" i="5"/>
  <c r="E603" i="5"/>
  <c r="G604" i="5"/>
  <c r="E604" i="5"/>
  <c r="F604" i="5"/>
  <c r="G605" i="5"/>
  <c r="F605" i="5"/>
  <c r="E605" i="5"/>
  <c r="G606" i="5"/>
  <c r="F606" i="5"/>
  <c r="E606" i="5"/>
  <c r="G607" i="5"/>
  <c r="F607" i="5"/>
  <c r="E607" i="5"/>
  <c r="G608" i="5"/>
  <c r="F608" i="5"/>
  <c r="E608" i="5"/>
  <c r="E609" i="5"/>
  <c r="F609" i="5"/>
  <c r="G609" i="5"/>
  <c r="G610" i="5"/>
  <c r="E610" i="5"/>
  <c r="F610" i="5"/>
  <c r="G611" i="5"/>
  <c r="F611" i="5"/>
  <c r="E611" i="5"/>
  <c r="G612" i="5"/>
  <c r="F612" i="5"/>
  <c r="E612" i="5"/>
  <c r="G613" i="5"/>
  <c r="F613" i="5"/>
  <c r="E613" i="5"/>
  <c r="G614" i="5"/>
  <c r="F614" i="5"/>
  <c r="E614" i="5"/>
  <c r="E615" i="5"/>
  <c r="G615" i="5"/>
  <c r="F615" i="5"/>
  <c r="F616" i="5"/>
  <c r="E616" i="5"/>
  <c r="G616" i="5"/>
  <c r="E617" i="5"/>
  <c r="F617" i="5"/>
  <c r="G618" i="5"/>
  <c r="E618" i="5"/>
  <c r="F618" i="5"/>
  <c r="G619" i="5"/>
  <c r="F619" i="5"/>
  <c r="E619" i="5"/>
  <c r="G620" i="5"/>
  <c r="E620" i="5"/>
  <c r="F620" i="5"/>
  <c r="F621" i="5"/>
  <c r="E621" i="5"/>
  <c r="G621" i="5"/>
  <c r="E622" i="5"/>
  <c r="F622" i="5"/>
  <c r="G622" i="5"/>
  <c r="E623" i="5"/>
  <c r="F623" i="5"/>
  <c r="G623" i="5"/>
  <c r="F624" i="5"/>
  <c r="G624" i="5"/>
  <c r="E624" i="5"/>
  <c r="G625" i="5"/>
  <c r="E625" i="5"/>
  <c r="F625" i="5"/>
  <c r="F626" i="5"/>
  <c r="G626" i="5"/>
  <c r="E626" i="5"/>
  <c r="E627" i="5"/>
  <c r="F627" i="5"/>
  <c r="G627" i="5"/>
  <c r="E628" i="5"/>
  <c r="F628" i="5"/>
  <c r="G628" i="5"/>
  <c r="G629" i="5"/>
  <c r="F629" i="5"/>
  <c r="E629" i="5"/>
  <c r="E630" i="5"/>
  <c r="F630" i="5"/>
  <c r="G630" i="5"/>
  <c r="F631" i="5"/>
  <c r="G631" i="5"/>
  <c r="E631" i="5"/>
  <c r="E632" i="5"/>
  <c r="F632" i="5"/>
  <c r="G632" i="5"/>
  <c r="E633" i="5"/>
  <c r="F633" i="5"/>
  <c r="G633" i="5"/>
  <c r="E634" i="5"/>
  <c r="F634" i="5"/>
  <c r="G634" i="5"/>
  <c r="E635" i="5"/>
  <c r="F635" i="5"/>
  <c r="G635" i="5"/>
  <c r="F636" i="5"/>
  <c r="E636" i="5"/>
  <c r="G636" i="5"/>
  <c r="G637" i="5"/>
  <c r="E637" i="5"/>
  <c r="F637" i="5"/>
  <c r="G638" i="5"/>
  <c r="F638" i="5"/>
  <c r="E638" i="5"/>
  <c r="G639" i="5"/>
  <c r="F639" i="5"/>
  <c r="E639" i="5"/>
  <c r="G640" i="5"/>
  <c r="E640" i="5"/>
  <c r="F640" i="5"/>
  <c r="G641" i="5"/>
  <c r="E641" i="5"/>
  <c r="F641" i="5"/>
  <c r="G642" i="5"/>
  <c r="E642" i="5"/>
  <c r="F642" i="5"/>
  <c r="G643" i="5"/>
  <c r="E643" i="5"/>
  <c r="F643" i="5"/>
  <c r="G644" i="5"/>
  <c r="E644" i="5"/>
  <c r="F644" i="5"/>
  <c r="E645" i="5"/>
  <c r="G645" i="5"/>
  <c r="F645" i="5"/>
  <c r="E646" i="5"/>
  <c r="G646" i="5"/>
  <c r="F646" i="5"/>
  <c r="G647" i="5"/>
  <c r="F647" i="5"/>
  <c r="E647" i="5"/>
  <c r="G648" i="5"/>
  <c r="F648" i="5"/>
  <c r="E648" i="5"/>
  <c r="G649" i="5"/>
  <c r="F649" i="5"/>
  <c r="E649" i="5"/>
  <c r="G650" i="5"/>
  <c r="E650" i="5"/>
  <c r="F650" i="5"/>
  <c r="F651" i="5"/>
  <c r="G651" i="5"/>
  <c r="E651" i="5"/>
  <c r="E652" i="5"/>
  <c r="G652" i="5"/>
  <c r="F652" i="5"/>
  <c r="G653" i="5"/>
  <c r="E653" i="5"/>
  <c r="F653" i="5"/>
  <c r="G654" i="5"/>
  <c r="F654" i="5"/>
  <c r="E654" i="5"/>
  <c r="F655" i="5"/>
  <c r="G655" i="5"/>
  <c r="E655" i="5"/>
  <c r="F656" i="5"/>
  <c r="E656" i="5"/>
  <c r="G656" i="5"/>
  <c r="F657" i="5"/>
  <c r="G657" i="5"/>
  <c r="E657" i="5"/>
  <c r="F658" i="5"/>
  <c r="E658" i="5"/>
  <c r="G658" i="5"/>
  <c r="F659" i="5"/>
  <c r="G659" i="5"/>
  <c r="E659" i="5"/>
  <c r="G660" i="5"/>
  <c r="F660" i="5"/>
  <c r="E660" i="5"/>
  <c r="G661" i="5"/>
  <c r="E661" i="5"/>
  <c r="F661" i="5"/>
  <c r="G662" i="5"/>
  <c r="F662" i="5"/>
  <c r="E662" i="5"/>
  <c r="G663" i="5"/>
  <c r="F663" i="5"/>
  <c r="E663" i="5"/>
  <c r="G664" i="5"/>
  <c r="F664" i="5"/>
  <c r="E664" i="5"/>
  <c r="F665" i="5"/>
  <c r="E665" i="5"/>
  <c r="G665" i="5"/>
  <c r="E666" i="5"/>
  <c r="F666" i="5"/>
  <c r="G666" i="5"/>
  <c r="E667" i="5"/>
  <c r="F667" i="5"/>
  <c r="G667" i="5"/>
  <c r="F668" i="5"/>
  <c r="E668" i="5"/>
  <c r="G668" i="5"/>
  <c r="F669" i="5"/>
  <c r="G669" i="5"/>
  <c r="E669" i="5"/>
  <c r="F670" i="5"/>
  <c r="G670" i="5"/>
  <c r="E670" i="5"/>
  <c r="F671" i="5"/>
  <c r="G671" i="5"/>
  <c r="E671" i="5"/>
  <c r="F672" i="5"/>
  <c r="G672" i="5"/>
  <c r="E672" i="5"/>
  <c r="G673" i="5"/>
  <c r="E673" i="5"/>
  <c r="F673" i="5"/>
  <c r="E674" i="5"/>
  <c r="F674" i="5"/>
  <c r="G674" i="5"/>
  <c r="F675" i="5"/>
  <c r="E675" i="5"/>
  <c r="G675" i="5"/>
  <c r="F676" i="5"/>
  <c r="G676" i="5"/>
  <c r="E676" i="5"/>
  <c r="G677" i="5"/>
  <c r="F677" i="5"/>
  <c r="E677" i="5"/>
  <c r="G678" i="5"/>
  <c r="F678" i="5"/>
  <c r="E678" i="5"/>
  <c r="F679" i="5"/>
  <c r="G679" i="5"/>
  <c r="E679" i="5"/>
  <c r="F680" i="5"/>
  <c r="G680" i="5"/>
  <c r="E680" i="5"/>
  <c r="F681" i="5"/>
  <c r="G681" i="5"/>
  <c r="E681" i="5"/>
  <c r="E682" i="5"/>
  <c r="G682" i="5"/>
  <c r="F682" i="5"/>
  <c r="F683" i="5"/>
  <c r="E683" i="5"/>
  <c r="G683" i="5"/>
  <c r="F684" i="5"/>
  <c r="E684" i="5"/>
  <c r="G684" i="5"/>
  <c r="G685" i="5"/>
  <c r="F685" i="5"/>
  <c r="E685" i="5"/>
  <c r="E686" i="5"/>
  <c r="F686" i="5"/>
  <c r="G686" i="5"/>
  <c r="G687" i="5"/>
  <c r="E687" i="5"/>
  <c r="F687" i="5"/>
  <c r="G688" i="5"/>
  <c r="E688" i="5"/>
  <c r="F688" i="5"/>
  <c r="G689" i="5"/>
  <c r="E689" i="5"/>
  <c r="F689" i="5"/>
  <c r="G690" i="5"/>
  <c r="E690" i="5"/>
  <c r="F690" i="5"/>
  <c r="G691" i="5"/>
  <c r="E691" i="5"/>
  <c r="F691" i="5"/>
  <c r="E692" i="5"/>
  <c r="G692" i="5"/>
  <c r="F692" i="5"/>
  <c r="E693" i="5"/>
  <c r="G693" i="5"/>
  <c r="F693" i="5"/>
  <c r="E694" i="5"/>
  <c r="G694" i="5"/>
  <c r="F694" i="5"/>
  <c r="F695" i="5"/>
  <c r="E695" i="5"/>
  <c r="G695" i="5"/>
  <c r="G696" i="5"/>
  <c r="E696" i="5"/>
  <c r="F696" i="5"/>
  <c r="G697" i="5"/>
  <c r="F697" i="5"/>
  <c r="E697" i="5"/>
  <c r="F698" i="5"/>
  <c r="E698" i="5"/>
  <c r="G698" i="5"/>
  <c r="G699" i="5"/>
  <c r="E699" i="5"/>
  <c r="F699" i="5"/>
  <c r="F700" i="5"/>
  <c r="E700" i="5"/>
  <c r="G700" i="5"/>
  <c r="G701" i="5"/>
  <c r="F701" i="5"/>
  <c r="E701" i="5"/>
  <c r="G702" i="5"/>
  <c r="E702" i="5"/>
  <c r="F702" i="5"/>
  <c r="G703" i="5"/>
  <c r="F703" i="5"/>
  <c r="E703" i="5"/>
  <c r="E704" i="5"/>
  <c r="G704" i="5"/>
  <c r="F704" i="5"/>
  <c r="F705" i="5"/>
  <c r="E705" i="5"/>
  <c r="G705" i="5"/>
  <c r="E706" i="5"/>
  <c r="F706" i="5"/>
  <c r="G706" i="5"/>
  <c r="E707" i="5"/>
  <c r="F707" i="5"/>
  <c r="G707" i="5"/>
  <c r="F708" i="5"/>
  <c r="E708" i="5"/>
  <c r="G708" i="5"/>
  <c r="E709" i="5"/>
  <c r="F709" i="5"/>
  <c r="G709" i="5"/>
  <c r="E710" i="5"/>
  <c r="F710" i="5"/>
  <c r="G710" i="5"/>
  <c r="E711" i="5"/>
  <c r="F711" i="5"/>
  <c r="G711" i="5"/>
  <c r="E712" i="5"/>
  <c r="F712" i="5"/>
  <c r="G712" i="5"/>
  <c r="E713" i="5"/>
  <c r="G713" i="5"/>
  <c r="F713" i="5"/>
  <c r="F714" i="5"/>
  <c r="G714" i="5"/>
  <c r="E714" i="5"/>
  <c r="E715" i="5"/>
  <c r="F715" i="5"/>
  <c r="G715" i="5"/>
  <c r="F716" i="5"/>
  <c r="G716" i="5"/>
  <c r="E716" i="5"/>
  <c r="F717" i="5"/>
  <c r="G717" i="5"/>
  <c r="E717" i="5"/>
  <c r="F718" i="5"/>
  <c r="E718" i="5"/>
  <c r="G718" i="5"/>
  <c r="E719" i="5"/>
  <c r="G719" i="5"/>
  <c r="F719" i="5"/>
  <c r="E720" i="5"/>
  <c r="G720" i="5"/>
  <c r="F720" i="5"/>
  <c r="E721" i="5"/>
  <c r="F721" i="5"/>
  <c r="G721" i="5"/>
  <c r="F722" i="5"/>
  <c r="E722" i="5"/>
  <c r="G722" i="5"/>
  <c r="G723" i="5"/>
  <c r="E723" i="5"/>
  <c r="F723" i="5"/>
  <c r="E724" i="5"/>
  <c r="F724" i="5"/>
  <c r="G724" i="5"/>
  <c r="E725" i="5"/>
  <c r="F725" i="5"/>
  <c r="G725" i="5"/>
  <c r="G726" i="5"/>
  <c r="E726" i="5"/>
  <c r="F726" i="5"/>
  <c r="G727" i="5"/>
  <c r="E727" i="5"/>
  <c r="F727" i="5"/>
  <c r="F728" i="5"/>
  <c r="G728" i="5"/>
  <c r="E728" i="5"/>
  <c r="F729" i="5"/>
  <c r="G729" i="5"/>
  <c r="E729" i="5"/>
  <c r="F730" i="5"/>
  <c r="E730" i="5"/>
  <c r="G730" i="5"/>
  <c r="F731" i="5"/>
  <c r="G731" i="5"/>
  <c r="E731" i="5"/>
  <c r="F732" i="5"/>
  <c r="G732" i="5"/>
  <c r="E732" i="5"/>
  <c r="F733" i="5"/>
  <c r="G733" i="5"/>
  <c r="E733" i="5"/>
  <c r="F734" i="5"/>
  <c r="G734" i="5"/>
  <c r="E734" i="5"/>
  <c r="F735" i="5"/>
  <c r="G735" i="5"/>
  <c r="E735" i="5"/>
  <c r="G736" i="5"/>
  <c r="E736" i="5"/>
  <c r="F736" i="5"/>
  <c r="G737" i="5"/>
  <c r="F737" i="5"/>
  <c r="E737" i="5"/>
  <c r="G738" i="5"/>
  <c r="F738" i="5"/>
  <c r="E738" i="5"/>
  <c r="G739" i="5"/>
  <c r="E739" i="5"/>
  <c r="F739" i="5"/>
  <c r="G740" i="5"/>
  <c r="F740" i="5"/>
  <c r="E740" i="5"/>
  <c r="E741" i="5"/>
  <c r="F741" i="5"/>
  <c r="G741" i="5"/>
  <c r="E742" i="5"/>
  <c r="F742" i="5"/>
  <c r="G742" i="5"/>
  <c r="F743" i="5"/>
  <c r="E743" i="5"/>
  <c r="G743" i="5"/>
  <c r="F744" i="5"/>
  <c r="E744" i="5"/>
  <c r="G744" i="5"/>
  <c r="F745" i="5"/>
  <c r="E745" i="5"/>
  <c r="G745" i="5"/>
  <c r="F746" i="5"/>
  <c r="G746" i="5"/>
  <c r="E746" i="5"/>
  <c r="G747" i="5"/>
  <c r="E747" i="5"/>
  <c r="F747" i="5"/>
  <c r="G748" i="5"/>
  <c r="F748" i="5"/>
  <c r="E748" i="5"/>
  <c r="F749" i="5"/>
  <c r="G749" i="5"/>
  <c r="E749" i="5"/>
  <c r="E750" i="5"/>
  <c r="F750" i="5"/>
  <c r="G750" i="5"/>
  <c r="E751" i="5"/>
  <c r="F751" i="5"/>
  <c r="G751" i="5"/>
  <c r="F752" i="5"/>
  <c r="E752" i="5"/>
  <c r="G752" i="5"/>
  <c r="G753" i="5"/>
  <c r="E753" i="5"/>
  <c r="F753" i="5"/>
  <c r="F754" i="5"/>
  <c r="G754" i="5"/>
  <c r="E754" i="5"/>
  <c r="F755" i="5"/>
  <c r="E755" i="5"/>
  <c r="G755" i="5"/>
  <c r="E756" i="5"/>
  <c r="G756" i="5"/>
  <c r="F756" i="5"/>
  <c r="F757" i="5"/>
  <c r="E757" i="5"/>
  <c r="G757" i="5"/>
  <c r="G758" i="5"/>
  <c r="E758" i="5"/>
  <c r="F758" i="5"/>
  <c r="F759" i="5"/>
  <c r="G759" i="5"/>
  <c r="E759" i="5"/>
  <c r="G760" i="5"/>
  <c r="E760" i="5"/>
  <c r="F760" i="5"/>
  <c r="F761" i="5"/>
  <c r="E761" i="5"/>
  <c r="G761" i="5"/>
  <c r="E762" i="5"/>
  <c r="G762" i="5"/>
  <c r="F762" i="5"/>
  <c r="F763" i="5"/>
  <c r="E763" i="5"/>
  <c r="G763" i="5"/>
  <c r="G764" i="5"/>
  <c r="E764" i="5"/>
  <c r="F764" i="5"/>
  <c r="G765" i="5"/>
  <c r="F765" i="5"/>
  <c r="E765" i="5"/>
  <c r="G766" i="5"/>
  <c r="E766" i="5"/>
  <c r="F766" i="5"/>
  <c r="F767" i="5"/>
  <c r="E767" i="5"/>
  <c r="G767" i="5"/>
  <c r="G768" i="5"/>
  <c r="E768" i="5"/>
  <c r="F768" i="5"/>
  <c r="G769" i="5"/>
  <c r="E769" i="5"/>
  <c r="F769" i="5"/>
  <c r="F770" i="5"/>
  <c r="G770" i="5"/>
  <c r="E770" i="5"/>
  <c r="G771" i="5"/>
  <c r="E771" i="5"/>
  <c r="F771" i="5"/>
  <c r="G772" i="5"/>
  <c r="E772" i="5"/>
  <c r="F772" i="5"/>
  <c r="E773" i="5"/>
  <c r="G773" i="5"/>
  <c r="F773" i="5"/>
  <c r="E774" i="5"/>
  <c r="G774" i="5"/>
  <c r="F774" i="5"/>
  <c r="G775" i="5"/>
  <c r="E775" i="5"/>
  <c r="F775" i="5"/>
  <c r="G776" i="5"/>
  <c r="F776" i="5"/>
  <c r="E776" i="5"/>
  <c r="G777" i="5"/>
  <c r="E777" i="5"/>
  <c r="F777" i="5"/>
  <c r="G778" i="5"/>
  <c r="E778" i="5"/>
  <c r="F778" i="5"/>
  <c r="E779" i="5"/>
  <c r="G779" i="5"/>
  <c r="F779" i="5"/>
  <c r="E780" i="5"/>
  <c r="F780" i="5"/>
  <c r="G780" i="5"/>
  <c r="E781" i="5"/>
  <c r="G781" i="5"/>
  <c r="F781" i="5"/>
  <c r="G782" i="5"/>
  <c r="E782" i="5"/>
  <c r="F782" i="5"/>
  <c r="G783" i="5"/>
  <c r="E783" i="5"/>
  <c r="F783" i="5"/>
  <c r="G784" i="5"/>
  <c r="E784" i="5"/>
  <c r="F784" i="5"/>
  <c r="E785" i="5"/>
  <c r="G785" i="5"/>
  <c r="F785" i="5"/>
  <c r="E786" i="5"/>
  <c r="G786" i="5"/>
  <c r="F786" i="5"/>
  <c r="F787" i="5"/>
  <c r="G787" i="5"/>
  <c r="E787" i="5"/>
  <c r="E788" i="5"/>
  <c r="G788" i="5"/>
  <c r="F788" i="5"/>
  <c r="F789" i="5"/>
  <c r="G789" i="5"/>
  <c r="E789" i="5"/>
  <c r="E790" i="5"/>
  <c r="G790" i="5"/>
  <c r="F790" i="5"/>
  <c r="E791" i="5"/>
  <c r="F791" i="5"/>
  <c r="G791" i="5"/>
  <c r="E792" i="5"/>
  <c r="F792" i="5"/>
  <c r="G792" i="5"/>
  <c r="E793" i="5"/>
  <c r="G793" i="5"/>
  <c r="F793" i="5"/>
  <c r="E794" i="5"/>
  <c r="F794" i="5"/>
  <c r="G794" i="5"/>
  <c r="E795" i="5"/>
  <c r="G795" i="5"/>
  <c r="F795" i="5"/>
  <c r="E796" i="5"/>
  <c r="F796" i="5"/>
  <c r="G796" i="5"/>
  <c r="G797" i="5"/>
  <c r="F797" i="5"/>
  <c r="E797" i="5"/>
  <c r="F798" i="5"/>
  <c r="G798" i="5"/>
  <c r="E798" i="5"/>
  <c r="F799" i="5"/>
  <c r="G799" i="5"/>
  <c r="E799" i="5"/>
  <c r="F800" i="5"/>
  <c r="G800" i="5"/>
  <c r="E800" i="5"/>
  <c r="G801" i="5"/>
  <c r="E801" i="5"/>
  <c r="F801" i="5"/>
  <c r="G802" i="5"/>
  <c r="F802" i="5"/>
  <c r="E802" i="5"/>
  <c r="F803" i="5"/>
  <c r="G803" i="5"/>
  <c r="E803" i="5"/>
  <c r="F804" i="5"/>
  <c r="G804" i="5"/>
  <c r="E804" i="5"/>
  <c r="G805" i="5"/>
  <c r="E805" i="5"/>
  <c r="F805" i="5"/>
  <c r="F806" i="5"/>
  <c r="G806" i="5"/>
  <c r="E806" i="5"/>
  <c r="E807" i="5"/>
  <c r="G807" i="5"/>
  <c r="F807" i="5"/>
  <c r="G808" i="5"/>
  <c r="E808" i="5"/>
  <c r="F808" i="5"/>
  <c r="G809" i="5"/>
  <c r="E809" i="5"/>
  <c r="F809" i="5"/>
  <c r="G810" i="5"/>
  <c r="F810" i="5"/>
  <c r="E810" i="5"/>
  <c r="E811" i="5"/>
  <c r="G811" i="5"/>
  <c r="F811" i="5"/>
  <c r="E812" i="5"/>
  <c r="G812" i="5"/>
  <c r="F812" i="5"/>
  <c r="G813" i="5"/>
  <c r="E813" i="5"/>
  <c r="F813" i="5"/>
  <c r="F814" i="5"/>
  <c r="G814" i="5"/>
  <c r="E814" i="5"/>
  <c r="G815" i="5"/>
  <c r="F815" i="5"/>
  <c r="E815" i="5"/>
  <c r="G816" i="5"/>
  <c r="E816" i="5"/>
  <c r="F816" i="5"/>
  <c r="G817" i="5"/>
  <c r="E817" i="5"/>
  <c r="F817" i="5"/>
  <c r="E818" i="5"/>
  <c r="G818" i="5"/>
  <c r="F818" i="5"/>
  <c r="E819" i="5"/>
  <c r="F819" i="5"/>
  <c r="G819" i="5"/>
  <c r="E820" i="5"/>
  <c r="G820" i="5"/>
  <c r="F820" i="5"/>
  <c r="E821" i="5"/>
  <c r="F821" i="5"/>
  <c r="G821" i="5"/>
  <c r="E822" i="5"/>
  <c r="F822" i="5"/>
  <c r="G822" i="5"/>
  <c r="E823" i="5"/>
  <c r="F823" i="5"/>
  <c r="G823" i="5"/>
  <c r="E824" i="5"/>
  <c r="F824" i="5"/>
  <c r="G824" i="5"/>
  <c r="E825" i="5"/>
  <c r="G825" i="5"/>
  <c r="F825" i="5"/>
  <c r="E826" i="5"/>
  <c r="F826" i="5"/>
  <c r="G826" i="5"/>
  <c r="E827" i="5"/>
  <c r="F827" i="5"/>
  <c r="G827" i="5"/>
  <c r="E828" i="5"/>
  <c r="G828" i="5"/>
  <c r="F828" i="5"/>
  <c r="E829" i="5"/>
  <c r="F829" i="5"/>
  <c r="G829" i="5"/>
  <c r="E830" i="5"/>
  <c r="G830" i="5"/>
  <c r="F830" i="5"/>
  <c r="E831" i="5"/>
  <c r="F831" i="5"/>
  <c r="G831" i="5"/>
  <c r="E832" i="5"/>
  <c r="F832" i="5"/>
  <c r="G832" i="5"/>
  <c r="G833" i="5"/>
  <c r="F833" i="5"/>
  <c r="E833" i="5"/>
  <c r="G834" i="5"/>
  <c r="F834" i="5"/>
  <c r="E834" i="5"/>
  <c r="E835" i="5"/>
  <c r="F835" i="5"/>
  <c r="G835" i="5"/>
  <c r="G836" i="5"/>
  <c r="F836" i="5"/>
  <c r="E836" i="5"/>
  <c r="F837" i="5"/>
  <c r="G837" i="5"/>
  <c r="E837" i="5"/>
  <c r="G838" i="5"/>
  <c r="F838" i="5"/>
  <c r="E838" i="5"/>
  <c r="G839" i="5"/>
  <c r="F839" i="5"/>
  <c r="E839" i="5"/>
  <c r="F840" i="5"/>
  <c r="G840" i="5"/>
  <c r="E840" i="5"/>
  <c r="E841" i="5"/>
  <c r="F841" i="5"/>
  <c r="G841" i="5"/>
  <c r="E842" i="5"/>
  <c r="F842" i="5"/>
  <c r="G842" i="5"/>
  <c r="E843" i="5"/>
  <c r="G843" i="5"/>
  <c r="F843" i="5"/>
  <c r="E844" i="5"/>
  <c r="F844" i="5"/>
  <c r="G844" i="5"/>
  <c r="E845" i="5"/>
  <c r="F845" i="5"/>
  <c r="G845" i="5"/>
  <c r="E846" i="5"/>
  <c r="F846" i="5"/>
  <c r="G846" i="5"/>
  <c r="G847" i="5"/>
  <c r="E847" i="5"/>
  <c r="F847" i="5"/>
  <c r="G848" i="5"/>
  <c r="E848" i="5"/>
  <c r="F848" i="5"/>
  <c r="F849" i="5"/>
  <c r="E849" i="5"/>
  <c r="G849" i="5"/>
  <c r="G850" i="5"/>
  <c r="E850" i="5"/>
  <c r="F850" i="5"/>
  <c r="G851" i="5"/>
  <c r="E851" i="5"/>
  <c r="F851" i="5"/>
  <c r="E852" i="5"/>
  <c r="G852" i="5"/>
  <c r="F852" i="5"/>
  <c r="E853" i="5"/>
  <c r="G853" i="5"/>
  <c r="F853" i="5"/>
  <c r="E854" i="5"/>
  <c r="G854" i="5"/>
  <c r="F854" i="5"/>
  <c r="F855" i="5"/>
  <c r="E855" i="5"/>
  <c r="G855" i="5"/>
  <c r="E856" i="5"/>
  <c r="G856" i="5"/>
  <c r="F856" i="5"/>
  <c r="F857" i="5"/>
  <c r="E857" i="5"/>
  <c r="G857" i="5"/>
  <c r="F858" i="5"/>
  <c r="G858" i="5"/>
  <c r="E858" i="5"/>
  <c r="E859" i="5"/>
  <c r="F859" i="5"/>
  <c r="G859" i="5"/>
  <c r="F860" i="5"/>
  <c r="G860" i="5"/>
  <c r="E860" i="5"/>
  <c r="F861" i="5"/>
  <c r="E861" i="5"/>
  <c r="G861" i="5"/>
  <c r="F862" i="5"/>
  <c r="E862" i="5"/>
  <c r="G862" i="5"/>
  <c r="F863" i="5"/>
  <c r="G863" i="5"/>
  <c r="E863" i="5"/>
  <c r="F864" i="5"/>
  <c r="E864" i="5"/>
  <c r="G864" i="5"/>
  <c r="E865" i="5"/>
  <c r="F865" i="5"/>
  <c r="G865" i="5"/>
  <c r="F866" i="5"/>
  <c r="G866" i="5"/>
  <c r="E866" i="5"/>
  <c r="F867" i="5"/>
  <c r="G867" i="5"/>
  <c r="E867" i="5"/>
  <c r="F868" i="5"/>
  <c r="G868" i="5"/>
  <c r="E868" i="5"/>
  <c r="G869" i="5"/>
  <c r="F869" i="5"/>
  <c r="E869" i="5"/>
  <c r="F870" i="5"/>
  <c r="E870" i="5"/>
  <c r="G870" i="5"/>
  <c r="E871" i="5"/>
  <c r="F871" i="5"/>
  <c r="G871" i="5"/>
  <c r="F872" i="5"/>
  <c r="G872" i="5"/>
  <c r="E872" i="5"/>
  <c r="E873" i="5"/>
  <c r="F873" i="5"/>
  <c r="G873" i="5"/>
  <c r="G874" i="5"/>
  <c r="F874" i="5"/>
  <c r="E874" i="5"/>
  <c r="F875" i="5"/>
  <c r="G875" i="5"/>
  <c r="E875" i="5"/>
  <c r="G876" i="5"/>
  <c r="E876" i="5"/>
  <c r="F876" i="5"/>
  <c r="E877" i="5"/>
  <c r="G877" i="5"/>
  <c r="F877" i="5"/>
  <c r="E878" i="5"/>
  <c r="F878" i="5"/>
  <c r="G878" i="5"/>
  <c r="E879" i="5"/>
  <c r="F879" i="5"/>
  <c r="G879" i="5"/>
  <c r="E880" i="5"/>
  <c r="G880" i="5"/>
  <c r="F880" i="5"/>
  <c r="E881" i="5"/>
  <c r="G881" i="5"/>
  <c r="F881" i="5"/>
  <c r="E882" i="5"/>
  <c r="F882" i="5"/>
  <c r="G882" i="5"/>
  <c r="E883" i="5"/>
  <c r="G883" i="5"/>
  <c r="F883" i="5"/>
  <c r="E884" i="5"/>
  <c r="F884" i="5"/>
  <c r="G884" i="5"/>
  <c r="F885" i="5"/>
  <c r="G885" i="5"/>
  <c r="E885" i="5"/>
  <c r="E886" i="5"/>
  <c r="G886" i="5"/>
  <c r="F886" i="5"/>
  <c r="F887" i="5"/>
  <c r="G887" i="5"/>
  <c r="E887" i="5"/>
  <c r="F888" i="5"/>
  <c r="E888" i="5"/>
  <c r="G888" i="5"/>
  <c r="E889" i="5"/>
  <c r="G889" i="5"/>
  <c r="F889" i="5"/>
  <c r="E890" i="5"/>
  <c r="F890" i="5"/>
  <c r="G890" i="5"/>
  <c r="F891" i="5"/>
  <c r="E891" i="5"/>
  <c r="G891" i="5"/>
  <c r="E892" i="5"/>
  <c r="F892" i="5"/>
  <c r="G892" i="5"/>
  <c r="F893" i="5"/>
  <c r="E893" i="5"/>
  <c r="G893" i="5"/>
  <c r="G894" i="5"/>
  <c r="F894" i="5"/>
  <c r="E894" i="5"/>
  <c r="F895" i="5"/>
  <c r="G895" i="5"/>
  <c r="E895" i="5"/>
  <c r="G896" i="5"/>
  <c r="F896" i="5"/>
  <c r="E896" i="5"/>
  <c r="G897" i="5"/>
  <c r="F897" i="5"/>
  <c r="E897" i="5"/>
  <c r="G898" i="5"/>
  <c r="F898" i="5"/>
  <c r="E898" i="5"/>
  <c r="G899" i="5"/>
  <c r="F899" i="5"/>
  <c r="E899" i="5"/>
  <c r="E900" i="5"/>
  <c r="F900" i="5"/>
  <c r="G900" i="5"/>
  <c r="G901" i="5"/>
  <c r="F901" i="5"/>
  <c r="E901" i="5"/>
  <c r="G902" i="5"/>
  <c r="F902" i="5"/>
  <c r="E902" i="5"/>
  <c r="F903" i="5"/>
  <c r="G903" i="5"/>
  <c r="E903" i="5"/>
  <c r="F904" i="5"/>
  <c r="G904" i="5"/>
  <c r="E904" i="5"/>
  <c r="F905" i="5"/>
  <c r="G905" i="5"/>
  <c r="E905" i="5"/>
  <c r="F906" i="5"/>
  <c r="G906" i="5"/>
  <c r="E906" i="5"/>
  <c r="F907" i="5"/>
  <c r="E907" i="5"/>
  <c r="G907" i="5"/>
  <c r="F908" i="5"/>
  <c r="E908" i="5"/>
  <c r="G908" i="5"/>
  <c r="F909" i="5"/>
  <c r="G909" i="5"/>
  <c r="E909" i="5"/>
  <c r="E910" i="5"/>
  <c r="G910" i="5"/>
  <c r="F910" i="5"/>
  <c r="G911" i="5"/>
  <c r="E911" i="5"/>
  <c r="F911" i="5"/>
  <c r="G912" i="5"/>
  <c r="E912" i="5"/>
  <c r="F912" i="5"/>
  <c r="G913" i="5"/>
  <c r="E913" i="5"/>
  <c r="F913" i="5"/>
  <c r="G914" i="5"/>
  <c r="F914" i="5"/>
  <c r="E914" i="5"/>
  <c r="E915" i="5"/>
  <c r="F915" i="5"/>
  <c r="G915" i="5"/>
  <c r="G916" i="5"/>
  <c r="E916" i="5"/>
  <c r="F916" i="5"/>
  <c r="G917" i="5"/>
  <c r="E917" i="5"/>
  <c r="F917" i="5"/>
  <c r="G918" i="5"/>
  <c r="F918" i="5"/>
  <c r="E918" i="5"/>
  <c r="E919" i="5"/>
  <c r="G919" i="5"/>
  <c r="F919" i="5"/>
  <c r="F920" i="5"/>
  <c r="E920" i="5"/>
  <c r="G920" i="5"/>
  <c r="F921" i="5"/>
  <c r="G921" i="5"/>
  <c r="E921" i="5"/>
  <c r="F922" i="5"/>
  <c r="E922" i="5"/>
  <c r="G922" i="5"/>
  <c r="F923" i="5"/>
  <c r="E923" i="5"/>
  <c r="G923" i="5"/>
  <c r="F924" i="5"/>
  <c r="E924" i="5"/>
  <c r="G924" i="5"/>
  <c r="F925" i="5"/>
  <c r="G925" i="5"/>
  <c r="E925" i="5"/>
  <c r="G926" i="5"/>
  <c r="F926" i="5"/>
  <c r="E926" i="5"/>
  <c r="E927" i="5"/>
  <c r="F927" i="5"/>
  <c r="G927" i="5"/>
  <c r="F928" i="5"/>
  <c r="E928" i="5"/>
  <c r="G928" i="5"/>
  <c r="E929" i="5"/>
  <c r="G929" i="5"/>
  <c r="F929" i="5"/>
  <c r="E930" i="5"/>
  <c r="G930" i="5"/>
  <c r="F930" i="5"/>
  <c r="E931" i="5"/>
  <c r="G931" i="5"/>
  <c r="F931" i="5"/>
  <c r="G932" i="5"/>
  <c r="E932" i="5"/>
  <c r="F932" i="5"/>
  <c r="G933" i="5"/>
  <c r="E933" i="5"/>
  <c r="F933" i="5"/>
  <c r="F934" i="5"/>
  <c r="G934" i="5"/>
  <c r="E934" i="5"/>
  <c r="G935" i="5"/>
  <c r="F935" i="5"/>
  <c r="E935" i="5"/>
  <c r="G936" i="5"/>
  <c r="F936" i="5"/>
  <c r="E936" i="5"/>
  <c r="G937" i="5"/>
  <c r="F937" i="5"/>
  <c r="E937" i="5"/>
  <c r="G938" i="5"/>
  <c r="F938" i="5"/>
  <c r="E938" i="5"/>
  <c r="F939" i="5"/>
  <c r="E939" i="5"/>
  <c r="G939" i="5"/>
  <c r="G940" i="5"/>
  <c r="E940" i="5"/>
  <c r="F940" i="5"/>
  <c r="G941" i="5"/>
  <c r="E941" i="5"/>
  <c r="F941" i="5"/>
  <c r="G942" i="5"/>
  <c r="E942" i="5"/>
  <c r="F942" i="5"/>
  <c r="F943" i="5"/>
  <c r="G943" i="5"/>
  <c r="E943" i="5"/>
  <c r="G944" i="5"/>
  <c r="E944" i="5"/>
  <c r="F944" i="5"/>
  <c r="E945" i="5"/>
  <c r="F945" i="5"/>
  <c r="G945" i="5"/>
  <c r="F946" i="5"/>
  <c r="G946" i="5"/>
  <c r="E946" i="5"/>
  <c r="F947" i="5"/>
  <c r="G947" i="5"/>
  <c r="E947" i="5"/>
  <c r="F948" i="5"/>
  <c r="G948" i="5"/>
  <c r="E948" i="5"/>
  <c r="F949" i="5"/>
  <c r="G949" i="5"/>
  <c r="E949" i="5"/>
  <c r="G950" i="5"/>
  <c r="F950" i="5"/>
  <c r="E950" i="5"/>
  <c r="E951" i="5"/>
  <c r="F951" i="5"/>
  <c r="G951" i="5"/>
  <c r="F952" i="5"/>
  <c r="E952" i="5"/>
  <c r="G952" i="5"/>
  <c r="F953" i="5"/>
  <c r="G953" i="5"/>
  <c r="E953" i="5"/>
  <c r="F954" i="5"/>
  <c r="G954" i="5"/>
  <c r="E954" i="5"/>
  <c r="E955" i="5"/>
  <c r="F955" i="5"/>
  <c r="G955" i="5"/>
  <c r="E956" i="5"/>
  <c r="F956" i="5"/>
  <c r="G956" i="5"/>
  <c r="E957" i="5"/>
  <c r="F957" i="5"/>
  <c r="G957" i="5"/>
  <c r="E958" i="5"/>
  <c r="F958" i="5"/>
  <c r="G958" i="5"/>
  <c r="E959" i="5"/>
  <c r="F959" i="5"/>
  <c r="G959" i="5"/>
  <c r="E960" i="5"/>
  <c r="F960" i="5"/>
  <c r="G960" i="5"/>
  <c r="E961" i="5"/>
  <c r="F961" i="5"/>
  <c r="G961" i="5"/>
  <c r="E962" i="5"/>
  <c r="F962" i="5"/>
  <c r="G962" i="5"/>
  <c r="F963" i="5"/>
  <c r="E963" i="5"/>
  <c r="G963" i="5"/>
  <c r="E964" i="5"/>
  <c r="F964" i="5"/>
  <c r="G964" i="5"/>
  <c r="G965" i="5"/>
  <c r="F965" i="5"/>
  <c r="E965" i="5"/>
  <c r="E966" i="5"/>
  <c r="F966" i="5"/>
  <c r="G966" i="5"/>
  <c r="F967" i="5"/>
  <c r="E967" i="5"/>
  <c r="G967" i="5"/>
  <c r="F968" i="5"/>
  <c r="E968" i="5"/>
  <c r="G968" i="5"/>
  <c r="F969" i="5"/>
  <c r="G969" i="5"/>
  <c r="E969" i="5"/>
  <c r="F970" i="5"/>
  <c r="E970" i="5"/>
  <c r="G970" i="5"/>
  <c r="G971" i="5"/>
  <c r="E971" i="5"/>
  <c r="F971" i="5"/>
  <c r="E972" i="5"/>
  <c r="G972" i="5"/>
  <c r="F972" i="5"/>
  <c r="G973" i="5"/>
  <c r="E973" i="5"/>
  <c r="F973" i="5"/>
  <c r="E974" i="5"/>
  <c r="G974" i="5"/>
  <c r="F974" i="5"/>
  <c r="E975" i="5"/>
  <c r="F975" i="5"/>
  <c r="G975" i="5"/>
  <c r="E976" i="5"/>
  <c r="F976" i="5"/>
  <c r="G976" i="5"/>
  <c r="F977" i="5"/>
  <c r="G977" i="5"/>
  <c r="E977" i="5"/>
  <c r="G978" i="5"/>
  <c r="E978" i="5"/>
  <c r="F978" i="5"/>
  <c r="F979" i="5"/>
  <c r="E979" i="5"/>
  <c r="G979" i="5"/>
  <c r="E980" i="5"/>
  <c r="G980" i="5"/>
  <c r="F980" i="5"/>
  <c r="F981" i="5"/>
  <c r="G981" i="5"/>
  <c r="E981" i="5"/>
  <c r="G982" i="5"/>
  <c r="F982" i="5"/>
  <c r="E982" i="5"/>
  <c r="G983" i="5"/>
  <c r="F983" i="5"/>
  <c r="E983" i="5"/>
  <c r="G984" i="5"/>
  <c r="F984" i="5"/>
  <c r="E984" i="5"/>
  <c r="G985" i="5"/>
  <c r="E985" i="5"/>
  <c r="F985" i="5"/>
  <c r="E986" i="5"/>
  <c r="G986" i="5"/>
  <c r="F986" i="5"/>
  <c r="E987" i="5"/>
  <c r="F987" i="5"/>
  <c r="G987" i="5"/>
  <c r="G988" i="5"/>
  <c r="F988" i="5"/>
  <c r="E988" i="5"/>
  <c r="F989" i="5"/>
  <c r="G989" i="5"/>
  <c r="E989" i="5"/>
  <c r="E990" i="5"/>
  <c r="F990" i="5"/>
  <c r="G990" i="5"/>
  <c r="E991" i="5"/>
  <c r="F991" i="5"/>
  <c r="G991" i="5"/>
  <c r="E992" i="5"/>
  <c r="G992" i="5"/>
  <c r="F992" i="5"/>
  <c r="G993" i="5"/>
  <c r="F993" i="5"/>
  <c r="E993" i="5"/>
  <c r="F994" i="5"/>
  <c r="G994" i="5"/>
  <c r="E994" i="5"/>
  <c r="G995" i="5"/>
  <c r="F995" i="5"/>
  <c r="E995" i="5"/>
  <c r="F996" i="5"/>
  <c r="G996" i="5"/>
  <c r="E996" i="5"/>
  <c r="G997" i="5"/>
  <c r="F997" i="5"/>
  <c r="E997" i="5"/>
  <c r="F998" i="5"/>
  <c r="G998" i="5"/>
  <c r="E998" i="5"/>
  <c r="G999" i="5"/>
  <c r="F999" i="5"/>
  <c r="E999" i="5"/>
  <c r="G1000" i="5"/>
  <c r="F1000" i="5"/>
  <c r="E1000" i="5"/>
  <c r="G1001" i="5"/>
  <c r="F1001" i="5"/>
  <c r="E1001" i="5"/>
  <c r="G2" i="5"/>
  <c r="F2" i="5"/>
  <c r="E2" i="5"/>
</calcChain>
</file>

<file path=xl/sharedStrings.xml><?xml version="1.0" encoding="utf-8"?>
<sst xmlns="http://schemas.openxmlformats.org/spreadsheetml/2006/main" count="7175" uniqueCount="1144">
  <si>
    <t>STUDY CASE: NUSANTARA MART RETAIL SALES ANALYSIS (1.000 TRANSAKSI)</t>
  </si>
  <si>
    <t>Studi kasus ini dirancang khusus untuk menguji dan melatih keterampilan analisis data Excel dari tingkat dasar hingga mahir.</t>
  </si>
  <si>
    <t>A. STRUKTUR SHEET DI WORKBOOK INI</t>
  </si>
  <si>
    <t>1. Raw_Data_Transaksi : Berisi 1.000 baris data transaksi asli sepanjang tahun 2025.</t>
  </si>
  <si>
    <t>2. Master_Produk      : Tabel referensi harga, modal (COGS), dan kategori 15 produk.</t>
  </si>
  <si>
    <t>3. Master_Sales       : Tabel referensi data tim sales, wilayah (Region), dan kantor cabang (Branch).</t>
  </si>
  <si>
    <t>4. Lembar_Kerja_Analisis : Sheet kerja utama tempat Anda mengerjakan penggabungan data dan formula.</t>
  </si>
  <si>
    <t>B. DAFTAR TUGAS DAN SOAL LATIHAN TERARAH</t>
  </si>
  <si>
    <t>MODUL 1: LOOKUP &amp; INDEX MATCH (MENGISI SHEET 'Lembar_Kerja_Analisis')</t>
  </si>
  <si>
    <t>Soal 1.1: Isi kolom C (Sales_Name) menggunakan rumus VLOOKUP atau XLOOKUP dengan mencocokkan Sales_ID dari Raw_Data_Transaksi ke tabel Master_Sales.</t>
  </si>
  <si>
    <t>Soal 1.2: Isi kolom D (Region) dan kolom E (Branch) menggunakan INDEX &amp; MATCH berdasarkan Sales_ID.</t>
  </si>
  <si>
    <t>Soal 1.3: Isi kolom F (Product_Name) dan G (Category) dengan referensi ke tabel Master_Produk menggunakan Product_ID dari Raw_Data_Transaksi.</t>
  </si>
  <si>
    <t>Soal 1.4: Isi kolom H (Unit_Price) dan I (Cost_Price) menggunakan INDEX &amp; MATCH atau XLOOKUP dari tabel Master_Produk.</t>
  </si>
  <si>
    <t>Soal 1.5: Buat formula perhitungan bisnis:</t>
  </si>
  <si>
    <t xml:space="preserve">          • Gross_Revenue   = Qty * Unit_Price</t>
  </si>
  <si>
    <t xml:space="preserve">          • Discount_Amount = Gross_Revenue * Discount_Pct</t>
  </si>
  <si>
    <t xml:space="preserve">          • Net_Revenue     = Gross_Revenue - Discount_Amount</t>
  </si>
  <si>
    <t xml:space="preserve">          • Total_COGS      = Qty * Cost_Price</t>
  </si>
  <si>
    <t xml:space="preserve">          • Total_Profit    = Net_Revenue - Total_COGS</t>
  </si>
  <si>
    <t>MODUL 2: DATA FORMATTING &amp; CONDITIONAL FORMATTING</t>
  </si>
  <si>
    <t>Soal 2.1: Terapkan format mata uang Indonesia Rupiah (Rp#,##0) pada kolom Unit_Price, Cost_Price, Gross_Revenue, Discount_Amount, Net_Revenue, Total_COGS, dan Total_Profit.</t>
  </si>
  <si>
    <t>Soal 2.2: Terapkan Conditional Formatting 'Highlight Cells Rules':</t>
  </si>
  <si>
    <t xml:space="preserve">          • Berikan warna Soft Green pada transaksi dengan Total_Profit di atas Rp 5.000.000.</t>
  </si>
  <si>
    <t xml:space="preserve">          • Berikan warna Soft Red (Light Red Fill) jika ada transaksi yang mengalami margin tipis / rugi.</t>
  </si>
  <si>
    <t>Soal 2.3: Tambahkan Data Bars (Warna Biru Gradasi) pada kolom Net_Revenue untuk melihat proporsi nominal pendapatan secara visual langsung di sel.</t>
  </si>
  <si>
    <t>MODUL 3: PIVOT TABLE &amp; DATA SUMMARIZATION</t>
  </si>
  <si>
    <t>Soal 3.1: Buat Pivot Table 1 di sheet baru (Beri nama 'PT_Sales_Performance'):</t>
  </si>
  <si>
    <t xml:space="preserve">          • Rows: Region, Sales_Name</t>
  </si>
  <si>
    <t xml:space="preserve">          • Values: Sum of Net_Revenue, Sum of Total_Profit, Average of Discount_Pct</t>
  </si>
  <si>
    <t xml:space="preserve">          • Tambahkan Calculated Field '% Profit Margin' = ('Total_Profit' / 'Net_Revenue'). Format sebagai Persentase (0.0%).</t>
  </si>
  <si>
    <t>Soal 3.2: Buat Pivot Table 2 di sheet baru (Beri nama 'PT_Kategori_Produk'):</t>
  </si>
  <si>
    <t xml:space="preserve">          • Rows: Category, Product_Name</t>
  </si>
  <si>
    <t xml:space="preserve">          • Values: Sum of Qty, Sum of Net_Revenue</t>
  </si>
  <si>
    <t xml:space="preserve">          • Urutkan (Sort) dari Net_Revenue tertinggi ke terendah.</t>
  </si>
  <si>
    <t>Soal 3.3: Buat Pivot Table 3 di sheet baru (Beri nama 'PT_Monthly_Trend'):</t>
  </si>
  <si>
    <t xml:space="preserve">          • Rows: Order_Date (Grouped by Months)</t>
  </si>
  <si>
    <t xml:space="preserve">          • Columns: Category</t>
  </si>
  <si>
    <t xml:space="preserve">          • Values: Sum of Net_Revenue</t>
  </si>
  <si>
    <t>MODUL 4: DATA VISUALIZATION &amp; CHARTS</t>
  </si>
  <si>
    <t>Soal 4.1: Dari 'PT_Monthly_Trend', buatkan Line Chart (Grafik Garis) dengan Marker untuk melihat tren penjualan per kategori dari Januari hingga Desember.</t>
  </si>
  <si>
    <t>Soal 4.2: Dari 'PT_Kategori_Produk', buat Clustered Bar Chart (Grafik Batang Horizontal) yang menunjukkan Top 10 Produk Berdasarkan Revenue.</t>
  </si>
  <si>
    <t>Soal 4.3: Buat Donut Chart untuk melihat kontribusi penjualan berdasarkan Sales_Channel (Online Marketplace, Website, Direct Store, B2B).</t>
  </si>
  <si>
    <t>Soal 4.4: Hubungkan Slicer Interaktif (Slicer Region dan Slicer Category) ke grafik yang Anda buat sehingga grafik dapat difilter secara dinamis.</t>
  </si>
  <si>
    <t>Transaction_ID</t>
  </si>
  <si>
    <t>Order_Date</t>
  </si>
  <si>
    <t>Sales_ID</t>
  </si>
  <si>
    <t>Product_ID</t>
  </si>
  <si>
    <t>Qty</t>
  </si>
  <si>
    <t>Discount_Pct</t>
  </si>
  <si>
    <t>Sales_Channel</t>
  </si>
  <si>
    <t>Customer_Type</t>
  </si>
  <si>
    <t>Payment_Method</t>
  </si>
  <si>
    <t>TRX-2025-0001</t>
  </si>
  <si>
    <t>SLS-01</t>
  </si>
  <si>
    <t>PRD-102</t>
  </si>
  <si>
    <t>Website Toko</t>
  </si>
  <si>
    <t>Retail</t>
  </si>
  <si>
    <t>Kartu Kredit</t>
  </si>
  <si>
    <t>TRX-2025-0002</t>
  </si>
  <si>
    <t>SLS-02</t>
  </si>
  <si>
    <t>PRD-111</t>
  </si>
  <si>
    <t>Online Marketplace</t>
  </si>
  <si>
    <t>TRX-2025-0003</t>
  </si>
  <si>
    <t>PRD-109</t>
  </si>
  <si>
    <t>B2B Corporate</t>
  </si>
  <si>
    <t>COD</t>
  </si>
  <si>
    <t>TRX-2025-0004</t>
  </si>
  <si>
    <t>PRD-105</t>
  </si>
  <si>
    <t>Direct Store</t>
  </si>
  <si>
    <t>Corporate</t>
  </si>
  <si>
    <t>TRX-2025-0005</t>
  </si>
  <si>
    <t>SLS-06</t>
  </si>
  <si>
    <t>PRD-113</t>
  </si>
  <si>
    <t>E-Wallet</t>
  </si>
  <si>
    <t>TRX-2025-0006</t>
  </si>
  <si>
    <t>SLS-05</t>
  </si>
  <si>
    <t>PRD-110</t>
  </si>
  <si>
    <t>Transfer Bank</t>
  </si>
  <si>
    <t>TRX-2025-0007</t>
  </si>
  <si>
    <t>TRX-2025-0008</t>
  </si>
  <si>
    <t>SLS-04</t>
  </si>
  <si>
    <t>TRX-2025-0009</t>
  </si>
  <si>
    <t>PRD-106</t>
  </si>
  <si>
    <t>Member VIP</t>
  </si>
  <si>
    <t>TRX-2025-0010</t>
  </si>
  <si>
    <t>PRD-112</t>
  </si>
  <si>
    <t>TRX-2025-0011</t>
  </si>
  <si>
    <t>TRX-2025-0012</t>
  </si>
  <si>
    <t>PRD-104</t>
  </si>
  <si>
    <t>TRX-2025-0013</t>
  </si>
  <si>
    <t>SLS-03</t>
  </si>
  <si>
    <t>TRX-2025-0014</t>
  </si>
  <si>
    <t>PRD-107</t>
  </si>
  <si>
    <t>TRX-2025-0015</t>
  </si>
  <si>
    <t>PRD-103</t>
  </si>
  <si>
    <t>TRX-2025-0016</t>
  </si>
  <si>
    <t>PRD-108</t>
  </si>
  <si>
    <t>TRX-2025-0017</t>
  </si>
  <si>
    <t>TRX-2025-0018</t>
  </si>
  <si>
    <t>TRX-2025-0019</t>
  </si>
  <si>
    <t>TRX-2025-0020</t>
  </si>
  <si>
    <t>TRX-2025-0021</t>
  </si>
  <si>
    <t>TRX-2025-0022</t>
  </si>
  <si>
    <t>PRD-115</t>
  </si>
  <si>
    <t>TRX-2025-0023</t>
  </si>
  <si>
    <t>SLS-08</t>
  </si>
  <si>
    <t>TRX-2025-0024</t>
  </si>
  <si>
    <t>TRX-2025-0025</t>
  </si>
  <si>
    <t>TRX-2025-0026</t>
  </si>
  <si>
    <t>TRX-2025-0027</t>
  </si>
  <si>
    <t>TRX-2025-0028</t>
  </si>
  <si>
    <t>PRD-114</t>
  </si>
  <si>
    <t>TRX-2025-0029</t>
  </si>
  <si>
    <t>TRX-2025-0030</t>
  </si>
  <si>
    <t>TRX-2025-0031</t>
  </si>
  <si>
    <t>TRX-2025-0032</t>
  </si>
  <si>
    <t>SLS-07</t>
  </si>
  <si>
    <t>TRX-2025-0033</t>
  </si>
  <si>
    <t>TRX-2025-0034</t>
  </si>
  <si>
    <t>TRX-2025-0035</t>
  </si>
  <si>
    <t>PRD-101</t>
  </si>
  <si>
    <t>TRX-2025-0036</t>
  </si>
  <si>
    <t>TRX-2025-0037</t>
  </si>
  <si>
    <t>TRX-2025-0038</t>
  </si>
  <si>
    <t>TRX-2025-0039</t>
  </si>
  <si>
    <t>TRX-2025-0040</t>
  </si>
  <si>
    <t>TRX-2025-0041</t>
  </si>
  <si>
    <t>TRX-2025-0042</t>
  </si>
  <si>
    <t>TRX-2025-0043</t>
  </si>
  <si>
    <t>TRX-2025-0044</t>
  </si>
  <si>
    <t>TRX-2025-0045</t>
  </si>
  <si>
    <t>TRX-2025-0046</t>
  </si>
  <si>
    <t>TRX-2025-0047</t>
  </si>
  <si>
    <t>TRX-2025-0048</t>
  </si>
  <si>
    <t>TRX-2025-0049</t>
  </si>
  <si>
    <t>TRX-2025-0050</t>
  </si>
  <si>
    <t>TRX-2025-0051</t>
  </si>
  <si>
    <t>TRX-2025-0052</t>
  </si>
  <si>
    <t>TRX-2025-0053</t>
  </si>
  <si>
    <t>TRX-2025-0054</t>
  </si>
  <si>
    <t>TRX-2025-0055</t>
  </si>
  <si>
    <t>TRX-2025-0056</t>
  </si>
  <si>
    <t>TRX-2025-0057</t>
  </si>
  <si>
    <t>TRX-2025-0058</t>
  </si>
  <si>
    <t>TRX-2025-0059</t>
  </si>
  <si>
    <t>TRX-2025-0060</t>
  </si>
  <si>
    <t>TRX-2025-0061</t>
  </si>
  <si>
    <t>TRX-2025-0062</t>
  </si>
  <si>
    <t>TRX-2025-0063</t>
  </si>
  <si>
    <t>TRX-2025-0064</t>
  </si>
  <si>
    <t>TRX-2025-0065</t>
  </si>
  <si>
    <t>TRX-2025-0066</t>
  </si>
  <si>
    <t>TRX-2025-0067</t>
  </si>
  <si>
    <t>TRX-2025-0068</t>
  </si>
  <si>
    <t>TRX-2025-0069</t>
  </si>
  <si>
    <t>TRX-2025-0070</t>
  </si>
  <si>
    <t>TRX-2025-0071</t>
  </si>
  <si>
    <t>TRX-2025-0072</t>
  </si>
  <si>
    <t>TRX-2025-0073</t>
  </si>
  <si>
    <t>TRX-2025-0074</t>
  </si>
  <si>
    <t>TRX-2025-0075</t>
  </si>
  <si>
    <t>TRX-2025-0076</t>
  </si>
  <si>
    <t>TRX-2025-0077</t>
  </si>
  <si>
    <t>TRX-2025-0078</t>
  </si>
  <si>
    <t>TRX-2025-0079</t>
  </si>
  <si>
    <t>TRX-2025-0080</t>
  </si>
  <si>
    <t>TRX-2025-0081</t>
  </si>
  <si>
    <t>TRX-2025-0082</t>
  </si>
  <si>
    <t>TRX-2025-0083</t>
  </si>
  <si>
    <t>TRX-2025-0084</t>
  </si>
  <si>
    <t>TRX-2025-0085</t>
  </si>
  <si>
    <t>TRX-2025-0086</t>
  </si>
  <si>
    <t>TRX-2025-0087</t>
  </si>
  <si>
    <t>TRX-2025-0088</t>
  </si>
  <si>
    <t>TRX-2025-0089</t>
  </si>
  <si>
    <t>TRX-2025-0090</t>
  </si>
  <si>
    <t>TRX-2025-0091</t>
  </si>
  <si>
    <t>TRX-2025-0092</t>
  </si>
  <si>
    <t>TRX-2025-0093</t>
  </si>
  <si>
    <t>TRX-2025-0094</t>
  </si>
  <si>
    <t>TRX-2025-0095</t>
  </si>
  <si>
    <t>TRX-2025-0096</t>
  </si>
  <si>
    <t>TRX-2025-0097</t>
  </si>
  <si>
    <t>TRX-2025-0098</t>
  </si>
  <si>
    <t>TRX-2025-0099</t>
  </si>
  <si>
    <t>TRX-2025-0100</t>
  </si>
  <si>
    <t>TRX-2025-0101</t>
  </si>
  <si>
    <t>TRX-2025-0102</t>
  </si>
  <si>
    <t>TRX-2025-0103</t>
  </si>
  <si>
    <t>TRX-2025-0104</t>
  </si>
  <si>
    <t>TRX-2025-0105</t>
  </si>
  <si>
    <t>TRX-2025-0106</t>
  </si>
  <si>
    <t>TRX-2025-0107</t>
  </si>
  <si>
    <t>TRX-2025-0108</t>
  </si>
  <si>
    <t>TRX-2025-0109</t>
  </si>
  <si>
    <t>TRX-2025-0110</t>
  </si>
  <si>
    <t>TRX-2025-0111</t>
  </si>
  <si>
    <t>TRX-2025-0112</t>
  </si>
  <si>
    <t>TRX-2025-0113</t>
  </si>
  <si>
    <t>TRX-2025-0114</t>
  </si>
  <si>
    <t>TRX-2025-0115</t>
  </si>
  <si>
    <t>TRX-2025-0116</t>
  </si>
  <si>
    <t>TRX-2025-0117</t>
  </si>
  <si>
    <t>TRX-2025-0118</t>
  </si>
  <si>
    <t>TRX-2025-0119</t>
  </si>
  <si>
    <t>TRX-2025-0120</t>
  </si>
  <si>
    <t>TRX-2025-0121</t>
  </si>
  <si>
    <t>TRX-2025-0122</t>
  </si>
  <si>
    <t>TRX-2025-0123</t>
  </si>
  <si>
    <t>TRX-2025-0124</t>
  </si>
  <si>
    <t>TRX-2025-0125</t>
  </si>
  <si>
    <t>TRX-2025-0126</t>
  </si>
  <si>
    <t>TRX-2025-0127</t>
  </si>
  <si>
    <t>TRX-2025-0128</t>
  </si>
  <si>
    <t>TRX-2025-0129</t>
  </si>
  <si>
    <t>TRX-2025-0130</t>
  </si>
  <si>
    <t>TRX-2025-0131</t>
  </si>
  <si>
    <t>TRX-2025-0132</t>
  </si>
  <si>
    <t>TRX-2025-0133</t>
  </si>
  <si>
    <t>TRX-2025-0134</t>
  </si>
  <si>
    <t>TRX-2025-0135</t>
  </si>
  <si>
    <t>TRX-2025-0136</t>
  </si>
  <si>
    <t>TRX-2025-0137</t>
  </si>
  <si>
    <t>TRX-2025-0138</t>
  </si>
  <si>
    <t>TRX-2025-0139</t>
  </si>
  <si>
    <t>TRX-2025-0140</t>
  </si>
  <si>
    <t>TRX-2025-0141</t>
  </si>
  <si>
    <t>TRX-2025-0142</t>
  </si>
  <si>
    <t>TRX-2025-0143</t>
  </si>
  <si>
    <t>TRX-2025-0144</t>
  </si>
  <si>
    <t>TRX-2025-0145</t>
  </si>
  <si>
    <t>TRX-2025-0146</t>
  </si>
  <si>
    <t>TRX-2025-0147</t>
  </si>
  <si>
    <t>TRX-2025-0148</t>
  </si>
  <si>
    <t>TRX-2025-0149</t>
  </si>
  <si>
    <t>TRX-2025-0150</t>
  </si>
  <si>
    <t>TRX-2025-0151</t>
  </si>
  <si>
    <t>TRX-2025-0152</t>
  </si>
  <si>
    <t>TRX-2025-0153</t>
  </si>
  <si>
    <t>TRX-2025-0154</t>
  </si>
  <si>
    <t>TRX-2025-0155</t>
  </si>
  <si>
    <t>TRX-2025-0156</t>
  </si>
  <si>
    <t>TRX-2025-0157</t>
  </si>
  <si>
    <t>TRX-2025-0158</t>
  </si>
  <si>
    <t>TRX-2025-0159</t>
  </si>
  <si>
    <t>TRX-2025-0160</t>
  </si>
  <si>
    <t>TRX-2025-0161</t>
  </si>
  <si>
    <t>TRX-2025-0162</t>
  </si>
  <si>
    <t>TRX-2025-0163</t>
  </si>
  <si>
    <t>TRX-2025-0164</t>
  </si>
  <si>
    <t>TRX-2025-0165</t>
  </si>
  <si>
    <t>TRX-2025-0166</t>
  </si>
  <si>
    <t>TRX-2025-0167</t>
  </si>
  <si>
    <t>TRX-2025-0168</t>
  </si>
  <si>
    <t>TRX-2025-0169</t>
  </si>
  <si>
    <t>TRX-2025-0170</t>
  </si>
  <si>
    <t>TRX-2025-0171</t>
  </si>
  <si>
    <t>TRX-2025-0172</t>
  </si>
  <si>
    <t>TRX-2025-0173</t>
  </si>
  <si>
    <t>TRX-2025-0174</t>
  </si>
  <si>
    <t>TRX-2025-0175</t>
  </si>
  <si>
    <t>TRX-2025-0176</t>
  </si>
  <si>
    <t>TRX-2025-0177</t>
  </si>
  <si>
    <t>TRX-2025-0178</t>
  </si>
  <si>
    <t>TRX-2025-0179</t>
  </si>
  <si>
    <t>TRX-2025-0180</t>
  </si>
  <si>
    <t>TRX-2025-0181</t>
  </si>
  <si>
    <t>TRX-2025-0182</t>
  </si>
  <si>
    <t>TRX-2025-0183</t>
  </si>
  <si>
    <t>TRX-2025-0184</t>
  </si>
  <si>
    <t>TRX-2025-0185</t>
  </si>
  <si>
    <t>TRX-2025-0186</t>
  </si>
  <si>
    <t>TRX-2025-0187</t>
  </si>
  <si>
    <t>TRX-2025-0188</t>
  </si>
  <si>
    <t>TRX-2025-0189</t>
  </si>
  <si>
    <t>TRX-2025-0190</t>
  </si>
  <si>
    <t>TRX-2025-0191</t>
  </si>
  <si>
    <t>TRX-2025-0192</t>
  </si>
  <si>
    <t>TRX-2025-0193</t>
  </si>
  <si>
    <t>TRX-2025-0194</t>
  </si>
  <si>
    <t>TRX-2025-0195</t>
  </si>
  <si>
    <t>TRX-2025-0196</t>
  </si>
  <si>
    <t>TRX-2025-0197</t>
  </si>
  <si>
    <t>TRX-2025-0198</t>
  </si>
  <si>
    <t>TRX-2025-0199</t>
  </si>
  <si>
    <t>TRX-2025-0200</t>
  </si>
  <si>
    <t>TRX-2025-0201</t>
  </si>
  <si>
    <t>TRX-2025-0202</t>
  </si>
  <si>
    <t>TRX-2025-0203</t>
  </si>
  <si>
    <t>TRX-2025-0204</t>
  </si>
  <si>
    <t>TRX-2025-0205</t>
  </si>
  <si>
    <t>TRX-2025-0206</t>
  </si>
  <si>
    <t>TRX-2025-0207</t>
  </si>
  <si>
    <t>TRX-2025-0208</t>
  </si>
  <si>
    <t>TRX-2025-0209</t>
  </si>
  <si>
    <t>TRX-2025-0210</t>
  </si>
  <si>
    <t>TRX-2025-0211</t>
  </si>
  <si>
    <t>TRX-2025-0212</t>
  </si>
  <si>
    <t>TRX-2025-0213</t>
  </si>
  <si>
    <t>TRX-2025-0214</t>
  </si>
  <si>
    <t>TRX-2025-0215</t>
  </si>
  <si>
    <t>TRX-2025-0216</t>
  </si>
  <si>
    <t>TRX-2025-0217</t>
  </si>
  <si>
    <t>TRX-2025-0218</t>
  </si>
  <si>
    <t>TRX-2025-0219</t>
  </si>
  <si>
    <t>TRX-2025-0220</t>
  </si>
  <si>
    <t>TRX-2025-0221</t>
  </si>
  <si>
    <t>TRX-2025-0222</t>
  </si>
  <si>
    <t>TRX-2025-0223</t>
  </si>
  <si>
    <t>TRX-2025-0224</t>
  </si>
  <si>
    <t>TRX-2025-0225</t>
  </si>
  <si>
    <t>TRX-2025-0226</t>
  </si>
  <si>
    <t>TRX-2025-0227</t>
  </si>
  <si>
    <t>TRX-2025-0228</t>
  </si>
  <si>
    <t>TRX-2025-0229</t>
  </si>
  <si>
    <t>TRX-2025-0230</t>
  </si>
  <si>
    <t>TRX-2025-0231</t>
  </si>
  <si>
    <t>TRX-2025-0232</t>
  </si>
  <si>
    <t>TRX-2025-0233</t>
  </si>
  <si>
    <t>TRX-2025-0234</t>
  </si>
  <si>
    <t>TRX-2025-0235</t>
  </si>
  <si>
    <t>TRX-2025-0236</t>
  </si>
  <si>
    <t>TRX-2025-0237</t>
  </si>
  <si>
    <t>TRX-2025-0238</t>
  </si>
  <si>
    <t>TRX-2025-0239</t>
  </si>
  <si>
    <t>TRX-2025-0240</t>
  </si>
  <si>
    <t>TRX-2025-0241</t>
  </si>
  <si>
    <t>TRX-2025-0242</t>
  </si>
  <si>
    <t>TRX-2025-0243</t>
  </si>
  <si>
    <t>TRX-2025-0244</t>
  </si>
  <si>
    <t>TRX-2025-0245</t>
  </si>
  <si>
    <t>TRX-2025-0246</t>
  </si>
  <si>
    <t>TRX-2025-0247</t>
  </si>
  <si>
    <t>TRX-2025-0248</t>
  </si>
  <si>
    <t>TRX-2025-0249</t>
  </si>
  <si>
    <t>TRX-2025-0250</t>
  </si>
  <si>
    <t>TRX-2025-0251</t>
  </si>
  <si>
    <t>TRX-2025-0252</t>
  </si>
  <si>
    <t>TRX-2025-0253</t>
  </si>
  <si>
    <t>TRX-2025-0254</t>
  </si>
  <si>
    <t>TRX-2025-0255</t>
  </si>
  <si>
    <t>TRX-2025-0256</t>
  </si>
  <si>
    <t>TRX-2025-0257</t>
  </si>
  <si>
    <t>TRX-2025-0258</t>
  </si>
  <si>
    <t>TRX-2025-0259</t>
  </si>
  <si>
    <t>TRX-2025-0260</t>
  </si>
  <si>
    <t>TRX-2025-0261</t>
  </si>
  <si>
    <t>TRX-2025-0262</t>
  </si>
  <si>
    <t>TRX-2025-0263</t>
  </si>
  <si>
    <t>TRX-2025-0264</t>
  </si>
  <si>
    <t>TRX-2025-0265</t>
  </si>
  <si>
    <t>TRX-2025-0266</t>
  </si>
  <si>
    <t>TRX-2025-0267</t>
  </si>
  <si>
    <t>TRX-2025-0268</t>
  </si>
  <si>
    <t>TRX-2025-0269</t>
  </si>
  <si>
    <t>TRX-2025-0270</t>
  </si>
  <si>
    <t>TRX-2025-0271</t>
  </si>
  <si>
    <t>TRX-2025-0272</t>
  </si>
  <si>
    <t>TRX-2025-0273</t>
  </si>
  <si>
    <t>TRX-2025-0274</t>
  </si>
  <si>
    <t>TRX-2025-0275</t>
  </si>
  <si>
    <t>TRX-2025-0276</t>
  </si>
  <si>
    <t>TRX-2025-0277</t>
  </si>
  <si>
    <t>TRX-2025-0278</t>
  </si>
  <si>
    <t>TRX-2025-0279</t>
  </si>
  <si>
    <t>TRX-2025-0280</t>
  </si>
  <si>
    <t>TRX-2025-0281</t>
  </si>
  <si>
    <t>TRX-2025-0282</t>
  </si>
  <si>
    <t>TRX-2025-0283</t>
  </si>
  <si>
    <t>TRX-2025-0284</t>
  </si>
  <si>
    <t>TRX-2025-0285</t>
  </si>
  <si>
    <t>TRX-2025-0286</t>
  </si>
  <si>
    <t>TRX-2025-0287</t>
  </si>
  <si>
    <t>TRX-2025-0288</t>
  </si>
  <si>
    <t>TRX-2025-0289</t>
  </si>
  <si>
    <t>TRX-2025-0290</t>
  </si>
  <si>
    <t>TRX-2025-0291</t>
  </si>
  <si>
    <t>TRX-2025-0292</t>
  </si>
  <si>
    <t>TRX-2025-0293</t>
  </si>
  <si>
    <t>TRX-2025-0294</t>
  </si>
  <si>
    <t>TRX-2025-0295</t>
  </si>
  <si>
    <t>TRX-2025-0296</t>
  </si>
  <si>
    <t>TRX-2025-0297</t>
  </si>
  <si>
    <t>TRX-2025-0298</t>
  </si>
  <si>
    <t>TRX-2025-0299</t>
  </si>
  <si>
    <t>TRX-2025-0300</t>
  </si>
  <si>
    <t>TRX-2025-0301</t>
  </si>
  <si>
    <t>TRX-2025-0302</t>
  </si>
  <si>
    <t>TRX-2025-0303</t>
  </si>
  <si>
    <t>TRX-2025-0304</t>
  </si>
  <si>
    <t>TRX-2025-0305</t>
  </si>
  <si>
    <t>TRX-2025-0306</t>
  </si>
  <si>
    <t>TRX-2025-0307</t>
  </si>
  <si>
    <t>TRX-2025-0308</t>
  </si>
  <si>
    <t>TRX-2025-0309</t>
  </si>
  <si>
    <t>TRX-2025-0310</t>
  </si>
  <si>
    <t>TRX-2025-0311</t>
  </si>
  <si>
    <t>TRX-2025-0312</t>
  </si>
  <si>
    <t>TRX-2025-0313</t>
  </si>
  <si>
    <t>TRX-2025-0314</t>
  </si>
  <si>
    <t>TRX-2025-0315</t>
  </si>
  <si>
    <t>TRX-2025-0316</t>
  </si>
  <si>
    <t>TRX-2025-0317</t>
  </si>
  <si>
    <t>TRX-2025-0318</t>
  </si>
  <si>
    <t>TRX-2025-0319</t>
  </si>
  <si>
    <t>TRX-2025-0320</t>
  </si>
  <si>
    <t>TRX-2025-0321</t>
  </si>
  <si>
    <t>TRX-2025-0322</t>
  </si>
  <si>
    <t>TRX-2025-0323</t>
  </si>
  <si>
    <t>TRX-2025-0324</t>
  </si>
  <si>
    <t>TRX-2025-0325</t>
  </si>
  <si>
    <t>TRX-2025-0326</t>
  </si>
  <si>
    <t>TRX-2025-0327</t>
  </si>
  <si>
    <t>TRX-2025-0328</t>
  </si>
  <si>
    <t>TRX-2025-0329</t>
  </si>
  <si>
    <t>TRX-2025-0330</t>
  </si>
  <si>
    <t>TRX-2025-0331</t>
  </si>
  <si>
    <t>TRX-2025-0332</t>
  </si>
  <si>
    <t>TRX-2025-0333</t>
  </si>
  <si>
    <t>TRX-2025-0334</t>
  </si>
  <si>
    <t>TRX-2025-0335</t>
  </si>
  <si>
    <t>TRX-2025-0336</t>
  </si>
  <si>
    <t>TRX-2025-0337</t>
  </si>
  <si>
    <t>TRX-2025-0338</t>
  </si>
  <si>
    <t>TRX-2025-0339</t>
  </si>
  <si>
    <t>TRX-2025-0340</t>
  </si>
  <si>
    <t>TRX-2025-0341</t>
  </si>
  <si>
    <t>TRX-2025-0342</t>
  </si>
  <si>
    <t>TRX-2025-0343</t>
  </si>
  <si>
    <t>TRX-2025-0344</t>
  </si>
  <si>
    <t>TRX-2025-0345</t>
  </si>
  <si>
    <t>TRX-2025-0346</t>
  </si>
  <si>
    <t>TRX-2025-0347</t>
  </si>
  <si>
    <t>TRX-2025-0348</t>
  </si>
  <si>
    <t>TRX-2025-0349</t>
  </si>
  <si>
    <t>TRX-2025-0350</t>
  </si>
  <si>
    <t>TRX-2025-0351</t>
  </si>
  <si>
    <t>TRX-2025-0352</t>
  </si>
  <si>
    <t>TRX-2025-0353</t>
  </si>
  <si>
    <t>TRX-2025-0354</t>
  </si>
  <si>
    <t>TRX-2025-0355</t>
  </si>
  <si>
    <t>TRX-2025-0356</t>
  </si>
  <si>
    <t>TRX-2025-0357</t>
  </si>
  <si>
    <t>TRX-2025-0358</t>
  </si>
  <si>
    <t>TRX-2025-0359</t>
  </si>
  <si>
    <t>TRX-2025-0360</t>
  </si>
  <si>
    <t>TRX-2025-0361</t>
  </si>
  <si>
    <t>TRX-2025-0362</t>
  </si>
  <si>
    <t>TRX-2025-0363</t>
  </si>
  <si>
    <t>TRX-2025-0364</t>
  </si>
  <si>
    <t>TRX-2025-0365</t>
  </si>
  <si>
    <t>TRX-2025-0366</t>
  </si>
  <si>
    <t>TRX-2025-0367</t>
  </si>
  <si>
    <t>TRX-2025-0368</t>
  </si>
  <si>
    <t>TRX-2025-0369</t>
  </si>
  <si>
    <t>TRX-2025-0370</t>
  </si>
  <si>
    <t>TRX-2025-0371</t>
  </si>
  <si>
    <t>TRX-2025-0372</t>
  </si>
  <si>
    <t>TRX-2025-0373</t>
  </si>
  <si>
    <t>TRX-2025-0374</t>
  </si>
  <si>
    <t>TRX-2025-0375</t>
  </si>
  <si>
    <t>TRX-2025-0376</t>
  </si>
  <si>
    <t>TRX-2025-0377</t>
  </si>
  <si>
    <t>TRX-2025-0378</t>
  </si>
  <si>
    <t>TRX-2025-0379</t>
  </si>
  <si>
    <t>TRX-2025-0380</t>
  </si>
  <si>
    <t>TRX-2025-0381</t>
  </si>
  <si>
    <t>TRX-2025-0382</t>
  </si>
  <si>
    <t>TRX-2025-0383</t>
  </si>
  <si>
    <t>TRX-2025-0384</t>
  </si>
  <si>
    <t>TRX-2025-0385</t>
  </si>
  <si>
    <t>TRX-2025-0386</t>
  </si>
  <si>
    <t>TRX-2025-0387</t>
  </si>
  <si>
    <t>TRX-2025-0388</t>
  </si>
  <si>
    <t>TRX-2025-0389</t>
  </si>
  <si>
    <t>TRX-2025-0390</t>
  </si>
  <si>
    <t>TRX-2025-0391</t>
  </si>
  <si>
    <t>TRX-2025-0392</t>
  </si>
  <si>
    <t>TRX-2025-0393</t>
  </si>
  <si>
    <t>TRX-2025-0394</t>
  </si>
  <si>
    <t>TRX-2025-0395</t>
  </si>
  <si>
    <t>TRX-2025-0396</t>
  </si>
  <si>
    <t>TRX-2025-0397</t>
  </si>
  <si>
    <t>TRX-2025-0398</t>
  </si>
  <si>
    <t>TRX-2025-0399</t>
  </si>
  <si>
    <t>TRX-2025-0400</t>
  </si>
  <si>
    <t>TRX-2025-0401</t>
  </si>
  <si>
    <t>TRX-2025-0402</t>
  </si>
  <si>
    <t>TRX-2025-0403</t>
  </si>
  <si>
    <t>TRX-2025-0404</t>
  </si>
  <si>
    <t>TRX-2025-0405</t>
  </si>
  <si>
    <t>TRX-2025-0406</t>
  </si>
  <si>
    <t>TRX-2025-0407</t>
  </si>
  <si>
    <t>TRX-2025-0408</t>
  </si>
  <si>
    <t>TRX-2025-0409</t>
  </si>
  <si>
    <t>TRX-2025-0410</t>
  </si>
  <si>
    <t>TRX-2025-0411</t>
  </si>
  <si>
    <t>TRX-2025-0412</t>
  </si>
  <si>
    <t>TRX-2025-0413</t>
  </si>
  <si>
    <t>TRX-2025-0414</t>
  </si>
  <si>
    <t>TRX-2025-0415</t>
  </si>
  <si>
    <t>TRX-2025-0416</t>
  </si>
  <si>
    <t>TRX-2025-0417</t>
  </si>
  <si>
    <t>TRX-2025-0418</t>
  </si>
  <si>
    <t>TRX-2025-0419</t>
  </si>
  <si>
    <t>TRX-2025-0420</t>
  </si>
  <si>
    <t>TRX-2025-0421</t>
  </si>
  <si>
    <t>TRX-2025-0422</t>
  </si>
  <si>
    <t>TRX-2025-0423</t>
  </si>
  <si>
    <t>TRX-2025-0424</t>
  </si>
  <si>
    <t>TRX-2025-0425</t>
  </si>
  <si>
    <t>TRX-2025-0426</t>
  </si>
  <si>
    <t>TRX-2025-0427</t>
  </si>
  <si>
    <t>TRX-2025-0428</t>
  </si>
  <si>
    <t>TRX-2025-0429</t>
  </si>
  <si>
    <t>TRX-2025-0430</t>
  </si>
  <si>
    <t>TRX-2025-0431</t>
  </si>
  <si>
    <t>TRX-2025-0432</t>
  </si>
  <si>
    <t>TRX-2025-0433</t>
  </si>
  <si>
    <t>TRX-2025-0434</t>
  </si>
  <si>
    <t>TRX-2025-0435</t>
  </si>
  <si>
    <t>TRX-2025-0436</t>
  </si>
  <si>
    <t>TRX-2025-0437</t>
  </si>
  <si>
    <t>TRX-2025-0438</t>
  </si>
  <si>
    <t>TRX-2025-0439</t>
  </si>
  <si>
    <t>TRX-2025-0440</t>
  </si>
  <si>
    <t>TRX-2025-0441</t>
  </si>
  <si>
    <t>TRX-2025-0442</t>
  </si>
  <si>
    <t>TRX-2025-0443</t>
  </si>
  <si>
    <t>TRX-2025-0444</t>
  </si>
  <si>
    <t>TRX-2025-0445</t>
  </si>
  <si>
    <t>TRX-2025-0446</t>
  </si>
  <si>
    <t>TRX-2025-0447</t>
  </si>
  <si>
    <t>TRX-2025-0448</t>
  </si>
  <si>
    <t>TRX-2025-0449</t>
  </si>
  <si>
    <t>TRX-2025-0450</t>
  </si>
  <si>
    <t>TRX-2025-0451</t>
  </si>
  <si>
    <t>TRX-2025-0452</t>
  </si>
  <si>
    <t>TRX-2025-0453</t>
  </si>
  <si>
    <t>TRX-2025-0454</t>
  </si>
  <si>
    <t>TRX-2025-0455</t>
  </si>
  <si>
    <t>TRX-2025-0456</t>
  </si>
  <si>
    <t>TRX-2025-0457</t>
  </si>
  <si>
    <t>TRX-2025-0458</t>
  </si>
  <si>
    <t>TRX-2025-0459</t>
  </si>
  <si>
    <t>TRX-2025-0460</t>
  </si>
  <si>
    <t>TRX-2025-0461</t>
  </si>
  <si>
    <t>TRX-2025-0462</t>
  </si>
  <si>
    <t>TRX-2025-0463</t>
  </si>
  <si>
    <t>TRX-2025-0464</t>
  </si>
  <si>
    <t>TRX-2025-0465</t>
  </si>
  <si>
    <t>TRX-2025-0466</t>
  </si>
  <si>
    <t>TRX-2025-0467</t>
  </si>
  <si>
    <t>TRX-2025-0468</t>
  </si>
  <si>
    <t>TRX-2025-0469</t>
  </si>
  <si>
    <t>TRX-2025-0470</t>
  </si>
  <si>
    <t>TRX-2025-0471</t>
  </si>
  <si>
    <t>TRX-2025-0472</t>
  </si>
  <si>
    <t>TRX-2025-0473</t>
  </si>
  <si>
    <t>TRX-2025-0474</t>
  </si>
  <si>
    <t>TRX-2025-0475</t>
  </si>
  <si>
    <t>TRX-2025-0476</t>
  </si>
  <si>
    <t>TRX-2025-0477</t>
  </si>
  <si>
    <t>TRX-2025-0478</t>
  </si>
  <si>
    <t>TRX-2025-0479</t>
  </si>
  <si>
    <t>TRX-2025-0480</t>
  </si>
  <si>
    <t>TRX-2025-0481</t>
  </si>
  <si>
    <t>TRX-2025-0482</t>
  </si>
  <si>
    <t>TRX-2025-0483</t>
  </si>
  <si>
    <t>TRX-2025-0484</t>
  </si>
  <si>
    <t>TRX-2025-0485</t>
  </si>
  <si>
    <t>TRX-2025-0486</t>
  </si>
  <si>
    <t>TRX-2025-0487</t>
  </si>
  <si>
    <t>TRX-2025-0488</t>
  </si>
  <si>
    <t>TRX-2025-0489</t>
  </si>
  <si>
    <t>TRX-2025-0490</t>
  </si>
  <si>
    <t>TRX-2025-0491</t>
  </si>
  <si>
    <t>TRX-2025-0492</t>
  </si>
  <si>
    <t>TRX-2025-0493</t>
  </si>
  <si>
    <t>TRX-2025-0494</t>
  </si>
  <si>
    <t>TRX-2025-0495</t>
  </si>
  <si>
    <t>TRX-2025-0496</t>
  </si>
  <si>
    <t>TRX-2025-0497</t>
  </si>
  <si>
    <t>TRX-2025-0498</t>
  </si>
  <si>
    <t>TRX-2025-0499</t>
  </si>
  <si>
    <t>TRX-2025-0500</t>
  </si>
  <si>
    <t>TRX-2025-0501</t>
  </si>
  <si>
    <t>TRX-2025-0502</t>
  </si>
  <si>
    <t>TRX-2025-0503</t>
  </si>
  <si>
    <t>TRX-2025-0504</t>
  </si>
  <si>
    <t>TRX-2025-0505</t>
  </si>
  <si>
    <t>TRX-2025-0506</t>
  </si>
  <si>
    <t>TRX-2025-0507</t>
  </si>
  <si>
    <t>TRX-2025-0508</t>
  </si>
  <si>
    <t>TRX-2025-0509</t>
  </si>
  <si>
    <t>TRX-2025-0510</t>
  </si>
  <si>
    <t>TRX-2025-0511</t>
  </si>
  <si>
    <t>TRX-2025-0512</t>
  </si>
  <si>
    <t>TRX-2025-0513</t>
  </si>
  <si>
    <t>TRX-2025-0514</t>
  </si>
  <si>
    <t>TRX-2025-0515</t>
  </si>
  <si>
    <t>TRX-2025-0516</t>
  </si>
  <si>
    <t>TRX-2025-0517</t>
  </si>
  <si>
    <t>TRX-2025-0518</t>
  </si>
  <si>
    <t>TRX-2025-0519</t>
  </si>
  <si>
    <t>TRX-2025-0520</t>
  </si>
  <si>
    <t>TRX-2025-0521</t>
  </si>
  <si>
    <t>TRX-2025-0522</t>
  </si>
  <si>
    <t>TRX-2025-0523</t>
  </si>
  <si>
    <t>TRX-2025-0524</t>
  </si>
  <si>
    <t>TRX-2025-0525</t>
  </si>
  <si>
    <t>TRX-2025-0526</t>
  </si>
  <si>
    <t>TRX-2025-0527</t>
  </si>
  <si>
    <t>TRX-2025-0528</t>
  </si>
  <si>
    <t>TRX-2025-0529</t>
  </si>
  <si>
    <t>TRX-2025-0530</t>
  </si>
  <si>
    <t>TRX-2025-0531</t>
  </si>
  <si>
    <t>TRX-2025-0532</t>
  </si>
  <si>
    <t>TRX-2025-0533</t>
  </si>
  <si>
    <t>TRX-2025-0534</t>
  </si>
  <si>
    <t>TRX-2025-0535</t>
  </si>
  <si>
    <t>TRX-2025-0536</t>
  </si>
  <si>
    <t>TRX-2025-0537</t>
  </si>
  <si>
    <t>TRX-2025-0538</t>
  </si>
  <si>
    <t>TRX-2025-0539</t>
  </si>
  <si>
    <t>TRX-2025-0540</t>
  </si>
  <si>
    <t>TRX-2025-0541</t>
  </si>
  <si>
    <t>TRX-2025-0542</t>
  </si>
  <si>
    <t>TRX-2025-0543</t>
  </si>
  <si>
    <t>TRX-2025-0544</t>
  </si>
  <si>
    <t>TRX-2025-0545</t>
  </si>
  <si>
    <t>TRX-2025-0546</t>
  </si>
  <si>
    <t>TRX-2025-0547</t>
  </si>
  <si>
    <t>TRX-2025-0548</t>
  </si>
  <si>
    <t>TRX-2025-0549</t>
  </si>
  <si>
    <t>TRX-2025-0550</t>
  </si>
  <si>
    <t>TRX-2025-0551</t>
  </si>
  <si>
    <t>TRX-2025-0552</t>
  </si>
  <si>
    <t>TRX-2025-0553</t>
  </si>
  <si>
    <t>TRX-2025-0554</t>
  </si>
  <si>
    <t>TRX-2025-0555</t>
  </si>
  <si>
    <t>TRX-2025-0556</t>
  </si>
  <si>
    <t>TRX-2025-0557</t>
  </si>
  <si>
    <t>TRX-2025-0558</t>
  </si>
  <si>
    <t>TRX-2025-0559</t>
  </si>
  <si>
    <t>TRX-2025-0560</t>
  </si>
  <si>
    <t>TRX-2025-0561</t>
  </si>
  <si>
    <t>TRX-2025-0562</t>
  </si>
  <si>
    <t>TRX-2025-0563</t>
  </si>
  <si>
    <t>TRX-2025-0564</t>
  </si>
  <si>
    <t>TRX-2025-0565</t>
  </si>
  <si>
    <t>TRX-2025-0566</t>
  </si>
  <si>
    <t>TRX-2025-0567</t>
  </si>
  <si>
    <t>TRX-2025-0568</t>
  </si>
  <si>
    <t>TRX-2025-0569</t>
  </si>
  <si>
    <t>TRX-2025-0570</t>
  </si>
  <si>
    <t>TRX-2025-0571</t>
  </si>
  <si>
    <t>TRX-2025-0572</t>
  </si>
  <si>
    <t>TRX-2025-0573</t>
  </si>
  <si>
    <t>TRX-2025-0574</t>
  </si>
  <si>
    <t>TRX-2025-0575</t>
  </si>
  <si>
    <t>TRX-2025-0576</t>
  </si>
  <si>
    <t>TRX-2025-0577</t>
  </si>
  <si>
    <t>TRX-2025-0578</t>
  </si>
  <si>
    <t>TRX-2025-0579</t>
  </si>
  <si>
    <t>TRX-2025-0580</t>
  </si>
  <si>
    <t>TRX-2025-0581</t>
  </si>
  <si>
    <t>TRX-2025-0582</t>
  </si>
  <si>
    <t>TRX-2025-0583</t>
  </si>
  <si>
    <t>TRX-2025-0584</t>
  </si>
  <si>
    <t>TRX-2025-0585</t>
  </si>
  <si>
    <t>TRX-2025-0586</t>
  </si>
  <si>
    <t>TRX-2025-0587</t>
  </si>
  <si>
    <t>TRX-2025-0588</t>
  </si>
  <si>
    <t>TRX-2025-0589</t>
  </si>
  <si>
    <t>TRX-2025-0590</t>
  </si>
  <si>
    <t>TRX-2025-0591</t>
  </si>
  <si>
    <t>TRX-2025-0592</t>
  </si>
  <si>
    <t>TRX-2025-0593</t>
  </si>
  <si>
    <t>TRX-2025-0594</t>
  </si>
  <si>
    <t>TRX-2025-0595</t>
  </si>
  <si>
    <t>TRX-2025-0596</t>
  </si>
  <si>
    <t>TRX-2025-0597</t>
  </si>
  <si>
    <t>TRX-2025-0598</t>
  </si>
  <si>
    <t>TRX-2025-0599</t>
  </si>
  <si>
    <t>TRX-2025-0600</t>
  </si>
  <si>
    <t>TRX-2025-0601</t>
  </si>
  <si>
    <t>TRX-2025-0602</t>
  </si>
  <si>
    <t>TRX-2025-0603</t>
  </si>
  <si>
    <t>TRX-2025-0604</t>
  </si>
  <si>
    <t>TRX-2025-0605</t>
  </si>
  <si>
    <t>TRX-2025-0606</t>
  </si>
  <si>
    <t>TRX-2025-0607</t>
  </si>
  <si>
    <t>TRX-2025-0608</t>
  </si>
  <si>
    <t>TRX-2025-0609</t>
  </si>
  <si>
    <t>TRX-2025-0610</t>
  </si>
  <si>
    <t>TRX-2025-0611</t>
  </si>
  <si>
    <t>TRX-2025-0612</t>
  </si>
  <si>
    <t>TRX-2025-0613</t>
  </si>
  <si>
    <t>TRX-2025-0614</t>
  </si>
  <si>
    <t>TRX-2025-0615</t>
  </si>
  <si>
    <t>TRX-2025-0616</t>
  </si>
  <si>
    <t>TRX-2025-0617</t>
  </si>
  <si>
    <t>TRX-2025-0618</t>
  </si>
  <si>
    <t>TRX-2025-0619</t>
  </si>
  <si>
    <t>TRX-2025-0620</t>
  </si>
  <si>
    <t>TRX-2025-0621</t>
  </si>
  <si>
    <t>TRX-2025-0622</t>
  </si>
  <si>
    <t>TRX-2025-0623</t>
  </si>
  <si>
    <t>TRX-2025-0624</t>
  </si>
  <si>
    <t>TRX-2025-0625</t>
  </si>
  <si>
    <t>TRX-2025-0626</t>
  </si>
  <si>
    <t>TRX-2025-0627</t>
  </si>
  <si>
    <t>TRX-2025-0628</t>
  </si>
  <si>
    <t>TRX-2025-0629</t>
  </si>
  <si>
    <t>TRX-2025-0630</t>
  </si>
  <si>
    <t>TRX-2025-0631</t>
  </si>
  <si>
    <t>TRX-2025-0632</t>
  </si>
  <si>
    <t>TRX-2025-0633</t>
  </si>
  <si>
    <t>TRX-2025-0634</t>
  </si>
  <si>
    <t>TRX-2025-0635</t>
  </si>
  <si>
    <t>TRX-2025-0636</t>
  </si>
  <si>
    <t>TRX-2025-0637</t>
  </si>
  <si>
    <t>TRX-2025-0638</t>
  </si>
  <si>
    <t>TRX-2025-0639</t>
  </si>
  <si>
    <t>TRX-2025-0640</t>
  </si>
  <si>
    <t>TRX-2025-0641</t>
  </si>
  <si>
    <t>TRX-2025-0642</t>
  </si>
  <si>
    <t>TRX-2025-0643</t>
  </si>
  <si>
    <t>TRX-2025-0644</t>
  </si>
  <si>
    <t>TRX-2025-0645</t>
  </si>
  <si>
    <t>TRX-2025-0646</t>
  </si>
  <si>
    <t>TRX-2025-0647</t>
  </si>
  <si>
    <t>TRX-2025-0648</t>
  </si>
  <si>
    <t>TRX-2025-0649</t>
  </si>
  <si>
    <t>TRX-2025-0650</t>
  </si>
  <si>
    <t>TRX-2025-0651</t>
  </si>
  <si>
    <t>TRX-2025-0652</t>
  </si>
  <si>
    <t>TRX-2025-0653</t>
  </si>
  <si>
    <t>TRX-2025-0654</t>
  </si>
  <si>
    <t>TRX-2025-0655</t>
  </si>
  <si>
    <t>TRX-2025-0656</t>
  </si>
  <si>
    <t>TRX-2025-0657</t>
  </si>
  <si>
    <t>TRX-2025-0658</t>
  </si>
  <si>
    <t>TRX-2025-0659</t>
  </si>
  <si>
    <t>TRX-2025-0660</t>
  </si>
  <si>
    <t>TRX-2025-0661</t>
  </si>
  <si>
    <t>TRX-2025-0662</t>
  </si>
  <si>
    <t>TRX-2025-0663</t>
  </si>
  <si>
    <t>TRX-2025-0664</t>
  </si>
  <si>
    <t>TRX-2025-0665</t>
  </si>
  <si>
    <t>TRX-2025-0666</t>
  </si>
  <si>
    <t>TRX-2025-0667</t>
  </si>
  <si>
    <t>TRX-2025-0668</t>
  </si>
  <si>
    <t>TRX-2025-0669</t>
  </si>
  <si>
    <t>TRX-2025-0670</t>
  </si>
  <si>
    <t>TRX-2025-0671</t>
  </si>
  <si>
    <t>TRX-2025-0672</t>
  </si>
  <si>
    <t>TRX-2025-0673</t>
  </si>
  <si>
    <t>TRX-2025-0674</t>
  </si>
  <si>
    <t>TRX-2025-0675</t>
  </si>
  <si>
    <t>TRX-2025-0676</t>
  </si>
  <si>
    <t>TRX-2025-0677</t>
  </si>
  <si>
    <t>TRX-2025-0678</t>
  </si>
  <si>
    <t>TRX-2025-0679</t>
  </si>
  <si>
    <t>TRX-2025-0680</t>
  </si>
  <si>
    <t>TRX-2025-0681</t>
  </si>
  <si>
    <t>TRX-2025-0682</t>
  </si>
  <si>
    <t>TRX-2025-0683</t>
  </si>
  <si>
    <t>TRX-2025-0684</t>
  </si>
  <si>
    <t>TRX-2025-0685</t>
  </si>
  <si>
    <t>TRX-2025-0686</t>
  </si>
  <si>
    <t>TRX-2025-0687</t>
  </si>
  <si>
    <t>TRX-2025-0688</t>
  </si>
  <si>
    <t>TRX-2025-0689</t>
  </si>
  <si>
    <t>TRX-2025-0690</t>
  </si>
  <si>
    <t>TRX-2025-0691</t>
  </si>
  <si>
    <t>TRX-2025-0692</t>
  </si>
  <si>
    <t>TRX-2025-0693</t>
  </si>
  <si>
    <t>TRX-2025-0694</t>
  </si>
  <si>
    <t>TRX-2025-0695</t>
  </si>
  <si>
    <t>TRX-2025-0696</t>
  </si>
  <si>
    <t>TRX-2025-0697</t>
  </si>
  <si>
    <t>TRX-2025-0698</t>
  </si>
  <si>
    <t>TRX-2025-0699</t>
  </si>
  <si>
    <t>TRX-2025-0700</t>
  </si>
  <si>
    <t>TRX-2025-0701</t>
  </si>
  <si>
    <t>TRX-2025-0702</t>
  </si>
  <si>
    <t>TRX-2025-0703</t>
  </si>
  <si>
    <t>TRX-2025-0704</t>
  </si>
  <si>
    <t>TRX-2025-0705</t>
  </si>
  <si>
    <t>TRX-2025-0706</t>
  </si>
  <si>
    <t>TRX-2025-0707</t>
  </si>
  <si>
    <t>TRX-2025-0708</t>
  </si>
  <si>
    <t>TRX-2025-0709</t>
  </si>
  <si>
    <t>TRX-2025-0710</t>
  </si>
  <si>
    <t>TRX-2025-0711</t>
  </si>
  <si>
    <t>TRX-2025-0712</t>
  </si>
  <si>
    <t>TRX-2025-0713</t>
  </si>
  <si>
    <t>TRX-2025-0714</t>
  </si>
  <si>
    <t>TRX-2025-0715</t>
  </si>
  <si>
    <t>TRX-2025-0716</t>
  </si>
  <si>
    <t>TRX-2025-0717</t>
  </si>
  <si>
    <t>TRX-2025-0718</t>
  </si>
  <si>
    <t>TRX-2025-0719</t>
  </si>
  <si>
    <t>TRX-2025-0720</t>
  </si>
  <si>
    <t>TRX-2025-0721</t>
  </si>
  <si>
    <t>TRX-2025-0722</t>
  </si>
  <si>
    <t>TRX-2025-0723</t>
  </si>
  <si>
    <t>TRX-2025-0724</t>
  </si>
  <si>
    <t>TRX-2025-0725</t>
  </si>
  <si>
    <t>TRX-2025-0726</t>
  </si>
  <si>
    <t>TRX-2025-0727</t>
  </si>
  <si>
    <t>TRX-2025-0728</t>
  </si>
  <si>
    <t>TRX-2025-0729</t>
  </si>
  <si>
    <t>TRX-2025-0730</t>
  </si>
  <si>
    <t>TRX-2025-0731</t>
  </si>
  <si>
    <t>TRX-2025-0732</t>
  </si>
  <si>
    <t>TRX-2025-0733</t>
  </si>
  <si>
    <t>TRX-2025-0734</t>
  </si>
  <si>
    <t>TRX-2025-0735</t>
  </si>
  <si>
    <t>TRX-2025-0736</t>
  </si>
  <si>
    <t>TRX-2025-0737</t>
  </si>
  <si>
    <t>TRX-2025-0738</t>
  </si>
  <si>
    <t>TRX-2025-0739</t>
  </si>
  <si>
    <t>TRX-2025-0740</t>
  </si>
  <si>
    <t>TRX-2025-0741</t>
  </si>
  <si>
    <t>TRX-2025-0742</t>
  </si>
  <si>
    <t>TRX-2025-0743</t>
  </si>
  <si>
    <t>TRX-2025-0744</t>
  </si>
  <si>
    <t>TRX-2025-0745</t>
  </si>
  <si>
    <t>TRX-2025-0746</t>
  </si>
  <si>
    <t>TRX-2025-0747</t>
  </si>
  <si>
    <t>TRX-2025-0748</t>
  </si>
  <si>
    <t>TRX-2025-0749</t>
  </si>
  <si>
    <t>TRX-2025-0750</t>
  </si>
  <si>
    <t>TRX-2025-0751</t>
  </si>
  <si>
    <t>TRX-2025-0752</t>
  </si>
  <si>
    <t>TRX-2025-0753</t>
  </si>
  <si>
    <t>TRX-2025-0754</t>
  </si>
  <si>
    <t>TRX-2025-0755</t>
  </si>
  <si>
    <t>TRX-2025-0756</t>
  </si>
  <si>
    <t>TRX-2025-0757</t>
  </si>
  <si>
    <t>TRX-2025-0758</t>
  </si>
  <si>
    <t>TRX-2025-0759</t>
  </si>
  <si>
    <t>TRX-2025-0760</t>
  </si>
  <si>
    <t>TRX-2025-0761</t>
  </si>
  <si>
    <t>TRX-2025-0762</t>
  </si>
  <si>
    <t>TRX-2025-0763</t>
  </si>
  <si>
    <t>TRX-2025-0764</t>
  </si>
  <si>
    <t>TRX-2025-0765</t>
  </si>
  <si>
    <t>TRX-2025-0766</t>
  </si>
  <si>
    <t>TRX-2025-0767</t>
  </si>
  <si>
    <t>TRX-2025-0768</t>
  </si>
  <si>
    <t>TRX-2025-0769</t>
  </si>
  <si>
    <t>TRX-2025-0770</t>
  </si>
  <si>
    <t>TRX-2025-0771</t>
  </si>
  <si>
    <t>TRX-2025-0772</t>
  </si>
  <si>
    <t>TRX-2025-0773</t>
  </si>
  <si>
    <t>TRX-2025-0774</t>
  </si>
  <si>
    <t>TRX-2025-0775</t>
  </si>
  <si>
    <t>TRX-2025-0776</t>
  </si>
  <si>
    <t>TRX-2025-0777</t>
  </si>
  <si>
    <t>TRX-2025-0778</t>
  </si>
  <si>
    <t>TRX-2025-0779</t>
  </si>
  <si>
    <t>TRX-2025-0780</t>
  </si>
  <si>
    <t>TRX-2025-0781</t>
  </si>
  <si>
    <t>TRX-2025-0782</t>
  </si>
  <si>
    <t>TRX-2025-0783</t>
  </si>
  <si>
    <t>TRX-2025-0784</t>
  </si>
  <si>
    <t>TRX-2025-0785</t>
  </si>
  <si>
    <t>TRX-2025-0786</t>
  </si>
  <si>
    <t>TRX-2025-0787</t>
  </si>
  <si>
    <t>TRX-2025-0788</t>
  </si>
  <si>
    <t>TRX-2025-0789</t>
  </si>
  <si>
    <t>TRX-2025-0790</t>
  </si>
  <si>
    <t>TRX-2025-0791</t>
  </si>
  <si>
    <t>TRX-2025-0792</t>
  </si>
  <si>
    <t>TRX-2025-0793</t>
  </si>
  <si>
    <t>TRX-2025-0794</t>
  </si>
  <si>
    <t>TRX-2025-0795</t>
  </si>
  <si>
    <t>TRX-2025-0796</t>
  </si>
  <si>
    <t>TRX-2025-0797</t>
  </si>
  <si>
    <t>TRX-2025-0798</t>
  </si>
  <si>
    <t>TRX-2025-0799</t>
  </si>
  <si>
    <t>TRX-2025-0800</t>
  </si>
  <si>
    <t>TRX-2025-0801</t>
  </si>
  <si>
    <t>TRX-2025-0802</t>
  </si>
  <si>
    <t>TRX-2025-0803</t>
  </si>
  <si>
    <t>TRX-2025-0804</t>
  </si>
  <si>
    <t>TRX-2025-0805</t>
  </si>
  <si>
    <t>TRX-2025-0806</t>
  </si>
  <si>
    <t>TRX-2025-0807</t>
  </si>
  <si>
    <t>TRX-2025-0808</t>
  </si>
  <si>
    <t>TRX-2025-0809</t>
  </si>
  <si>
    <t>TRX-2025-0810</t>
  </si>
  <si>
    <t>TRX-2025-0811</t>
  </si>
  <si>
    <t>TRX-2025-0812</t>
  </si>
  <si>
    <t>TRX-2025-0813</t>
  </si>
  <si>
    <t>TRX-2025-0814</t>
  </si>
  <si>
    <t>TRX-2025-0815</t>
  </si>
  <si>
    <t>TRX-2025-0816</t>
  </si>
  <si>
    <t>TRX-2025-0817</t>
  </si>
  <si>
    <t>TRX-2025-0818</t>
  </si>
  <si>
    <t>TRX-2025-0819</t>
  </si>
  <si>
    <t>TRX-2025-0820</t>
  </si>
  <si>
    <t>TRX-2025-0821</t>
  </si>
  <si>
    <t>TRX-2025-0822</t>
  </si>
  <si>
    <t>TRX-2025-0823</t>
  </si>
  <si>
    <t>TRX-2025-0824</t>
  </si>
  <si>
    <t>TRX-2025-0825</t>
  </si>
  <si>
    <t>TRX-2025-0826</t>
  </si>
  <si>
    <t>TRX-2025-0827</t>
  </si>
  <si>
    <t>TRX-2025-0828</t>
  </si>
  <si>
    <t>TRX-2025-0829</t>
  </si>
  <si>
    <t>TRX-2025-0830</t>
  </si>
  <si>
    <t>TRX-2025-0831</t>
  </si>
  <si>
    <t>TRX-2025-0832</t>
  </si>
  <si>
    <t>TRX-2025-0833</t>
  </si>
  <si>
    <t>TRX-2025-0834</t>
  </si>
  <si>
    <t>TRX-2025-0835</t>
  </si>
  <si>
    <t>TRX-2025-0836</t>
  </si>
  <si>
    <t>TRX-2025-0837</t>
  </si>
  <si>
    <t>TRX-2025-0838</t>
  </si>
  <si>
    <t>TRX-2025-0839</t>
  </si>
  <si>
    <t>TRX-2025-0840</t>
  </si>
  <si>
    <t>TRX-2025-0841</t>
  </si>
  <si>
    <t>TRX-2025-0842</t>
  </si>
  <si>
    <t>TRX-2025-0843</t>
  </si>
  <si>
    <t>TRX-2025-0844</t>
  </si>
  <si>
    <t>TRX-2025-0845</t>
  </si>
  <si>
    <t>TRX-2025-0846</t>
  </si>
  <si>
    <t>TRX-2025-0847</t>
  </si>
  <si>
    <t>TRX-2025-0848</t>
  </si>
  <si>
    <t>TRX-2025-0849</t>
  </si>
  <si>
    <t>TRX-2025-0850</t>
  </si>
  <si>
    <t>TRX-2025-0851</t>
  </si>
  <si>
    <t>TRX-2025-0852</t>
  </si>
  <si>
    <t>TRX-2025-0853</t>
  </si>
  <si>
    <t>TRX-2025-0854</t>
  </si>
  <si>
    <t>TRX-2025-0855</t>
  </si>
  <si>
    <t>TRX-2025-0856</t>
  </si>
  <si>
    <t>TRX-2025-0857</t>
  </si>
  <si>
    <t>TRX-2025-0858</t>
  </si>
  <si>
    <t>TRX-2025-0859</t>
  </si>
  <si>
    <t>TRX-2025-0860</t>
  </si>
  <si>
    <t>TRX-2025-0861</t>
  </si>
  <si>
    <t>TRX-2025-0862</t>
  </si>
  <si>
    <t>TRX-2025-0863</t>
  </si>
  <si>
    <t>TRX-2025-0864</t>
  </si>
  <si>
    <t>TRX-2025-0865</t>
  </si>
  <si>
    <t>TRX-2025-0866</t>
  </si>
  <si>
    <t>TRX-2025-0867</t>
  </si>
  <si>
    <t>TRX-2025-0868</t>
  </si>
  <si>
    <t>TRX-2025-0869</t>
  </si>
  <si>
    <t>TRX-2025-0870</t>
  </si>
  <si>
    <t>TRX-2025-0871</t>
  </si>
  <si>
    <t>TRX-2025-0872</t>
  </si>
  <si>
    <t>TRX-2025-0873</t>
  </si>
  <si>
    <t>TRX-2025-0874</t>
  </si>
  <si>
    <t>TRX-2025-0875</t>
  </si>
  <si>
    <t>TRX-2025-0876</t>
  </si>
  <si>
    <t>TRX-2025-0877</t>
  </si>
  <si>
    <t>TRX-2025-0878</t>
  </si>
  <si>
    <t>TRX-2025-0879</t>
  </si>
  <si>
    <t>TRX-2025-0880</t>
  </si>
  <si>
    <t>TRX-2025-0881</t>
  </si>
  <si>
    <t>TRX-2025-0882</t>
  </si>
  <si>
    <t>TRX-2025-0883</t>
  </si>
  <si>
    <t>TRX-2025-0884</t>
  </si>
  <si>
    <t>TRX-2025-0885</t>
  </si>
  <si>
    <t>TRX-2025-0886</t>
  </si>
  <si>
    <t>TRX-2025-0887</t>
  </si>
  <si>
    <t>TRX-2025-0888</t>
  </si>
  <si>
    <t>TRX-2025-0889</t>
  </si>
  <si>
    <t>TRX-2025-0890</t>
  </si>
  <si>
    <t>TRX-2025-0891</t>
  </si>
  <si>
    <t>TRX-2025-0892</t>
  </si>
  <si>
    <t>TRX-2025-0893</t>
  </si>
  <si>
    <t>TRX-2025-0894</t>
  </si>
  <si>
    <t>TRX-2025-0895</t>
  </si>
  <si>
    <t>TRX-2025-0896</t>
  </si>
  <si>
    <t>TRX-2025-0897</t>
  </si>
  <si>
    <t>TRX-2025-0898</t>
  </si>
  <si>
    <t>TRX-2025-0899</t>
  </si>
  <si>
    <t>TRX-2025-0900</t>
  </si>
  <si>
    <t>TRX-2025-0901</t>
  </si>
  <si>
    <t>TRX-2025-0902</t>
  </si>
  <si>
    <t>TRX-2025-0903</t>
  </si>
  <si>
    <t>TRX-2025-0904</t>
  </si>
  <si>
    <t>TRX-2025-0905</t>
  </si>
  <si>
    <t>TRX-2025-0906</t>
  </si>
  <si>
    <t>TRX-2025-0907</t>
  </si>
  <si>
    <t>TRX-2025-0908</t>
  </si>
  <si>
    <t>TRX-2025-0909</t>
  </si>
  <si>
    <t>TRX-2025-0910</t>
  </si>
  <si>
    <t>TRX-2025-0911</t>
  </si>
  <si>
    <t>TRX-2025-0912</t>
  </si>
  <si>
    <t>TRX-2025-0913</t>
  </si>
  <si>
    <t>TRX-2025-0914</t>
  </si>
  <si>
    <t>TRX-2025-0915</t>
  </si>
  <si>
    <t>TRX-2025-0916</t>
  </si>
  <si>
    <t>TRX-2025-0917</t>
  </si>
  <si>
    <t>TRX-2025-0918</t>
  </si>
  <si>
    <t>TRX-2025-0919</t>
  </si>
  <si>
    <t>TRX-2025-0920</t>
  </si>
  <si>
    <t>TRX-2025-0921</t>
  </si>
  <si>
    <t>TRX-2025-0922</t>
  </si>
  <si>
    <t>TRX-2025-0923</t>
  </si>
  <si>
    <t>TRX-2025-0924</t>
  </si>
  <si>
    <t>TRX-2025-0925</t>
  </si>
  <si>
    <t>TRX-2025-0926</t>
  </si>
  <si>
    <t>TRX-2025-0927</t>
  </si>
  <si>
    <t>TRX-2025-0928</t>
  </si>
  <si>
    <t>TRX-2025-0929</t>
  </si>
  <si>
    <t>TRX-2025-0930</t>
  </si>
  <si>
    <t>TRX-2025-0931</t>
  </si>
  <si>
    <t>TRX-2025-0932</t>
  </si>
  <si>
    <t>TRX-2025-0933</t>
  </si>
  <si>
    <t>TRX-2025-0934</t>
  </si>
  <si>
    <t>TRX-2025-0935</t>
  </si>
  <si>
    <t>TRX-2025-0936</t>
  </si>
  <si>
    <t>TRX-2025-0937</t>
  </si>
  <si>
    <t>TRX-2025-0938</t>
  </si>
  <si>
    <t>TRX-2025-0939</t>
  </si>
  <si>
    <t>TRX-2025-0940</t>
  </si>
  <si>
    <t>TRX-2025-0941</t>
  </si>
  <si>
    <t>TRX-2025-0942</t>
  </si>
  <si>
    <t>TRX-2025-0943</t>
  </si>
  <si>
    <t>TRX-2025-0944</t>
  </si>
  <si>
    <t>TRX-2025-0945</t>
  </si>
  <si>
    <t>TRX-2025-0946</t>
  </si>
  <si>
    <t>TRX-2025-0947</t>
  </si>
  <si>
    <t>TRX-2025-0948</t>
  </si>
  <si>
    <t>TRX-2025-0949</t>
  </si>
  <si>
    <t>TRX-2025-0950</t>
  </si>
  <si>
    <t>TRX-2025-0951</t>
  </si>
  <si>
    <t>TRX-2025-0952</t>
  </si>
  <si>
    <t>TRX-2025-0953</t>
  </si>
  <si>
    <t>TRX-2025-0954</t>
  </si>
  <si>
    <t>TRX-2025-0955</t>
  </si>
  <si>
    <t>TRX-2025-0956</t>
  </si>
  <si>
    <t>TRX-2025-0957</t>
  </si>
  <si>
    <t>TRX-2025-0958</t>
  </si>
  <si>
    <t>TRX-2025-0959</t>
  </si>
  <si>
    <t>TRX-2025-0960</t>
  </si>
  <si>
    <t>TRX-2025-0961</t>
  </si>
  <si>
    <t>TRX-2025-0962</t>
  </si>
  <si>
    <t>TRX-2025-0963</t>
  </si>
  <si>
    <t>TRX-2025-0964</t>
  </si>
  <si>
    <t>TRX-2025-0965</t>
  </si>
  <si>
    <t>TRX-2025-0966</t>
  </si>
  <si>
    <t>TRX-2025-0967</t>
  </si>
  <si>
    <t>TRX-2025-0968</t>
  </si>
  <si>
    <t>TRX-2025-0969</t>
  </si>
  <si>
    <t>TRX-2025-0970</t>
  </si>
  <si>
    <t>TRX-2025-0971</t>
  </si>
  <si>
    <t>TRX-2025-0972</t>
  </si>
  <si>
    <t>TRX-2025-0973</t>
  </si>
  <si>
    <t>TRX-2025-0974</t>
  </si>
  <si>
    <t>TRX-2025-0975</t>
  </si>
  <si>
    <t>TRX-2025-0976</t>
  </si>
  <si>
    <t>TRX-2025-0977</t>
  </si>
  <si>
    <t>TRX-2025-0978</t>
  </si>
  <si>
    <t>TRX-2025-0979</t>
  </si>
  <si>
    <t>TRX-2025-0980</t>
  </si>
  <si>
    <t>TRX-2025-0981</t>
  </si>
  <si>
    <t>TRX-2025-0982</t>
  </si>
  <si>
    <t>TRX-2025-0983</t>
  </si>
  <si>
    <t>TRX-2025-0984</t>
  </si>
  <si>
    <t>TRX-2025-0985</t>
  </si>
  <si>
    <t>TRX-2025-0986</t>
  </si>
  <si>
    <t>TRX-2025-0987</t>
  </si>
  <si>
    <t>TRX-2025-0988</t>
  </si>
  <si>
    <t>TRX-2025-0989</t>
  </si>
  <si>
    <t>TRX-2025-0990</t>
  </si>
  <si>
    <t>TRX-2025-0991</t>
  </si>
  <si>
    <t>TRX-2025-0992</t>
  </si>
  <si>
    <t>TRX-2025-0993</t>
  </si>
  <si>
    <t>TRX-2025-0994</t>
  </si>
  <si>
    <t>TRX-2025-0995</t>
  </si>
  <si>
    <t>TRX-2025-0996</t>
  </si>
  <si>
    <t>TRX-2025-0997</t>
  </si>
  <si>
    <t>TRX-2025-0998</t>
  </si>
  <si>
    <t>TRX-2025-0999</t>
  </si>
  <si>
    <t>TRX-2025-1000</t>
  </si>
  <si>
    <t>Product_Name</t>
  </si>
  <si>
    <t>Category</t>
  </si>
  <si>
    <t>Unit_Price</t>
  </si>
  <si>
    <t>Cost_Price</t>
  </si>
  <si>
    <t>Laptop Ultrabook 14"</t>
  </si>
  <si>
    <t>Elektronik</t>
  </si>
  <si>
    <t>Wireless Mouse Ergonomic</t>
  </si>
  <si>
    <t>Mechanical Keyboard RGB</t>
  </si>
  <si>
    <t>Monitor 24" FHD 144Hz</t>
  </si>
  <si>
    <t>Kemeja Batik Katun Premium</t>
  </si>
  <si>
    <t>Fashion</t>
  </si>
  <si>
    <t>Celana Chino Slim Fit</t>
  </si>
  <si>
    <t>Jaket Hoodie Casual</t>
  </si>
  <si>
    <t>Sepatu Sneakers Pria/Wanita</t>
  </si>
  <si>
    <t>Kopi Arabika Gayo 250g</t>
  </si>
  <si>
    <t>F&amp;B</t>
  </si>
  <si>
    <t>Minyak Goreng Sawit 2L</t>
  </si>
  <si>
    <t>Beras Premium 5kg</t>
  </si>
  <si>
    <t>Susu UHT Full Cream 1L</t>
  </si>
  <si>
    <t>Wajan Anti Lengket 28cm</t>
  </si>
  <si>
    <t>Peralatan Rumah</t>
  </si>
  <si>
    <t>Blender Multifungsi 2-in-1</t>
  </si>
  <si>
    <t>Set Pisau Dapur Stainless</t>
  </si>
  <si>
    <t>Sales_Name</t>
  </si>
  <si>
    <t>Branch</t>
  </si>
  <si>
    <t>Region</t>
  </si>
  <si>
    <t>Andi Pratama</t>
  </si>
  <si>
    <t>Jakarta</t>
  </si>
  <si>
    <t>Barat</t>
  </si>
  <si>
    <t>Budi Santoso</t>
  </si>
  <si>
    <t>Surabaya</t>
  </si>
  <si>
    <t>Timur</t>
  </si>
  <si>
    <t>Citra Lestari</t>
  </si>
  <si>
    <t>Bandung</t>
  </si>
  <si>
    <t>Dewi Anggraini</t>
  </si>
  <si>
    <t>Medan</t>
  </si>
  <si>
    <t>Eko Prasetyo</t>
  </si>
  <si>
    <t>Semarang</t>
  </si>
  <si>
    <t>Tengah</t>
  </si>
  <si>
    <t>Fajar Nugraha</t>
  </si>
  <si>
    <t>Makassar</t>
  </si>
  <si>
    <t>Gita Permata</t>
  </si>
  <si>
    <t>Denpasar</t>
  </si>
  <si>
    <t>Hendra Wijaya</t>
  </si>
  <si>
    <t>Yogyakarta</t>
  </si>
  <si>
    <t>Gross_Revenue</t>
  </si>
  <si>
    <t>Discount_Amount</t>
  </si>
  <si>
    <t>Net_Revenue</t>
  </si>
  <si>
    <t>Total_COGS</t>
  </si>
  <si>
    <t>Total_Profit</t>
  </si>
  <si>
    <t>Grand Total</t>
  </si>
  <si>
    <t>Sum of Net_Revenue</t>
  </si>
  <si>
    <t>Sum of Total_Profit</t>
  </si>
  <si>
    <t>Sum of Discount_Pct</t>
  </si>
  <si>
    <t>Sum of % Profit Margin</t>
  </si>
  <si>
    <t>Barat Total</t>
  </si>
  <si>
    <t>Tengah Total</t>
  </si>
  <si>
    <t>Timur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</si>
</sst>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p&quot;* #,##0.00_-;\-&quot;Rp&quot;* #,##0.00_-;_-&quot;Rp&quot;* &quot;-&quot;??_-;_-@_-"/>
    <numFmt numFmtId="164" formatCode="&quot;Rp&quot;#,##0"/>
    <numFmt numFmtId="165" formatCode="yyyy\-mm\-dd"/>
    <numFmt numFmtId="166" formatCode="0.0%"/>
    <numFmt numFmtId="168" formatCode="_-&quot;Rp&quot;* #,##0_-;\-&quot;Rp&quot;* #,##0_-;_-&quot;Rp&quot;* &quot;-&quot;??_-;_-@_-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6"/>
      <color rgb="FF1F497D"/>
      <name val="Calibri"/>
    </font>
    <font>
      <sz val="10"/>
      <name val="Calibri"/>
    </font>
    <font>
      <b/>
      <sz val="12"/>
      <color rgb="FF333333"/>
      <name val="Calibri"/>
    </font>
    <font>
      <b/>
      <sz val="11"/>
      <color rgb="FF1F497D"/>
      <name val="Calibri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9FAFB"/>
        <bgColor rgb="FFF9FAFB"/>
      </patternFill>
    </fill>
    <fill>
      <patternFill patternType="solid">
        <fgColor rgb="FF2F5597"/>
        <bgColor rgb="FF2F5597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right"/>
    </xf>
    <xf numFmtId="166" fontId="0" fillId="0" borderId="1" xfId="0" applyNumberFormat="1" applyBorder="1" applyAlignment="1">
      <alignment horizontal="right"/>
    </xf>
    <xf numFmtId="0" fontId="0" fillId="0" borderId="1" xfId="0" applyBorder="1"/>
    <xf numFmtId="0" fontId="0" fillId="3" borderId="1" xfId="0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right"/>
    </xf>
    <xf numFmtId="166" fontId="0" fillId="3" borderId="1" xfId="0" applyNumberFormat="1" applyFill="1" applyBorder="1" applyAlignment="1">
      <alignment horizontal="right"/>
    </xf>
    <xf numFmtId="0" fontId="0" fillId="3" borderId="1" xfId="0" applyFill="1" applyBorder="1"/>
    <xf numFmtId="164" fontId="0" fillId="0" borderId="1" xfId="0" applyNumberFormat="1" applyBorder="1"/>
    <xf numFmtId="0" fontId="1" fillId="4" borderId="0" xfId="0" applyFont="1" applyFill="1" applyAlignment="1">
      <alignment horizontal="center" vertical="center" wrapText="1"/>
    </xf>
    <xf numFmtId="168" fontId="1" fillId="4" borderId="0" xfId="1" applyNumberFormat="1" applyFont="1" applyFill="1" applyAlignment="1">
      <alignment horizontal="center" vertical="center" wrapText="1"/>
    </xf>
    <xf numFmtId="168" fontId="0" fillId="0" borderId="1" xfId="1" applyNumberFormat="1" applyFont="1" applyBorder="1"/>
    <xf numFmtId="0" fontId="0" fillId="0" borderId="0" xfId="0" pivotButton="1"/>
    <xf numFmtId="168" fontId="0" fillId="0" borderId="0" xfId="0" applyNumberFormat="1"/>
    <xf numFmtId="166" fontId="0" fillId="0" borderId="0" xfId="0" applyNumberFormat="1"/>
    <xf numFmtId="9" fontId="0" fillId="0" borderId="0" xfId="0" applyNumberFormat="1"/>
  </cellXfs>
  <cellStyles count="2">
    <cellStyle name="Currency" xfId="1" builtinId="4"/>
    <cellStyle name="Normal" xfId="0" builtinId="0"/>
  </cellStyles>
  <dxfs count="4">
    <dxf>
      <numFmt numFmtId="13" formatCode="0%"/>
    </dxf>
    <dxf>
      <numFmt numFmtId="13" formatCode="0%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dy" refreshedDate="46325.655375231479" createdVersion="8" refreshedVersion="8" minRefreshableVersion="3" recordCount="1000" xr:uid="{A5968D7E-AA6A-4D42-A3E5-29665EEB1991}">
  <cacheSource type="worksheet">
    <worksheetSource ref="B1:R1001" sheet="Lembar_Kerja_Analisis"/>
  </cacheSource>
  <cacheFields count="18">
    <cacheField name="Field1" caption="Field1" numFmtId="0">
      <sharedItems/>
    </cacheField>
    <cacheField name="Transaction_ID" numFmtId="0">
      <sharedItems/>
    </cacheField>
    <cacheField name="Order_Date" numFmtId="165">
      <sharedItems containsSemiMixedTypes="0" containsNonDate="0" containsDate="1" containsString="0" minDate="2025-01-01T00:00:00" maxDate="2026-01-01T00:00:00"/>
    </cacheField>
    <cacheField name="Sales_Name" numFmtId="0">
      <sharedItems count="8">
        <s v="Andi Pratama"/>
        <s v="Budi Santoso"/>
        <s v="Fajar Nugraha"/>
        <s v="Eko Prasetyo"/>
        <s v="Dewi Anggraini"/>
        <s v="Citra Lestari"/>
        <s v="Hendra Wijaya"/>
        <s v="Gita Permata"/>
      </sharedItems>
    </cacheField>
    <cacheField name="Region" numFmtId="0">
      <sharedItems count="3">
        <s v="Barat"/>
        <s v="Timur"/>
        <s v="Tengah"/>
      </sharedItems>
    </cacheField>
    <cacheField name="Branch" numFmtId="0">
      <sharedItems/>
    </cacheField>
    <cacheField name="Product_Name" numFmtId="0">
      <sharedItems/>
    </cacheField>
    <cacheField name="Category" numFmtId="0">
      <sharedItems/>
    </cacheField>
    <cacheField name="Unit_Price" numFmtId="168">
      <sharedItems containsSemiMixedTypes="0" containsString="0" containsNumber="1" containsInteger="1" minValue="22000" maxValue="8500000"/>
    </cacheField>
    <cacheField name="Cost_Price" numFmtId="168">
      <sharedItems containsSemiMixedTypes="0" containsString="0" containsNumber="1" containsInteger="1" minValue="18000" maxValue="7200000"/>
    </cacheField>
    <cacheField name="Qty" numFmtId="0">
      <sharedItems containsSemiMixedTypes="0" containsString="0" containsNumber="1" containsInteger="1" minValue="1" maxValue="30"/>
    </cacheField>
    <cacheField name="Gross_Revenue" numFmtId="168">
      <sharedItems containsSemiMixedTypes="0" containsString="0" containsNumber="1" containsInteger="1" minValue="66000" maxValue="102000000"/>
    </cacheField>
    <cacheField name="Discount_Pct" numFmtId="166">
      <sharedItems containsSemiMixedTypes="0" containsString="0" containsNumber="1" minValue="0" maxValue="0.2"/>
    </cacheField>
    <cacheField name="Discount_Amount" numFmtId="168">
      <sharedItems containsSemiMixedTypes="0" containsString="0" containsNumber="1" containsInteger="1" minValue="0" maxValue="20400000"/>
    </cacheField>
    <cacheField name="Net_Revenue" numFmtId="168">
      <sharedItems containsSemiMixedTypes="0" containsString="0" containsNumber="1" containsInteger="1" minValue="52800" maxValue="102000000"/>
    </cacheField>
    <cacheField name="Total_COGS" numFmtId="168">
      <sharedItems containsSemiMixedTypes="0" containsString="0" containsNumber="1" containsInteger="1" minValue="54000" maxValue="86400000"/>
    </cacheField>
    <cacheField name="Total_Profit" numFmtId="168">
      <sharedItems containsSemiMixedTypes="0" containsString="0" containsNumber="1" containsInteger="1" minValue="-4800000" maxValue="15600000"/>
    </cacheField>
    <cacheField name="% Profit Margin" numFmtId="0" formula="Total_Profit /Net_Revenue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SLS-01"/>
    <s v="TRX-2025-0001"/>
    <d v="2025-11-24T00:00:00"/>
    <x v="0"/>
    <x v="0"/>
    <s v="Jakarta"/>
    <s v="Wireless Mouse Ergonomic"/>
    <s v="Elektronik"/>
    <n v="250000"/>
    <n v="160000"/>
    <n v="12"/>
    <n v="3000000"/>
    <n v="0.1"/>
    <n v="300000"/>
    <n v="2700000"/>
    <n v="1920000"/>
    <n v="780000"/>
  </r>
  <r>
    <s v="SLS-02"/>
    <s v="TRX-2025-0002"/>
    <d v="2025-02-22T00:00:00"/>
    <x v="1"/>
    <x v="1"/>
    <s v="Surabaya"/>
    <s v="Beras Premium 5kg"/>
    <s v="F&amp;B"/>
    <n v="74000"/>
    <n v="65000"/>
    <n v="16"/>
    <n v="1184000"/>
    <n v="0"/>
    <n v="0"/>
    <n v="1184000"/>
    <n v="1040000"/>
    <n v="144000"/>
  </r>
  <r>
    <s v="SLS-01"/>
    <s v="TRX-2025-0003"/>
    <d v="2025-04-30T00:00:00"/>
    <x v="0"/>
    <x v="0"/>
    <s v="Jakarta"/>
    <s v="Kopi Arabika Gayo 250g"/>
    <s v="F&amp;B"/>
    <n v="85000"/>
    <n v="55000"/>
    <n v="9"/>
    <n v="765000"/>
    <n v="0.2"/>
    <n v="153000"/>
    <n v="612000"/>
    <n v="495000"/>
    <n v="117000"/>
  </r>
  <r>
    <s v="SLS-01"/>
    <s v="TRX-2025-0004"/>
    <d v="2025-10-29T00:00:00"/>
    <x v="0"/>
    <x v="0"/>
    <s v="Jakarta"/>
    <s v="Kemeja Batik Katun Premium"/>
    <s v="Fashion"/>
    <n v="320000"/>
    <n v="190000"/>
    <n v="3"/>
    <n v="960000"/>
    <n v="0.15"/>
    <n v="144000"/>
    <n v="816000"/>
    <n v="570000"/>
    <n v="246000"/>
  </r>
  <r>
    <s v="SLS-06"/>
    <s v="TRX-2025-0005"/>
    <d v="2025-04-21T00:00:00"/>
    <x v="2"/>
    <x v="1"/>
    <s v="Makassar"/>
    <s v="Wajan Anti Lengket 28cm"/>
    <s v="Peralatan Rumah"/>
    <n v="210000"/>
    <n v="140000"/>
    <n v="2"/>
    <n v="420000"/>
    <n v="0"/>
    <n v="0"/>
    <n v="420000"/>
    <n v="280000"/>
    <n v="140000"/>
  </r>
  <r>
    <s v="SLS-05"/>
    <s v="TRX-2025-0006"/>
    <d v="2025-06-26T00:00:00"/>
    <x v="3"/>
    <x v="2"/>
    <s v="Semarang"/>
    <s v="Minyak Goreng Sawit 2L"/>
    <s v="F&amp;B"/>
    <n v="36000"/>
    <n v="31000"/>
    <n v="26"/>
    <n v="936000"/>
    <n v="0.15"/>
    <n v="140400"/>
    <n v="795600"/>
    <n v="806000"/>
    <n v="-10400"/>
  </r>
  <r>
    <s v="SLS-06"/>
    <s v="TRX-2025-0007"/>
    <d v="2025-10-10T00:00:00"/>
    <x v="2"/>
    <x v="1"/>
    <s v="Makassar"/>
    <s v="Kemeja Batik Katun Premium"/>
    <s v="Fashion"/>
    <n v="320000"/>
    <n v="190000"/>
    <n v="10"/>
    <n v="3200000"/>
    <n v="0.05"/>
    <n v="160000"/>
    <n v="3040000"/>
    <n v="1900000"/>
    <n v="1140000"/>
  </r>
  <r>
    <s v="SLS-04"/>
    <s v="TRX-2025-0008"/>
    <d v="2025-05-29T00:00:00"/>
    <x v="4"/>
    <x v="0"/>
    <s v="Medan"/>
    <s v="Wireless Mouse Ergonomic"/>
    <s v="Elektronik"/>
    <n v="250000"/>
    <n v="160000"/>
    <n v="2"/>
    <n v="500000"/>
    <n v="0.15"/>
    <n v="75000"/>
    <n v="425000"/>
    <n v="320000"/>
    <n v="105000"/>
  </r>
  <r>
    <s v="SLS-06"/>
    <s v="TRX-2025-0009"/>
    <d v="2025-03-25T00:00:00"/>
    <x v="2"/>
    <x v="1"/>
    <s v="Makassar"/>
    <s v="Celana Chino Slim Fit"/>
    <s v="Fashion"/>
    <n v="280000"/>
    <n v="175000"/>
    <n v="4"/>
    <n v="1120000"/>
    <n v="0.1"/>
    <n v="112000"/>
    <n v="1008000"/>
    <n v="700000"/>
    <n v="308000"/>
  </r>
  <r>
    <s v="SLS-04"/>
    <s v="TRX-2025-0010"/>
    <d v="2025-10-01T00:00:00"/>
    <x v="4"/>
    <x v="0"/>
    <s v="Medan"/>
    <s v="Susu UHT Full Cream 1L"/>
    <s v="F&amp;B"/>
    <n v="22000"/>
    <n v="18000"/>
    <n v="17"/>
    <n v="374000"/>
    <n v="0.15"/>
    <n v="56100"/>
    <n v="317900"/>
    <n v="306000"/>
    <n v="11900"/>
  </r>
  <r>
    <s v="SLS-01"/>
    <s v="TRX-2025-0011"/>
    <d v="2025-12-17T00:00:00"/>
    <x v="0"/>
    <x v="0"/>
    <s v="Jakarta"/>
    <s v="Celana Chino Slim Fit"/>
    <s v="Fashion"/>
    <n v="280000"/>
    <n v="175000"/>
    <n v="4"/>
    <n v="1120000"/>
    <n v="0"/>
    <n v="0"/>
    <n v="1120000"/>
    <n v="700000"/>
    <n v="420000"/>
  </r>
  <r>
    <s v="SLS-06"/>
    <s v="TRX-2025-0012"/>
    <d v="2025-02-03T00:00:00"/>
    <x v="2"/>
    <x v="1"/>
    <s v="Makassar"/>
    <s v="Monitor 24&quot; FHD 144Hz"/>
    <s v="Elektronik"/>
    <n v="1950000"/>
    <n v="1500000"/>
    <n v="4"/>
    <n v="7800000"/>
    <n v="0.15"/>
    <n v="1170000"/>
    <n v="6630000"/>
    <n v="6000000"/>
    <n v="630000"/>
  </r>
  <r>
    <s v="SLS-03"/>
    <s v="TRX-2025-0013"/>
    <d v="2025-03-15T00:00:00"/>
    <x v="5"/>
    <x v="0"/>
    <s v="Bandung"/>
    <s v="Kemeja Batik Katun Premium"/>
    <s v="Fashion"/>
    <n v="320000"/>
    <n v="190000"/>
    <n v="4"/>
    <n v="1280000"/>
    <n v="0.2"/>
    <n v="256000"/>
    <n v="1024000"/>
    <n v="760000"/>
    <n v="264000"/>
  </r>
  <r>
    <s v="SLS-06"/>
    <s v="TRX-2025-0014"/>
    <d v="2025-10-26T00:00:00"/>
    <x v="2"/>
    <x v="1"/>
    <s v="Makassar"/>
    <s v="Jaket Hoodie Casual"/>
    <s v="Fashion"/>
    <n v="350000"/>
    <n v="220000"/>
    <n v="4"/>
    <n v="1400000"/>
    <n v="0.05"/>
    <n v="70000"/>
    <n v="1330000"/>
    <n v="880000"/>
    <n v="450000"/>
  </r>
  <r>
    <s v="SLS-03"/>
    <s v="TRX-2025-0015"/>
    <d v="2025-02-26T00:00:00"/>
    <x v="5"/>
    <x v="0"/>
    <s v="Bandung"/>
    <s v="Mechanical Keyboard RGB"/>
    <s v="Elektronik"/>
    <n v="750000"/>
    <n v="520000"/>
    <n v="11"/>
    <n v="8250000"/>
    <n v="0.15"/>
    <n v="1237500"/>
    <n v="7012500"/>
    <n v="5720000"/>
    <n v="1292500"/>
  </r>
  <r>
    <s v="SLS-05"/>
    <s v="TRX-2025-0016"/>
    <d v="2025-11-02T00:00:00"/>
    <x v="3"/>
    <x v="2"/>
    <s v="Semarang"/>
    <s v="Sepatu Sneakers Pria/Wanita"/>
    <s v="Fashion"/>
    <n v="450000"/>
    <n v="290000"/>
    <n v="9"/>
    <n v="4050000"/>
    <n v="0"/>
    <n v="0"/>
    <n v="4050000"/>
    <n v="2610000"/>
    <n v="1440000"/>
  </r>
  <r>
    <s v="SLS-02"/>
    <s v="TRX-2025-0017"/>
    <d v="2025-11-25T00:00:00"/>
    <x v="1"/>
    <x v="1"/>
    <s v="Surabaya"/>
    <s v="Celana Chino Slim Fit"/>
    <s v="Fashion"/>
    <n v="280000"/>
    <n v="175000"/>
    <n v="5"/>
    <n v="1400000"/>
    <n v="0.15"/>
    <n v="210000"/>
    <n v="1190000"/>
    <n v="875000"/>
    <n v="315000"/>
  </r>
  <r>
    <s v="SLS-03"/>
    <s v="TRX-2025-0018"/>
    <d v="2025-05-15T00:00:00"/>
    <x v="5"/>
    <x v="0"/>
    <s v="Bandung"/>
    <s v="Kopi Arabika Gayo 250g"/>
    <s v="F&amp;B"/>
    <n v="85000"/>
    <n v="55000"/>
    <n v="6"/>
    <n v="510000"/>
    <n v="0.1"/>
    <n v="51000"/>
    <n v="459000"/>
    <n v="330000"/>
    <n v="129000"/>
  </r>
  <r>
    <s v="SLS-01"/>
    <s v="TRX-2025-0019"/>
    <d v="2025-03-24T00:00:00"/>
    <x v="0"/>
    <x v="0"/>
    <s v="Jakarta"/>
    <s v="Kopi Arabika Gayo 250g"/>
    <s v="F&amp;B"/>
    <n v="85000"/>
    <n v="55000"/>
    <n v="13"/>
    <n v="1105000"/>
    <n v="0.15"/>
    <n v="165750"/>
    <n v="939250"/>
    <n v="715000"/>
    <n v="224250"/>
  </r>
  <r>
    <s v="SLS-01"/>
    <s v="TRX-2025-0020"/>
    <d v="2025-06-07T00:00:00"/>
    <x v="0"/>
    <x v="0"/>
    <s v="Jakarta"/>
    <s v="Monitor 24&quot; FHD 144Hz"/>
    <s v="Elektronik"/>
    <n v="1950000"/>
    <n v="1500000"/>
    <n v="4"/>
    <n v="7800000"/>
    <n v="0.2"/>
    <n v="1560000"/>
    <n v="6240000"/>
    <n v="6000000"/>
    <n v="240000"/>
  </r>
  <r>
    <s v="SLS-03"/>
    <s v="TRX-2025-0021"/>
    <d v="2025-02-05T00:00:00"/>
    <x v="5"/>
    <x v="0"/>
    <s v="Bandung"/>
    <s v="Wajan Anti Lengket 28cm"/>
    <s v="Peralatan Rumah"/>
    <n v="210000"/>
    <n v="140000"/>
    <n v="3"/>
    <n v="630000"/>
    <n v="0.15"/>
    <n v="94500"/>
    <n v="535500"/>
    <n v="420000"/>
    <n v="115500"/>
  </r>
  <r>
    <s v="SLS-04"/>
    <s v="TRX-2025-0022"/>
    <d v="2025-04-19T00:00:00"/>
    <x v="4"/>
    <x v="0"/>
    <s v="Medan"/>
    <s v="Set Pisau Dapur Stainless"/>
    <s v="Peralatan Rumah"/>
    <n v="165000"/>
    <n v="105000"/>
    <n v="12"/>
    <n v="1980000"/>
    <n v="0.1"/>
    <n v="198000"/>
    <n v="1782000"/>
    <n v="1260000"/>
    <n v="522000"/>
  </r>
  <r>
    <s v="SLS-08"/>
    <s v="TRX-2025-0023"/>
    <d v="2025-08-13T00:00:00"/>
    <x v="6"/>
    <x v="2"/>
    <s v="Yogyakarta"/>
    <s v="Set Pisau Dapur Stainless"/>
    <s v="Peralatan Rumah"/>
    <n v="165000"/>
    <n v="105000"/>
    <n v="2"/>
    <n v="330000"/>
    <n v="0.05"/>
    <n v="16500"/>
    <n v="313500"/>
    <n v="210000"/>
    <n v="103500"/>
  </r>
  <r>
    <s v="SLS-04"/>
    <s v="TRX-2025-0024"/>
    <d v="2025-01-11T00:00:00"/>
    <x v="4"/>
    <x v="0"/>
    <s v="Medan"/>
    <s v="Minyak Goreng Sawit 2L"/>
    <s v="F&amp;B"/>
    <n v="36000"/>
    <n v="31000"/>
    <n v="10"/>
    <n v="360000"/>
    <n v="0"/>
    <n v="0"/>
    <n v="360000"/>
    <n v="310000"/>
    <n v="50000"/>
  </r>
  <r>
    <s v="SLS-01"/>
    <s v="TRX-2025-0025"/>
    <d v="2025-04-28T00:00:00"/>
    <x v="0"/>
    <x v="0"/>
    <s v="Jakarta"/>
    <s v="Wireless Mouse Ergonomic"/>
    <s v="Elektronik"/>
    <n v="250000"/>
    <n v="160000"/>
    <n v="6"/>
    <n v="1500000"/>
    <n v="0"/>
    <n v="0"/>
    <n v="1500000"/>
    <n v="960000"/>
    <n v="540000"/>
  </r>
  <r>
    <s v="SLS-03"/>
    <s v="TRX-2025-0026"/>
    <d v="2025-04-20T00:00:00"/>
    <x v="5"/>
    <x v="0"/>
    <s v="Bandung"/>
    <s v="Kopi Arabika Gayo 250g"/>
    <s v="F&amp;B"/>
    <n v="85000"/>
    <n v="55000"/>
    <n v="21"/>
    <n v="1785000"/>
    <n v="0.2"/>
    <n v="357000"/>
    <n v="1428000"/>
    <n v="1155000"/>
    <n v="273000"/>
  </r>
  <r>
    <s v="SLS-02"/>
    <s v="TRX-2025-0027"/>
    <d v="2025-07-28T00:00:00"/>
    <x v="1"/>
    <x v="1"/>
    <s v="Surabaya"/>
    <s v="Monitor 24&quot; FHD 144Hz"/>
    <s v="Elektronik"/>
    <n v="1950000"/>
    <n v="1500000"/>
    <n v="2"/>
    <n v="3900000"/>
    <n v="0.15"/>
    <n v="585000"/>
    <n v="3315000"/>
    <n v="3000000"/>
    <n v="315000"/>
  </r>
  <r>
    <s v="SLS-01"/>
    <s v="TRX-2025-0028"/>
    <d v="2025-08-28T00:00:00"/>
    <x v="0"/>
    <x v="0"/>
    <s v="Jakarta"/>
    <s v="Blender Multifungsi 2-in-1"/>
    <s v="Peralatan Rumah"/>
    <n v="340000"/>
    <n v="240000"/>
    <n v="11"/>
    <n v="3740000"/>
    <n v="0"/>
    <n v="0"/>
    <n v="3740000"/>
    <n v="2640000"/>
    <n v="1100000"/>
  </r>
  <r>
    <s v="SLS-04"/>
    <s v="TRX-2025-0029"/>
    <d v="2025-02-25T00:00:00"/>
    <x v="4"/>
    <x v="0"/>
    <s v="Medan"/>
    <s v="Monitor 24&quot; FHD 144Hz"/>
    <s v="Elektronik"/>
    <n v="1950000"/>
    <n v="1500000"/>
    <n v="4"/>
    <n v="7800000"/>
    <n v="0.2"/>
    <n v="1560000"/>
    <n v="6240000"/>
    <n v="6000000"/>
    <n v="240000"/>
  </r>
  <r>
    <s v="SLS-08"/>
    <s v="TRX-2025-0030"/>
    <d v="2025-04-04T00:00:00"/>
    <x v="6"/>
    <x v="2"/>
    <s v="Yogyakarta"/>
    <s v="Kemeja Batik Katun Premium"/>
    <s v="Fashion"/>
    <n v="320000"/>
    <n v="190000"/>
    <n v="4"/>
    <n v="1280000"/>
    <n v="0"/>
    <n v="0"/>
    <n v="1280000"/>
    <n v="760000"/>
    <n v="520000"/>
  </r>
  <r>
    <s v="SLS-01"/>
    <s v="TRX-2025-0031"/>
    <d v="2025-01-26T00:00:00"/>
    <x v="0"/>
    <x v="0"/>
    <s v="Jakarta"/>
    <s v="Beras Premium 5kg"/>
    <s v="F&amp;B"/>
    <n v="74000"/>
    <n v="65000"/>
    <n v="27"/>
    <n v="1998000"/>
    <n v="0.05"/>
    <n v="99900"/>
    <n v="1898100"/>
    <n v="1755000"/>
    <n v="143100"/>
  </r>
  <r>
    <s v="SLS-07"/>
    <s v="TRX-2025-0032"/>
    <d v="2025-09-04T00:00:00"/>
    <x v="7"/>
    <x v="2"/>
    <s v="Denpasar"/>
    <s v="Monitor 24&quot; FHD 144Hz"/>
    <s v="Elektronik"/>
    <n v="1950000"/>
    <n v="1500000"/>
    <n v="1"/>
    <n v="1950000"/>
    <n v="0.05"/>
    <n v="97500"/>
    <n v="1852500"/>
    <n v="1500000"/>
    <n v="352500"/>
  </r>
  <r>
    <s v="SLS-08"/>
    <s v="TRX-2025-0033"/>
    <d v="2025-05-16T00:00:00"/>
    <x v="6"/>
    <x v="2"/>
    <s v="Yogyakarta"/>
    <s v="Set Pisau Dapur Stainless"/>
    <s v="Peralatan Rumah"/>
    <n v="165000"/>
    <n v="105000"/>
    <n v="5"/>
    <n v="825000"/>
    <n v="0.15"/>
    <n v="123750"/>
    <n v="701250"/>
    <n v="525000"/>
    <n v="176250"/>
  </r>
  <r>
    <s v="SLS-01"/>
    <s v="TRX-2025-0034"/>
    <d v="2025-06-01T00:00:00"/>
    <x v="0"/>
    <x v="0"/>
    <s v="Jakarta"/>
    <s v="Monitor 24&quot; FHD 144Hz"/>
    <s v="Elektronik"/>
    <n v="1950000"/>
    <n v="1500000"/>
    <n v="10"/>
    <n v="19500000"/>
    <n v="0.2"/>
    <n v="3900000"/>
    <n v="15600000"/>
    <n v="15000000"/>
    <n v="600000"/>
  </r>
  <r>
    <s v="SLS-08"/>
    <s v="TRX-2025-0035"/>
    <d v="2025-01-30T00:00:00"/>
    <x v="6"/>
    <x v="2"/>
    <s v="Yogyakarta"/>
    <s v="Laptop Ultrabook 14&quot;"/>
    <s v="Elektronik"/>
    <n v="8500000"/>
    <n v="7200000"/>
    <n v="9"/>
    <n v="76500000"/>
    <n v="0.2"/>
    <n v="15300000"/>
    <n v="61200000"/>
    <n v="64800000"/>
    <n v="-3600000"/>
  </r>
  <r>
    <s v="SLS-02"/>
    <s v="TRX-2025-0036"/>
    <d v="2025-04-06T00:00:00"/>
    <x v="1"/>
    <x v="1"/>
    <s v="Surabaya"/>
    <s v="Wireless Mouse Ergonomic"/>
    <s v="Elektronik"/>
    <n v="250000"/>
    <n v="160000"/>
    <n v="11"/>
    <n v="2750000"/>
    <n v="0.05"/>
    <n v="137500"/>
    <n v="2612500"/>
    <n v="1760000"/>
    <n v="852500"/>
  </r>
  <r>
    <s v="SLS-01"/>
    <s v="TRX-2025-0037"/>
    <d v="2025-10-24T00:00:00"/>
    <x v="0"/>
    <x v="0"/>
    <s v="Jakarta"/>
    <s v="Minyak Goreng Sawit 2L"/>
    <s v="F&amp;B"/>
    <n v="36000"/>
    <n v="31000"/>
    <n v="5"/>
    <n v="180000"/>
    <n v="0.15"/>
    <n v="27000"/>
    <n v="153000"/>
    <n v="155000"/>
    <n v="-2000"/>
  </r>
  <r>
    <s v="SLS-06"/>
    <s v="TRX-2025-0038"/>
    <d v="2025-12-09T00:00:00"/>
    <x v="2"/>
    <x v="1"/>
    <s v="Makassar"/>
    <s v="Susu UHT Full Cream 1L"/>
    <s v="F&amp;B"/>
    <n v="22000"/>
    <n v="18000"/>
    <n v="11"/>
    <n v="242000"/>
    <n v="0.15"/>
    <n v="36300"/>
    <n v="205700"/>
    <n v="198000"/>
    <n v="7700"/>
  </r>
  <r>
    <s v="SLS-02"/>
    <s v="TRX-2025-0039"/>
    <d v="2025-08-23T00:00:00"/>
    <x v="1"/>
    <x v="1"/>
    <s v="Surabaya"/>
    <s v="Celana Chino Slim Fit"/>
    <s v="Fashion"/>
    <n v="280000"/>
    <n v="175000"/>
    <n v="1"/>
    <n v="280000"/>
    <n v="0.15"/>
    <n v="42000"/>
    <n v="238000"/>
    <n v="175000"/>
    <n v="63000"/>
  </r>
  <r>
    <s v="SLS-03"/>
    <s v="TRX-2025-0040"/>
    <d v="2025-09-17T00:00:00"/>
    <x v="5"/>
    <x v="0"/>
    <s v="Bandung"/>
    <s v="Kemeja Batik Katun Premium"/>
    <s v="Fashion"/>
    <n v="320000"/>
    <n v="190000"/>
    <n v="6"/>
    <n v="1920000"/>
    <n v="0"/>
    <n v="0"/>
    <n v="1920000"/>
    <n v="1140000"/>
    <n v="780000"/>
  </r>
  <r>
    <s v="SLS-05"/>
    <s v="TRX-2025-0041"/>
    <d v="2025-03-22T00:00:00"/>
    <x v="3"/>
    <x v="2"/>
    <s v="Semarang"/>
    <s v="Sepatu Sneakers Pria/Wanita"/>
    <s v="Fashion"/>
    <n v="450000"/>
    <n v="290000"/>
    <n v="10"/>
    <n v="4500000"/>
    <n v="0.2"/>
    <n v="900000"/>
    <n v="3600000"/>
    <n v="2900000"/>
    <n v="700000"/>
  </r>
  <r>
    <s v="SLS-03"/>
    <s v="TRX-2025-0042"/>
    <d v="2025-12-06T00:00:00"/>
    <x v="5"/>
    <x v="0"/>
    <s v="Bandung"/>
    <s v="Wireless Mouse Ergonomic"/>
    <s v="Elektronik"/>
    <n v="250000"/>
    <n v="160000"/>
    <n v="5"/>
    <n v="1250000"/>
    <n v="0"/>
    <n v="0"/>
    <n v="1250000"/>
    <n v="800000"/>
    <n v="450000"/>
  </r>
  <r>
    <s v="SLS-04"/>
    <s v="TRX-2025-0043"/>
    <d v="2025-05-20T00:00:00"/>
    <x v="4"/>
    <x v="0"/>
    <s v="Medan"/>
    <s v="Kemeja Batik Katun Premium"/>
    <s v="Fashion"/>
    <n v="320000"/>
    <n v="190000"/>
    <n v="12"/>
    <n v="3840000"/>
    <n v="0.1"/>
    <n v="384000"/>
    <n v="3456000"/>
    <n v="2280000"/>
    <n v="1176000"/>
  </r>
  <r>
    <s v="SLS-05"/>
    <s v="TRX-2025-0044"/>
    <d v="2025-09-16T00:00:00"/>
    <x v="3"/>
    <x v="2"/>
    <s v="Semarang"/>
    <s v="Sepatu Sneakers Pria/Wanita"/>
    <s v="Fashion"/>
    <n v="450000"/>
    <n v="290000"/>
    <n v="1"/>
    <n v="450000"/>
    <n v="0"/>
    <n v="0"/>
    <n v="450000"/>
    <n v="290000"/>
    <n v="160000"/>
  </r>
  <r>
    <s v="SLS-03"/>
    <s v="TRX-2025-0045"/>
    <d v="2025-01-02T00:00:00"/>
    <x v="5"/>
    <x v="0"/>
    <s v="Bandung"/>
    <s v="Celana Chino Slim Fit"/>
    <s v="Fashion"/>
    <n v="280000"/>
    <n v="175000"/>
    <n v="11"/>
    <n v="3080000"/>
    <n v="0.1"/>
    <n v="308000"/>
    <n v="2772000"/>
    <n v="1925000"/>
    <n v="847000"/>
  </r>
  <r>
    <s v="SLS-07"/>
    <s v="TRX-2025-0046"/>
    <d v="2025-10-10T00:00:00"/>
    <x v="7"/>
    <x v="2"/>
    <s v="Denpasar"/>
    <s v="Susu UHT Full Cream 1L"/>
    <s v="F&amp;B"/>
    <n v="22000"/>
    <n v="18000"/>
    <n v="3"/>
    <n v="66000"/>
    <n v="0"/>
    <n v="0"/>
    <n v="66000"/>
    <n v="54000"/>
    <n v="12000"/>
  </r>
  <r>
    <s v="SLS-06"/>
    <s v="TRX-2025-0047"/>
    <d v="2025-10-07T00:00:00"/>
    <x v="2"/>
    <x v="1"/>
    <s v="Makassar"/>
    <s v="Laptop Ultrabook 14&quot;"/>
    <s v="Elektronik"/>
    <n v="8500000"/>
    <n v="7200000"/>
    <n v="10"/>
    <n v="85000000"/>
    <n v="0.2"/>
    <n v="17000000"/>
    <n v="68000000"/>
    <n v="72000000"/>
    <n v="-4000000"/>
  </r>
  <r>
    <s v="SLS-06"/>
    <s v="TRX-2025-0048"/>
    <d v="2025-01-22T00:00:00"/>
    <x v="2"/>
    <x v="1"/>
    <s v="Makassar"/>
    <s v="Kemeja Batik Katun Premium"/>
    <s v="Fashion"/>
    <n v="320000"/>
    <n v="190000"/>
    <n v="1"/>
    <n v="320000"/>
    <n v="0.1"/>
    <n v="32000"/>
    <n v="288000"/>
    <n v="190000"/>
    <n v="98000"/>
  </r>
  <r>
    <s v="SLS-06"/>
    <s v="TRX-2025-0049"/>
    <d v="2025-12-08T00:00:00"/>
    <x v="2"/>
    <x v="1"/>
    <s v="Makassar"/>
    <s v="Wireless Mouse Ergonomic"/>
    <s v="Elektronik"/>
    <n v="250000"/>
    <n v="160000"/>
    <n v="9"/>
    <n v="2250000"/>
    <n v="0.15"/>
    <n v="337500"/>
    <n v="1912500"/>
    <n v="1440000"/>
    <n v="472500"/>
  </r>
  <r>
    <s v="SLS-07"/>
    <s v="TRX-2025-0050"/>
    <d v="2025-04-01T00:00:00"/>
    <x v="7"/>
    <x v="2"/>
    <s v="Denpasar"/>
    <s v="Set Pisau Dapur Stainless"/>
    <s v="Peralatan Rumah"/>
    <n v="165000"/>
    <n v="105000"/>
    <n v="1"/>
    <n v="165000"/>
    <n v="0.05"/>
    <n v="8250"/>
    <n v="156750"/>
    <n v="105000"/>
    <n v="51750"/>
  </r>
  <r>
    <s v="SLS-02"/>
    <s v="TRX-2025-0051"/>
    <d v="2025-05-17T00:00:00"/>
    <x v="1"/>
    <x v="1"/>
    <s v="Surabaya"/>
    <s v="Mechanical Keyboard RGB"/>
    <s v="Elektronik"/>
    <n v="750000"/>
    <n v="520000"/>
    <n v="7"/>
    <n v="5250000"/>
    <n v="0"/>
    <n v="0"/>
    <n v="5250000"/>
    <n v="3640000"/>
    <n v="1610000"/>
  </r>
  <r>
    <s v="SLS-05"/>
    <s v="TRX-2025-0052"/>
    <d v="2025-08-24T00:00:00"/>
    <x v="3"/>
    <x v="2"/>
    <s v="Semarang"/>
    <s v="Celana Chino Slim Fit"/>
    <s v="Fashion"/>
    <n v="280000"/>
    <n v="175000"/>
    <n v="4"/>
    <n v="1120000"/>
    <n v="0.05"/>
    <n v="56000"/>
    <n v="1064000"/>
    <n v="700000"/>
    <n v="364000"/>
  </r>
  <r>
    <s v="SLS-05"/>
    <s v="TRX-2025-0053"/>
    <d v="2025-07-24T00:00:00"/>
    <x v="3"/>
    <x v="2"/>
    <s v="Semarang"/>
    <s v="Celana Chino Slim Fit"/>
    <s v="Fashion"/>
    <n v="280000"/>
    <n v="175000"/>
    <n v="2"/>
    <n v="560000"/>
    <n v="0.1"/>
    <n v="56000"/>
    <n v="504000"/>
    <n v="350000"/>
    <n v="154000"/>
  </r>
  <r>
    <s v="SLS-06"/>
    <s v="TRX-2025-0054"/>
    <d v="2025-12-14T00:00:00"/>
    <x v="2"/>
    <x v="1"/>
    <s v="Makassar"/>
    <s v="Blender Multifungsi 2-in-1"/>
    <s v="Peralatan Rumah"/>
    <n v="340000"/>
    <n v="240000"/>
    <n v="1"/>
    <n v="340000"/>
    <n v="0"/>
    <n v="0"/>
    <n v="340000"/>
    <n v="240000"/>
    <n v="100000"/>
  </r>
  <r>
    <s v="SLS-07"/>
    <s v="TRX-2025-0055"/>
    <d v="2025-01-20T00:00:00"/>
    <x v="7"/>
    <x v="2"/>
    <s v="Denpasar"/>
    <s v="Wireless Mouse Ergonomic"/>
    <s v="Elektronik"/>
    <n v="250000"/>
    <n v="160000"/>
    <n v="6"/>
    <n v="1500000"/>
    <n v="0.1"/>
    <n v="150000"/>
    <n v="1350000"/>
    <n v="960000"/>
    <n v="390000"/>
  </r>
  <r>
    <s v="SLS-04"/>
    <s v="TRX-2025-0056"/>
    <d v="2025-07-17T00:00:00"/>
    <x v="4"/>
    <x v="0"/>
    <s v="Medan"/>
    <s v="Set Pisau Dapur Stainless"/>
    <s v="Peralatan Rumah"/>
    <n v="165000"/>
    <n v="105000"/>
    <n v="5"/>
    <n v="825000"/>
    <n v="0"/>
    <n v="0"/>
    <n v="825000"/>
    <n v="525000"/>
    <n v="300000"/>
  </r>
  <r>
    <s v="SLS-02"/>
    <s v="TRX-2025-0057"/>
    <d v="2025-07-06T00:00:00"/>
    <x v="1"/>
    <x v="1"/>
    <s v="Surabaya"/>
    <s v="Jaket Hoodie Casual"/>
    <s v="Fashion"/>
    <n v="350000"/>
    <n v="220000"/>
    <n v="11"/>
    <n v="3850000"/>
    <n v="0.1"/>
    <n v="385000"/>
    <n v="3465000"/>
    <n v="2420000"/>
    <n v="1045000"/>
  </r>
  <r>
    <s v="SLS-05"/>
    <s v="TRX-2025-0058"/>
    <d v="2025-06-03T00:00:00"/>
    <x v="3"/>
    <x v="2"/>
    <s v="Semarang"/>
    <s v="Kopi Arabika Gayo 250g"/>
    <s v="F&amp;B"/>
    <n v="85000"/>
    <n v="55000"/>
    <n v="16"/>
    <n v="1360000"/>
    <n v="0.1"/>
    <n v="136000"/>
    <n v="1224000"/>
    <n v="880000"/>
    <n v="344000"/>
  </r>
  <r>
    <s v="SLS-04"/>
    <s v="TRX-2025-0059"/>
    <d v="2025-10-11T00:00:00"/>
    <x v="4"/>
    <x v="0"/>
    <s v="Medan"/>
    <s v="Mechanical Keyboard RGB"/>
    <s v="Elektronik"/>
    <n v="750000"/>
    <n v="520000"/>
    <n v="7"/>
    <n v="5250000"/>
    <n v="0.15"/>
    <n v="787500"/>
    <n v="4462500"/>
    <n v="3640000"/>
    <n v="822500"/>
  </r>
  <r>
    <s v="SLS-01"/>
    <s v="TRX-2025-0060"/>
    <d v="2025-07-27T00:00:00"/>
    <x v="0"/>
    <x v="0"/>
    <s v="Jakarta"/>
    <s v="Kopi Arabika Gayo 250g"/>
    <s v="F&amp;B"/>
    <n v="85000"/>
    <n v="55000"/>
    <n v="12"/>
    <n v="1020000"/>
    <n v="0.05"/>
    <n v="51000"/>
    <n v="969000"/>
    <n v="660000"/>
    <n v="309000"/>
  </r>
  <r>
    <s v="SLS-08"/>
    <s v="TRX-2025-0061"/>
    <d v="2025-08-27T00:00:00"/>
    <x v="6"/>
    <x v="2"/>
    <s v="Yogyakarta"/>
    <s v="Sepatu Sneakers Pria/Wanita"/>
    <s v="Fashion"/>
    <n v="450000"/>
    <n v="290000"/>
    <n v="11"/>
    <n v="4950000"/>
    <n v="0.05"/>
    <n v="247500"/>
    <n v="4702500"/>
    <n v="3190000"/>
    <n v="1512500"/>
  </r>
  <r>
    <s v="SLS-05"/>
    <s v="TRX-2025-0062"/>
    <d v="2025-12-04T00:00:00"/>
    <x v="3"/>
    <x v="2"/>
    <s v="Semarang"/>
    <s v="Wireless Mouse Ergonomic"/>
    <s v="Elektronik"/>
    <n v="250000"/>
    <n v="160000"/>
    <n v="9"/>
    <n v="2250000"/>
    <n v="0.2"/>
    <n v="450000"/>
    <n v="1800000"/>
    <n v="1440000"/>
    <n v="360000"/>
  </r>
  <r>
    <s v="SLS-04"/>
    <s v="TRX-2025-0063"/>
    <d v="2025-12-11T00:00:00"/>
    <x v="4"/>
    <x v="0"/>
    <s v="Medan"/>
    <s v="Kemeja Batik Katun Premium"/>
    <s v="Fashion"/>
    <n v="320000"/>
    <n v="190000"/>
    <n v="4"/>
    <n v="1280000"/>
    <n v="0.05"/>
    <n v="64000"/>
    <n v="1216000"/>
    <n v="760000"/>
    <n v="456000"/>
  </r>
  <r>
    <s v="SLS-02"/>
    <s v="TRX-2025-0064"/>
    <d v="2025-09-01T00:00:00"/>
    <x v="1"/>
    <x v="1"/>
    <s v="Surabaya"/>
    <s v="Minyak Goreng Sawit 2L"/>
    <s v="F&amp;B"/>
    <n v="36000"/>
    <n v="31000"/>
    <n v="16"/>
    <n v="576000"/>
    <n v="0.2"/>
    <n v="115200"/>
    <n v="460800"/>
    <n v="496000"/>
    <n v="-35200"/>
  </r>
  <r>
    <s v="SLS-04"/>
    <s v="TRX-2025-0065"/>
    <d v="2025-09-11T00:00:00"/>
    <x v="4"/>
    <x v="0"/>
    <s v="Medan"/>
    <s v="Jaket Hoodie Casual"/>
    <s v="Fashion"/>
    <n v="350000"/>
    <n v="220000"/>
    <n v="3"/>
    <n v="1050000"/>
    <n v="0"/>
    <n v="0"/>
    <n v="1050000"/>
    <n v="660000"/>
    <n v="390000"/>
  </r>
  <r>
    <s v="SLS-08"/>
    <s v="TRX-2025-0066"/>
    <d v="2025-04-01T00:00:00"/>
    <x v="6"/>
    <x v="2"/>
    <s v="Yogyakarta"/>
    <s v="Wajan Anti Lengket 28cm"/>
    <s v="Peralatan Rumah"/>
    <n v="210000"/>
    <n v="140000"/>
    <n v="1"/>
    <n v="210000"/>
    <n v="0.2"/>
    <n v="42000"/>
    <n v="168000"/>
    <n v="140000"/>
    <n v="28000"/>
  </r>
  <r>
    <s v="SLS-08"/>
    <s v="TRX-2025-0067"/>
    <d v="2025-03-10T00:00:00"/>
    <x v="6"/>
    <x v="2"/>
    <s v="Yogyakarta"/>
    <s v="Wajan Anti Lengket 28cm"/>
    <s v="Peralatan Rumah"/>
    <n v="210000"/>
    <n v="140000"/>
    <n v="11"/>
    <n v="2310000"/>
    <n v="0.2"/>
    <n v="462000"/>
    <n v="1848000"/>
    <n v="1540000"/>
    <n v="308000"/>
  </r>
  <r>
    <s v="SLS-03"/>
    <s v="TRX-2025-0068"/>
    <d v="2025-10-08T00:00:00"/>
    <x v="5"/>
    <x v="0"/>
    <s v="Bandung"/>
    <s v="Sepatu Sneakers Pria/Wanita"/>
    <s v="Fashion"/>
    <n v="450000"/>
    <n v="290000"/>
    <n v="12"/>
    <n v="5400000"/>
    <n v="0.15"/>
    <n v="810000"/>
    <n v="4590000"/>
    <n v="3480000"/>
    <n v="1110000"/>
  </r>
  <r>
    <s v="SLS-08"/>
    <s v="TRX-2025-0069"/>
    <d v="2025-11-23T00:00:00"/>
    <x v="6"/>
    <x v="2"/>
    <s v="Yogyakarta"/>
    <s v="Kemeja Batik Katun Premium"/>
    <s v="Fashion"/>
    <n v="320000"/>
    <n v="190000"/>
    <n v="11"/>
    <n v="3520000"/>
    <n v="0.05"/>
    <n v="176000"/>
    <n v="3344000"/>
    <n v="2090000"/>
    <n v="1254000"/>
  </r>
  <r>
    <s v="SLS-05"/>
    <s v="TRX-2025-0070"/>
    <d v="2025-05-27T00:00:00"/>
    <x v="3"/>
    <x v="2"/>
    <s v="Semarang"/>
    <s v="Monitor 24&quot; FHD 144Hz"/>
    <s v="Elektronik"/>
    <n v="1950000"/>
    <n v="1500000"/>
    <n v="6"/>
    <n v="11700000"/>
    <n v="0.1"/>
    <n v="1170000"/>
    <n v="10530000"/>
    <n v="9000000"/>
    <n v="1530000"/>
  </r>
  <r>
    <s v="SLS-03"/>
    <s v="TRX-2025-0071"/>
    <d v="2025-04-29T00:00:00"/>
    <x v="5"/>
    <x v="0"/>
    <s v="Bandung"/>
    <s v="Jaket Hoodie Casual"/>
    <s v="Fashion"/>
    <n v="350000"/>
    <n v="220000"/>
    <n v="12"/>
    <n v="4200000"/>
    <n v="0.05"/>
    <n v="210000"/>
    <n v="3990000"/>
    <n v="2640000"/>
    <n v="1350000"/>
  </r>
  <r>
    <s v="SLS-08"/>
    <s v="TRX-2025-0072"/>
    <d v="2025-06-19T00:00:00"/>
    <x v="6"/>
    <x v="2"/>
    <s v="Yogyakarta"/>
    <s v="Kopi Arabika Gayo 250g"/>
    <s v="F&amp;B"/>
    <n v="85000"/>
    <n v="55000"/>
    <n v="4"/>
    <n v="340000"/>
    <n v="0.05"/>
    <n v="17000"/>
    <n v="323000"/>
    <n v="220000"/>
    <n v="103000"/>
  </r>
  <r>
    <s v="SLS-08"/>
    <s v="TRX-2025-0073"/>
    <d v="2025-10-22T00:00:00"/>
    <x v="6"/>
    <x v="2"/>
    <s v="Yogyakarta"/>
    <s v="Jaket Hoodie Casual"/>
    <s v="Fashion"/>
    <n v="350000"/>
    <n v="220000"/>
    <n v="1"/>
    <n v="350000"/>
    <n v="0.1"/>
    <n v="35000"/>
    <n v="315000"/>
    <n v="220000"/>
    <n v="95000"/>
  </r>
  <r>
    <s v="SLS-04"/>
    <s v="TRX-2025-0074"/>
    <d v="2025-10-03T00:00:00"/>
    <x v="4"/>
    <x v="0"/>
    <s v="Medan"/>
    <s v="Susu UHT Full Cream 1L"/>
    <s v="F&amp;B"/>
    <n v="22000"/>
    <n v="18000"/>
    <n v="10"/>
    <n v="220000"/>
    <n v="0.1"/>
    <n v="22000"/>
    <n v="198000"/>
    <n v="180000"/>
    <n v="18000"/>
  </r>
  <r>
    <s v="SLS-07"/>
    <s v="TRX-2025-0075"/>
    <d v="2025-07-19T00:00:00"/>
    <x v="7"/>
    <x v="2"/>
    <s v="Denpasar"/>
    <s v="Celana Chino Slim Fit"/>
    <s v="Fashion"/>
    <n v="280000"/>
    <n v="175000"/>
    <n v="12"/>
    <n v="3360000"/>
    <n v="0.05"/>
    <n v="168000"/>
    <n v="3192000"/>
    <n v="2100000"/>
    <n v="1092000"/>
  </r>
  <r>
    <s v="SLS-01"/>
    <s v="TRX-2025-0076"/>
    <d v="2025-07-21T00:00:00"/>
    <x v="0"/>
    <x v="0"/>
    <s v="Jakarta"/>
    <s v="Minyak Goreng Sawit 2L"/>
    <s v="F&amp;B"/>
    <n v="36000"/>
    <n v="31000"/>
    <n v="23"/>
    <n v="828000"/>
    <n v="0.15"/>
    <n v="124200"/>
    <n v="703800"/>
    <n v="713000"/>
    <n v="-9200"/>
  </r>
  <r>
    <s v="SLS-07"/>
    <s v="TRX-2025-0077"/>
    <d v="2025-01-26T00:00:00"/>
    <x v="7"/>
    <x v="2"/>
    <s v="Denpasar"/>
    <s v="Kemeja Batik Katun Premium"/>
    <s v="Fashion"/>
    <n v="320000"/>
    <n v="190000"/>
    <n v="6"/>
    <n v="1920000"/>
    <n v="0.05"/>
    <n v="96000"/>
    <n v="1824000"/>
    <n v="1140000"/>
    <n v="684000"/>
  </r>
  <r>
    <s v="SLS-07"/>
    <s v="TRX-2025-0078"/>
    <d v="2025-07-14T00:00:00"/>
    <x v="7"/>
    <x v="2"/>
    <s v="Denpasar"/>
    <s v="Kemeja Batik Katun Premium"/>
    <s v="Fashion"/>
    <n v="320000"/>
    <n v="190000"/>
    <n v="5"/>
    <n v="1600000"/>
    <n v="0"/>
    <n v="0"/>
    <n v="1600000"/>
    <n v="950000"/>
    <n v="650000"/>
  </r>
  <r>
    <s v="SLS-02"/>
    <s v="TRX-2025-0079"/>
    <d v="2025-06-29T00:00:00"/>
    <x v="1"/>
    <x v="1"/>
    <s v="Surabaya"/>
    <s v="Monitor 24&quot; FHD 144Hz"/>
    <s v="Elektronik"/>
    <n v="1950000"/>
    <n v="1500000"/>
    <n v="11"/>
    <n v="21450000"/>
    <n v="0"/>
    <n v="0"/>
    <n v="21450000"/>
    <n v="16500000"/>
    <n v="4950000"/>
  </r>
  <r>
    <s v="SLS-03"/>
    <s v="TRX-2025-0080"/>
    <d v="2025-01-11T00:00:00"/>
    <x v="5"/>
    <x v="0"/>
    <s v="Bandung"/>
    <s v="Minyak Goreng Sawit 2L"/>
    <s v="F&amp;B"/>
    <n v="36000"/>
    <n v="31000"/>
    <n v="7"/>
    <n v="252000"/>
    <n v="0.15"/>
    <n v="37800"/>
    <n v="214200"/>
    <n v="217000"/>
    <n v="-2800"/>
  </r>
  <r>
    <s v="SLS-05"/>
    <s v="TRX-2025-0081"/>
    <d v="2025-08-27T00:00:00"/>
    <x v="3"/>
    <x v="2"/>
    <s v="Semarang"/>
    <s v="Susu UHT Full Cream 1L"/>
    <s v="F&amp;B"/>
    <n v="22000"/>
    <n v="18000"/>
    <n v="8"/>
    <n v="176000"/>
    <n v="0.2"/>
    <n v="35200"/>
    <n v="140800"/>
    <n v="144000"/>
    <n v="-3200"/>
  </r>
  <r>
    <s v="SLS-01"/>
    <s v="TRX-2025-0082"/>
    <d v="2025-02-25T00:00:00"/>
    <x v="0"/>
    <x v="0"/>
    <s v="Jakarta"/>
    <s v="Minyak Goreng Sawit 2L"/>
    <s v="F&amp;B"/>
    <n v="36000"/>
    <n v="31000"/>
    <n v="21"/>
    <n v="756000"/>
    <n v="0.15"/>
    <n v="113400"/>
    <n v="642600"/>
    <n v="651000"/>
    <n v="-8400"/>
  </r>
  <r>
    <s v="SLS-04"/>
    <s v="TRX-2025-0083"/>
    <d v="2025-02-08T00:00:00"/>
    <x v="4"/>
    <x v="0"/>
    <s v="Medan"/>
    <s v="Minyak Goreng Sawit 2L"/>
    <s v="F&amp;B"/>
    <n v="36000"/>
    <n v="31000"/>
    <n v="25"/>
    <n v="900000"/>
    <n v="0.1"/>
    <n v="90000"/>
    <n v="810000"/>
    <n v="775000"/>
    <n v="35000"/>
  </r>
  <r>
    <s v="SLS-07"/>
    <s v="TRX-2025-0084"/>
    <d v="2025-06-27T00:00:00"/>
    <x v="7"/>
    <x v="2"/>
    <s v="Denpasar"/>
    <s v="Kopi Arabika Gayo 250g"/>
    <s v="F&amp;B"/>
    <n v="85000"/>
    <n v="55000"/>
    <n v="14"/>
    <n v="1190000"/>
    <n v="0"/>
    <n v="0"/>
    <n v="1190000"/>
    <n v="770000"/>
    <n v="420000"/>
  </r>
  <r>
    <s v="SLS-07"/>
    <s v="TRX-2025-0085"/>
    <d v="2025-09-08T00:00:00"/>
    <x v="7"/>
    <x v="2"/>
    <s v="Denpasar"/>
    <s v="Wireless Mouse Ergonomic"/>
    <s v="Elektronik"/>
    <n v="250000"/>
    <n v="160000"/>
    <n v="6"/>
    <n v="1500000"/>
    <n v="0.15"/>
    <n v="225000"/>
    <n v="1275000"/>
    <n v="960000"/>
    <n v="315000"/>
  </r>
  <r>
    <s v="SLS-05"/>
    <s v="TRX-2025-0086"/>
    <d v="2025-09-25T00:00:00"/>
    <x v="3"/>
    <x v="2"/>
    <s v="Semarang"/>
    <s v="Beras Premium 5kg"/>
    <s v="F&amp;B"/>
    <n v="74000"/>
    <n v="65000"/>
    <n v="28"/>
    <n v="2072000"/>
    <n v="0.2"/>
    <n v="414400"/>
    <n v="1657600"/>
    <n v="1820000"/>
    <n v="-162400"/>
  </r>
  <r>
    <s v="SLS-06"/>
    <s v="TRX-2025-0087"/>
    <d v="2025-10-31T00:00:00"/>
    <x v="2"/>
    <x v="1"/>
    <s v="Makassar"/>
    <s v="Kemeja Batik Katun Premium"/>
    <s v="Fashion"/>
    <n v="320000"/>
    <n v="190000"/>
    <n v="4"/>
    <n v="1280000"/>
    <n v="0"/>
    <n v="0"/>
    <n v="1280000"/>
    <n v="760000"/>
    <n v="520000"/>
  </r>
  <r>
    <s v="SLS-07"/>
    <s v="TRX-2025-0088"/>
    <d v="2025-08-26T00:00:00"/>
    <x v="7"/>
    <x v="2"/>
    <s v="Denpasar"/>
    <s v="Minyak Goreng Sawit 2L"/>
    <s v="F&amp;B"/>
    <n v="36000"/>
    <n v="31000"/>
    <n v="3"/>
    <n v="108000"/>
    <n v="0.15"/>
    <n v="16200"/>
    <n v="91800"/>
    <n v="93000"/>
    <n v="-1200"/>
  </r>
  <r>
    <s v="SLS-05"/>
    <s v="TRX-2025-0089"/>
    <d v="2025-04-19T00:00:00"/>
    <x v="3"/>
    <x v="2"/>
    <s v="Semarang"/>
    <s v="Celana Chino Slim Fit"/>
    <s v="Fashion"/>
    <n v="280000"/>
    <n v="175000"/>
    <n v="6"/>
    <n v="1680000"/>
    <n v="0.1"/>
    <n v="168000"/>
    <n v="1512000"/>
    <n v="1050000"/>
    <n v="462000"/>
  </r>
  <r>
    <s v="SLS-02"/>
    <s v="TRX-2025-0090"/>
    <d v="2025-09-22T00:00:00"/>
    <x v="1"/>
    <x v="1"/>
    <s v="Surabaya"/>
    <s v="Monitor 24&quot; FHD 144Hz"/>
    <s v="Elektronik"/>
    <n v="1950000"/>
    <n v="1500000"/>
    <n v="4"/>
    <n v="7800000"/>
    <n v="0.15"/>
    <n v="1170000"/>
    <n v="6630000"/>
    <n v="6000000"/>
    <n v="630000"/>
  </r>
  <r>
    <s v="SLS-08"/>
    <s v="TRX-2025-0091"/>
    <d v="2025-12-20T00:00:00"/>
    <x v="6"/>
    <x v="2"/>
    <s v="Yogyakarta"/>
    <s v="Sepatu Sneakers Pria/Wanita"/>
    <s v="Fashion"/>
    <n v="450000"/>
    <n v="290000"/>
    <n v="8"/>
    <n v="3600000"/>
    <n v="0"/>
    <n v="0"/>
    <n v="3600000"/>
    <n v="2320000"/>
    <n v="1280000"/>
  </r>
  <r>
    <s v="SLS-04"/>
    <s v="TRX-2025-0092"/>
    <d v="2025-07-27T00:00:00"/>
    <x v="4"/>
    <x v="0"/>
    <s v="Medan"/>
    <s v="Susu UHT Full Cream 1L"/>
    <s v="F&amp;B"/>
    <n v="22000"/>
    <n v="18000"/>
    <n v="24"/>
    <n v="528000"/>
    <n v="0.2"/>
    <n v="105600"/>
    <n v="422400"/>
    <n v="432000"/>
    <n v="-9600"/>
  </r>
  <r>
    <s v="SLS-06"/>
    <s v="TRX-2025-0093"/>
    <d v="2025-08-06T00:00:00"/>
    <x v="2"/>
    <x v="1"/>
    <s v="Makassar"/>
    <s v="Susu UHT Full Cream 1L"/>
    <s v="F&amp;B"/>
    <n v="22000"/>
    <n v="18000"/>
    <n v="25"/>
    <n v="550000"/>
    <n v="0.15"/>
    <n v="82500"/>
    <n v="467500"/>
    <n v="450000"/>
    <n v="17500"/>
  </r>
  <r>
    <s v="SLS-04"/>
    <s v="TRX-2025-0094"/>
    <d v="2025-04-29T00:00:00"/>
    <x v="4"/>
    <x v="0"/>
    <s v="Medan"/>
    <s v="Wireless Mouse Ergonomic"/>
    <s v="Elektronik"/>
    <n v="250000"/>
    <n v="160000"/>
    <n v="6"/>
    <n v="1500000"/>
    <n v="0"/>
    <n v="0"/>
    <n v="1500000"/>
    <n v="960000"/>
    <n v="540000"/>
  </r>
  <r>
    <s v="SLS-05"/>
    <s v="TRX-2025-0095"/>
    <d v="2025-09-05T00:00:00"/>
    <x v="3"/>
    <x v="2"/>
    <s v="Semarang"/>
    <s v="Kemeja Batik Katun Premium"/>
    <s v="Fashion"/>
    <n v="320000"/>
    <n v="190000"/>
    <n v="2"/>
    <n v="640000"/>
    <n v="0.05"/>
    <n v="32000"/>
    <n v="608000"/>
    <n v="380000"/>
    <n v="228000"/>
  </r>
  <r>
    <s v="SLS-01"/>
    <s v="TRX-2025-0096"/>
    <d v="2025-04-02T00:00:00"/>
    <x v="0"/>
    <x v="0"/>
    <s v="Jakarta"/>
    <s v="Kemeja Batik Katun Premium"/>
    <s v="Fashion"/>
    <n v="320000"/>
    <n v="190000"/>
    <n v="12"/>
    <n v="3840000"/>
    <n v="0.2"/>
    <n v="768000"/>
    <n v="3072000"/>
    <n v="2280000"/>
    <n v="792000"/>
  </r>
  <r>
    <s v="SLS-05"/>
    <s v="TRX-2025-0097"/>
    <d v="2025-01-28T00:00:00"/>
    <x v="3"/>
    <x v="2"/>
    <s v="Semarang"/>
    <s v="Kopi Arabika Gayo 250g"/>
    <s v="F&amp;B"/>
    <n v="85000"/>
    <n v="55000"/>
    <n v="7"/>
    <n v="595000"/>
    <n v="0.15"/>
    <n v="89250"/>
    <n v="505750"/>
    <n v="385000"/>
    <n v="120750"/>
  </r>
  <r>
    <s v="SLS-08"/>
    <s v="TRX-2025-0098"/>
    <d v="2025-08-29T00:00:00"/>
    <x v="6"/>
    <x v="2"/>
    <s v="Yogyakarta"/>
    <s v="Sepatu Sneakers Pria/Wanita"/>
    <s v="Fashion"/>
    <n v="450000"/>
    <n v="290000"/>
    <n v="6"/>
    <n v="2700000"/>
    <n v="0.05"/>
    <n v="135000"/>
    <n v="2565000"/>
    <n v="1740000"/>
    <n v="825000"/>
  </r>
  <r>
    <s v="SLS-02"/>
    <s v="TRX-2025-0099"/>
    <d v="2025-02-28T00:00:00"/>
    <x v="1"/>
    <x v="1"/>
    <s v="Surabaya"/>
    <s v="Blender Multifungsi 2-in-1"/>
    <s v="Peralatan Rumah"/>
    <n v="340000"/>
    <n v="240000"/>
    <n v="7"/>
    <n v="2380000"/>
    <n v="0.15"/>
    <n v="357000"/>
    <n v="2023000"/>
    <n v="1680000"/>
    <n v="343000"/>
  </r>
  <r>
    <s v="SLS-05"/>
    <s v="TRX-2025-0100"/>
    <d v="2025-03-19T00:00:00"/>
    <x v="3"/>
    <x v="2"/>
    <s v="Semarang"/>
    <s v="Mechanical Keyboard RGB"/>
    <s v="Elektronik"/>
    <n v="750000"/>
    <n v="520000"/>
    <n v="2"/>
    <n v="1500000"/>
    <n v="0.05"/>
    <n v="75000"/>
    <n v="1425000"/>
    <n v="1040000"/>
    <n v="385000"/>
  </r>
  <r>
    <s v="SLS-04"/>
    <s v="TRX-2025-0101"/>
    <d v="2025-11-07T00:00:00"/>
    <x v="4"/>
    <x v="0"/>
    <s v="Medan"/>
    <s v="Minyak Goreng Sawit 2L"/>
    <s v="F&amp;B"/>
    <n v="36000"/>
    <n v="31000"/>
    <n v="15"/>
    <n v="540000"/>
    <n v="0.15"/>
    <n v="81000"/>
    <n v="459000"/>
    <n v="465000"/>
    <n v="-6000"/>
  </r>
  <r>
    <s v="SLS-01"/>
    <s v="TRX-2025-0102"/>
    <d v="2025-06-06T00:00:00"/>
    <x v="0"/>
    <x v="0"/>
    <s v="Jakarta"/>
    <s v="Minyak Goreng Sawit 2L"/>
    <s v="F&amp;B"/>
    <n v="36000"/>
    <n v="31000"/>
    <n v="26"/>
    <n v="936000"/>
    <n v="0"/>
    <n v="0"/>
    <n v="936000"/>
    <n v="806000"/>
    <n v="130000"/>
  </r>
  <r>
    <s v="SLS-02"/>
    <s v="TRX-2025-0103"/>
    <d v="2025-05-16T00:00:00"/>
    <x v="1"/>
    <x v="1"/>
    <s v="Surabaya"/>
    <s v="Beras Premium 5kg"/>
    <s v="F&amp;B"/>
    <n v="74000"/>
    <n v="65000"/>
    <n v="10"/>
    <n v="740000"/>
    <n v="0.05"/>
    <n v="37000"/>
    <n v="703000"/>
    <n v="650000"/>
    <n v="53000"/>
  </r>
  <r>
    <s v="SLS-08"/>
    <s v="TRX-2025-0104"/>
    <d v="2025-07-29T00:00:00"/>
    <x v="6"/>
    <x v="2"/>
    <s v="Yogyakarta"/>
    <s v="Sepatu Sneakers Pria/Wanita"/>
    <s v="Fashion"/>
    <n v="450000"/>
    <n v="290000"/>
    <n v="5"/>
    <n v="2250000"/>
    <n v="0"/>
    <n v="0"/>
    <n v="2250000"/>
    <n v="1450000"/>
    <n v="800000"/>
  </r>
  <r>
    <s v="SLS-08"/>
    <s v="TRX-2025-0105"/>
    <d v="2025-12-26T00:00:00"/>
    <x v="6"/>
    <x v="2"/>
    <s v="Yogyakarta"/>
    <s v="Blender Multifungsi 2-in-1"/>
    <s v="Peralatan Rumah"/>
    <n v="340000"/>
    <n v="240000"/>
    <n v="2"/>
    <n v="680000"/>
    <n v="0.05"/>
    <n v="34000"/>
    <n v="646000"/>
    <n v="480000"/>
    <n v="166000"/>
  </r>
  <r>
    <s v="SLS-04"/>
    <s v="TRX-2025-0106"/>
    <d v="2025-08-06T00:00:00"/>
    <x v="4"/>
    <x v="0"/>
    <s v="Medan"/>
    <s v="Wireless Mouse Ergonomic"/>
    <s v="Elektronik"/>
    <n v="250000"/>
    <n v="160000"/>
    <n v="11"/>
    <n v="2750000"/>
    <n v="0.05"/>
    <n v="137500"/>
    <n v="2612500"/>
    <n v="1760000"/>
    <n v="852500"/>
  </r>
  <r>
    <s v="SLS-05"/>
    <s v="TRX-2025-0107"/>
    <d v="2025-01-31T00:00:00"/>
    <x v="3"/>
    <x v="2"/>
    <s v="Semarang"/>
    <s v="Mechanical Keyboard RGB"/>
    <s v="Elektronik"/>
    <n v="750000"/>
    <n v="520000"/>
    <n v="10"/>
    <n v="7500000"/>
    <n v="0.2"/>
    <n v="1500000"/>
    <n v="6000000"/>
    <n v="5200000"/>
    <n v="800000"/>
  </r>
  <r>
    <s v="SLS-05"/>
    <s v="TRX-2025-0108"/>
    <d v="2025-08-28T00:00:00"/>
    <x v="3"/>
    <x v="2"/>
    <s v="Semarang"/>
    <s v="Susu UHT Full Cream 1L"/>
    <s v="F&amp;B"/>
    <n v="22000"/>
    <n v="18000"/>
    <n v="15"/>
    <n v="330000"/>
    <n v="0.1"/>
    <n v="33000"/>
    <n v="297000"/>
    <n v="270000"/>
    <n v="27000"/>
  </r>
  <r>
    <s v="SLS-07"/>
    <s v="TRX-2025-0109"/>
    <d v="2025-11-03T00:00:00"/>
    <x v="7"/>
    <x v="2"/>
    <s v="Denpasar"/>
    <s v="Laptop Ultrabook 14&quot;"/>
    <s v="Elektronik"/>
    <n v="8500000"/>
    <n v="7200000"/>
    <n v="12"/>
    <n v="102000000"/>
    <n v="0.1"/>
    <n v="10200000"/>
    <n v="91800000"/>
    <n v="86400000"/>
    <n v="5400000"/>
  </r>
  <r>
    <s v="SLS-01"/>
    <s v="TRX-2025-0110"/>
    <d v="2025-04-28T00:00:00"/>
    <x v="0"/>
    <x v="0"/>
    <s v="Jakarta"/>
    <s v="Beras Premium 5kg"/>
    <s v="F&amp;B"/>
    <n v="74000"/>
    <n v="65000"/>
    <n v="29"/>
    <n v="2146000"/>
    <n v="0.1"/>
    <n v="214600"/>
    <n v="1931400"/>
    <n v="1885000"/>
    <n v="46400"/>
  </r>
  <r>
    <s v="SLS-08"/>
    <s v="TRX-2025-0111"/>
    <d v="2025-09-23T00:00:00"/>
    <x v="6"/>
    <x v="2"/>
    <s v="Yogyakarta"/>
    <s v="Beras Premium 5kg"/>
    <s v="F&amp;B"/>
    <n v="74000"/>
    <n v="65000"/>
    <n v="8"/>
    <n v="592000"/>
    <n v="0.2"/>
    <n v="118400"/>
    <n v="473600"/>
    <n v="520000"/>
    <n v="-46400"/>
  </r>
  <r>
    <s v="SLS-06"/>
    <s v="TRX-2025-0112"/>
    <d v="2025-02-16T00:00:00"/>
    <x v="2"/>
    <x v="1"/>
    <s v="Makassar"/>
    <s v="Sepatu Sneakers Pria/Wanita"/>
    <s v="Fashion"/>
    <n v="450000"/>
    <n v="290000"/>
    <n v="7"/>
    <n v="3150000"/>
    <n v="0.1"/>
    <n v="315000"/>
    <n v="2835000"/>
    <n v="2030000"/>
    <n v="805000"/>
  </r>
  <r>
    <s v="SLS-07"/>
    <s v="TRX-2025-0113"/>
    <d v="2025-03-24T00:00:00"/>
    <x v="7"/>
    <x v="2"/>
    <s v="Denpasar"/>
    <s v="Celana Chino Slim Fit"/>
    <s v="Fashion"/>
    <n v="280000"/>
    <n v="175000"/>
    <n v="12"/>
    <n v="3360000"/>
    <n v="0.15"/>
    <n v="504000"/>
    <n v="2856000"/>
    <n v="2100000"/>
    <n v="756000"/>
  </r>
  <r>
    <s v="SLS-08"/>
    <s v="TRX-2025-0114"/>
    <d v="2025-10-09T00:00:00"/>
    <x v="6"/>
    <x v="2"/>
    <s v="Yogyakarta"/>
    <s v="Laptop Ultrabook 14&quot;"/>
    <s v="Elektronik"/>
    <n v="8500000"/>
    <n v="7200000"/>
    <n v="2"/>
    <n v="17000000"/>
    <n v="0.1"/>
    <n v="1700000"/>
    <n v="15300000"/>
    <n v="14400000"/>
    <n v="900000"/>
  </r>
  <r>
    <s v="SLS-01"/>
    <s v="TRX-2025-0115"/>
    <d v="2025-07-26T00:00:00"/>
    <x v="0"/>
    <x v="0"/>
    <s v="Jakarta"/>
    <s v="Blender Multifungsi 2-in-1"/>
    <s v="Peralatan Rumah"/>
    <n v="340000"/>
    <n v="240000"/>
    <n v="11"/>
    <n v="3740000"/>
    <n v="0.2"/>
    <n v="748000"/>
    <n v="2992000"/>
    <n v="2640000"/>
    <n v="352000"/>
  </r>
  <r>
    <s v="SLS-06"/>
    <s v="TRX-2025-0116"/>
    <d v="2025-04-07T00:00:00"/>
    <x v="2"/>
    <x v="1"/>
    <s v="Makassar"/>
    <s v="Kopi Arabika Gayo 250g"/>
    <s v="F&amp;B"/>
    <n v="85000"/>
    <n v="55000"/>
    <n v="27"/>
    <n v="2295000"/>
    <n v="0.15"/>
    <n v="344250"/>
    <n v="1950750"/>
    <n v="1485000"/>
    <n v="465750"/>
  </r>
  <r>
    <s v="SLS-03"/>
    <s v="TRX-2025-0117"/>
    <d v="2025-05-17T00:00:00"/>
    <x v="5"/>
    <x v="0"/>
    <s v="Bandung"/>
    <s v="Kopi Arabika Gayo 250g"/>
    <s v="F&amp;B"/>
    <n v="85000"/>
    <n v="55000"/>
    <n v="17"/>
    <n v="1445000"/>
    <n v="0.15"/>
    <n v="216750"/>
    <n v="1228250"/>
    <n v="935000"/>
    <n v="293250"/>
  </r>
  <r>
    <s v="SLS-05"/>
    <s v="TRX-2025-0118"/>
    <d v="2025-12-30T00:00:00"/>
    <x v="3"/>
    <x v="2"/>
    <s v="Semarang"/>
    <s v="Mechanical Keyboard RGB"/>
    <s v="Elektronik"/>
    <n v="750000"/>
    <n v="520000"/>
    <n v="9"/>
    <n v="6750000"/>
    <n v="0"/>
    <n v="0"/>
    <n v="6750000"/>
    <n v="4680000"/>
    <n v="2070000"/>
  </r>
  <r>
    <s v="SLS-02"/>
    <s v="TRX-2025-0119"/>
    <d v="2025-02-28T00:00:00"/>
    <x v="1"/>
    <x v="1"/>
    <s v="Surabaya"/>
    <s v="Sepatu Sneakers Pria/Wanita"/>
    <s v="Fashion"/>
    <n v="450000"/>
    <n v="290000"/>
    <n v="11"/>
    <n v="4950000"/>
    <n v="0.05"/>
    <n v="247500"/>
    <n v="4702500"/>
    <n v="3190000"/>
    <n v="1512500"/>
  </r>
  <r>
    <s v="SLS-05"/>
    <s v="TRX-2025-0120"/>
    <d v="2025-09-18T00:00:00"/>
    <x v="3"/>
    <x v="2"/>
    <s v="Semarang"/>
    <s v="Susu UHT Full Cream 1L"/>
    <s v="F&amp;B"/>
    <n v="22000"/>
    <n v="18000"/>
    <n v="29"/>
    <n v="638000"/>
    <n v="0.15"/>
    <n v="95700"/>
    <n v="542300"/>
    <n v="522000"/>
    <n v="20300"/>
  </r>
  <r>
    <s v="SLS-07"/>
    <s v="TRX-2025-0121"/>
    <d v="2025-10-10T00:00:00"/>
    <x v="7"/>
    <x v="2"/>
    <s v="Denpasar"/>
    <s v="Mechanical Keyboard RGB"/>
    <s v="Elektronik"/>
    <n v="750000"/>
    <n v="520000"/>
    <n v="4"/>
    <n v="3000000"/>
    <n v="0.2"/>
    <n v="600000"/>
    <n v="2400000"/>
    <n v="2080000"/>
    <n v="320000"/>
  </r>
  <r>
    <s v="SLS-05"/>
    <s v="TRX-2025-0122"/>
    <d v="2025-08-01T00:00:00"/>
    <x v="3"/>
    <x v="2"/>
    <s v="Semarang"/>
    <s v="Celana Chino Slim Fit"/>
    <s v="Fashion"/>
    <n v="280000"/>
    <n v="175000"/>
    <n v="1"/>
    <n v="280000"/>
    <n v="0.1"/>
    <n v="28000"/>
    <n v="252000"/>
    <n v="175000"/>
    <n v="77000"/>
  </r>
  <r>
    <s v="SLS-08"/>
    <s v="TRX-2025-0123"/>
    <d v="2025-03-18T00:00:00"/>
    <x v="6"/>
    <x v="2"/>
    <s v="Yogyakarta"/>
    <s v="Sepatu Sneakers Pria/Wanita"/>
    <s v="Fashion"/>
    <n v="450000"/>
    <n v="290000"/>
    <n v="6"/>
    <n v="2700000"/>
    <n v="0.1"/>
    <n v="270000"/>
    <n v="2430000"/>
    <n v="1740000"/>
    <n v="690000"/>
  </r>
  <r>
    <s v="SLS-04"/>
    <s v="TRX-2025-0124"/>
    <d v="2025-04-07T00:00:00"/>
    <x v="4"/>
    <x v="0"/>
    <s v="Medan"/>
    <s v="Susu UHT Full Cream 1L"/>
    <s v="F&amp;B"/>
    <n v="22000"/>
    <n v="18000"/>
    <n v="15"/>
    <n v="330000"/>
    <n v="0.05"/>
    <n v="16500"/>
    <n v="313500"/>
    <n v="270000"/>
    <n v="43500"/>
  </r>
  <r>
    <s v="SLS-07"/>
    <s v="TRX-2025-0125"/>
    <d v="2025-08-31T00:00:00"/>
    <x v="7"/>
    <x v="2"/>
    <s v="Denpasar"/>
    <s v="Susu UHT Full Cream 1L"/>
    <s v="F&amp;B"/>
    <n v="22000"/>
    <n v="18000"/>
    <n v="24"/>
    <n v="528000"/>
    <n v="0.05"/>
    <n v="26400"/>
    <n v="501600"/>
    <n v="432000"/>
    <n v="69600"/>
  </r>
  <r>
    <s v="SLS-06"/>
    <s v="TRX-2025-0126"/>
    <d v="2025-09-15T00:00:00"/>
    <x v="2"/>
    <x v="1"/>
    <s v="Makassar"/>
    <s v="Minyak Goreng Sawit 2L"/>
    <s v="F&amp;B"/>
    <n v="36000"/>
    <n v="31000"/>
    <n v="30"/>
    <n v="1080000"/>
    <n v="0.15"/>
    <n v="162000"/>
    <n v="918000"/>
    <n v="930000"/>
    <n v="-12000"/>
  </r>
  <r>
    <s v="SLS-03"/>
    <s v="TRX-2025-0127"/>
    <d v="2025-01-08T00:00:00"/>
    <x v="5"/>
    <x v="0"/>
    <s v="Bandung"/>
    <s v="Susu UHT Full Cream 1L"/>
    <s v="F&amp;B"/>
    <n v="22000"/>
    <n v="18000"/>
    <n v="30"/>
    <n v="660000"/>
    <n v="0.05"/>
    <n v="33000"/>
    <n v="627000"/>
    <n v="540000"/>
    <n v="87000"/>
  </r>
  <r>
    <s v="SLS-07"/>
    <s v="TRX-2025-0128"/>
    <d v="2025-06-23T00:00:00"/>
    <x v="7"/>
    <x v="2"/>
    <s v="Denpasar"/>
    <s v="Minyak Goreng Sawit 2L"/>
    <s v="F&amp;B"/>
    <n v="36000"/>
    <n v="31000"/>
    <n v="5"/>
    <n v="180000"/>
    <n v="0.1"/>
    <n v="18000"/>
    <n v="162000"/>
    <n v="155000"/>
    <n v="7000"/>
  </r>
  <r>
    <s v="SLS-02"/>
    <s v="TRX-2025-0129"/>
    <d v="2025-10-05T00:00:00"/>
    <x v="1"/>
    <x v="1"/>
    <s v="Surabaya"/>
    <s v="Laptop Ultrabook 14&quot;"/>
    <s v="Elektronik"/>
    <n v="8500000"/>
    <n v="7200000"/>
    <n v="4"/>
    <n v="34000000"/>
    <n v="0.1"/>
    <n v="3400000"/>
    <n v="30600000"/>
    <n v="28800000"/>
    <n v="1800000"/>
  </r>
  <r>
    <s v="SLS-02"/>
    <s v="TRX-2025-0130"/>
    <d v="2025-08-11T00:00:00"/>
    <x v="1"/>
    <x v="1"/>
    <s v="Surabaya"/>
    <s v="Wireless Mouse Ergonomic"/>
    <s v="Elektronik"/>
    <n v="250000"/>
    <n v="160000"/>
    <n v="8"/>
    <n v="2000000"/>
    <n v="0.05"/>
    <n v="100000"/>
    <n v="1900000"/>
    <n v="1280000"/>
    <n v="620000"/>
  </r>
  <r>
    <s v="SLS-01"/>
    <s v="TRX-2025-0131"/>
    <d v="2025-06-16T00:00:00"/>
    <x v="0"/>
    <x v="0"/>
    <s v="Jakarta"/>
    <s v="Wajan Anti Lengket 28cm"/>
    <s v="Peralatan Rumah"/>
    <n v="210000"/>
    <n v="140000"/>
    <n v="5"/>
    <n v="1050000"/>
    <n v="0.1"/>
    <n v="105000"/>
    <n v="945000"/>
    <n v="700000"/>
    <n v="245000"/>
  </r>
  <r>
    <s v="SLS-07"/>
    <s v="TRX-2025-0132"/>
    <d v="2025-05-06T00:00:00"/>
    <x v="7"/>
    <x v="2"/>
    <s v="Denpasar"/>
    <s v="Kopi Arabika Gayo 250g"/>
    <s v="F&amp;B"/>
    <n v="85000"/>
    <n v="55000"/>
    <n v="24"/>
    <n v="2040000"/>
    <n v="0.05"/>
    <n v="102000"/>
    <n v="1938000"/>
    <n v="1320000"/>
    <n v="618000"/>
  </r>
  <r>
    <s v="SLS-07"/>
    <s v="TRX-2025-0133"/>
    <d v="2025-11-09T00:00:00"/>
    <x v="7"/>
    <x v="2"/>
    <s v="Denpasar"/>
    <s v="Blender Multifungsi 2-in-1"/>
    <s v="Peralatan Rumah"/>
    <n v="340000"/>
    <n v="240000"/>
    <n v="10"/>
    <n v="3400000"/>
    <n v="0.05"/>
    <n v="170000"/>
    <n v="3230000"/>
    <n v="2400000"/>
    <n v="830000"/>
  </r>
  <r>
    <s v="SLS-05"/>
    <s v="TRX-2025-0134"/>
    <d v="2025-04-29T00:00:00"/>
    <x v="3"/>
    <x v="2"/>
    <s v="Semarang"/>
    <s v="Sepatu Sneakers Pria/Wanita"/>
    <s v="Fashion"/>
    <n v="450000"/>
    <n v="290000"/>
    <n v="8"/>
    <n v="3600000"/>
    <n v="0.1"/>
    <n v="360000"/>
    <n v="3240000"/>
    <n v="2320000"/>
    <n v="920000"/>
  </r>
  <r>
    <s v="SLS-03"/>
    <s v="TRX-2025-0135"/>
    <d v="2025-12-13T00:00:00"/>
    <x v="5"/>
    <x v="0"/>
    <s v="Bandung"/>
    <s v="Kopi Arabika Gayo 250g"/>
    <s v="F&amp;B"/>
    <n v="85000"/>
    <n v="55000"/>
    <n v="17"/>
    <n v="1445000"/>
    <n v="0.1"/>
    <n v="144500"/>
    <n v="1300500"/>
    <n v="935000"/>
    <n v="365500"/>
  </r>
  <r>
    <s v="SLS-08"/>
    <s v="TRX-2025-0136"/>
    <d v="2025-12-20T00:00:00"/>
    <x v="6"/>
    <x v="2"/>
    <s v="Yogyakarta"/>
    <s v="Kemeja Batik Katun Premium"/>
    <s v="Fashion"/>
    <n v="320000"/>
    <n v="190000"/>
    <n v="5"/>
    <n v="1600000"/>
    <n v="0.05"/>
    <n v="80000"/>
    <n v="1520000"/>
    <n v="950000"/>
    <n v="570000"/>
  </r>
  <r>
    <s v="SLS-06"/>
    <s v="TRX-2025-0137"/>
    <d v="2025-05-02T00:00:00"/>
    <x v="2"/>
    <x v="1"/>
    <s v="Makassar"/>
    <s v="Jaket Hoodie Casual"/>
    <s v="Fashion"/>
    <n v="350000"/>
    <n v="220000"/>
    <n v="10"/>
    <n v="3500000"/>
    <n v="0.1"/>
    <n v="350000"/>
    <n v="3150000"/>
    <n v="2200000"/>
    <n v="950000"/>
  </r>
  <r>
    <s v="SLS-01"/>
    <s v="TRX-2025-0138"/>
    <d v="2025-05-21T00:00:00"/>
    <x v="0"/>
    <x v="0"/>
    <s v="Jakarta"/>
    <s v="Laptop Ultrabook 14&quot;"/>
    <s v="Elektronik"/>
    <n v="8500000"/>
    <n v="7200000"/>
    <n v="10"/>
    <n v="85000000"/>
    <n v="0.15"/>
    <n v="12750000"/>
    <n v="72250000"/>
    <n v="72000000"/>
    <n v="250000"/>
  </r>
  <r>
    <s v="SLS-04"/>
    <s v="TRX-2025-0139"/>
    <d v="2025-04-23T00:00:00"/>
    <x v="4"/>
    <x v="0"/>
    <s v="Medan"/>
    <s v="Beras Premium 5kg"/>
    <s v="F&amp;B"/>
    <n v="74000"/>
    <n v="65000"/>
    <n v="11"/>
    <n v="814000"/>
    <n v="0.05"/>
    <n v="40700"/>
    <n v="773300"/>
    <n v="715000"/>
    <n v="58300"/>
  </r>
  <r>
    <s v="SLS-08"/>
    <s v="TRX-2025-0140"/>
    <d v="2025-06-08T00:00:00"/>
    <x v="6"/>
    <x v="2"/>
    <s v="Yogyakarta"/>
    <s v="Wajan Anti Lengket 28cm"/>
    <s v="Peralatan Rumah"/>
    <n v="210000"/>
    <n v="140000"/>
    <n v="1"/>
    <n v="210000"/>
    <n v="0.2"/>
    <n v="42000"/>
    <n v="168000"/>
    <n v="140000"/>
    <n v="28000"/>
  </r>
  <r>
    <s v="SLS-05"/>
    <s v="TRX-2025-0141"/>
    <d v="2025-02-16T00:00:00"/>
    <x v="3"/>
    <x v="2"/>
    <s v="Semarang"/>
    <s v="Set Pisau Dapur Stainless"/>
    <s v="Peralatan Rumah"/>
    <n v="165000"/>
    <n v="105000"/>
    <n v="6"/>
    <n v="990000"/>
    <n v="0.15"/>
    <n v="148500"/>
    <n v="841500"/>
    <n v="630000"/>
    <n v="211500"/>
  </r>
  <r>
    <s v="SLS-06"/>
    <s v="TRX-2025-0142"/>
    <d v="2025-10-04T00:00:00"/>
    <x v="2"/>
    <x v="1"/>
    <s v="Makassar"/>
    <s v="Set Pisau Dapur Stainless"/>
    <s v="Peralatan Rumah"/>
    <n v="165000"/>
    <n v="105000"/>
    <n v="9"/>
    <n v="1485000"/>
    <n v="0.2"/>
    <n v="297000"/>
    <n v="1188000"/>
    <n v="945000"/>
    <n v="243000"/>
  </r>
  <r>
    <s v="SLS-05"/>
    <s v="TRX-2025-0143"/>
    <d v="2025-09-04T00:00:00"/>
    <x v="3"/>
    <x v="2"/>
    <s v="Semarang"/>
    <s v="Wajan Anti Lengket 28cm"/>
    <s v="Peralatan Rumah"/>
    <n v="210000"/>
    <n v="140000"/>
    <n v="12"/>
    <n v="2520000"/>
    <n v="0.1"/>
    <n v="252000"/>
    <n v="2268000"/>
    <n v="1680000"/>
    <n v="588000"/>
  </r>
  <r>
    <s v="SLS-04"/>
    <s v="TRX-2025-0144"/>
    <d v="2025-03-14T00:00:00"/>
    <x v="4"/>
    <x v="0"/>
    <s v="Medan"/>
    <s v="Wajan Anti Lengket 28cm"/>
    <s v="Peralatan Rumah"/>
    <n v="210000"/>
    <n v="140000"/>
    <n v="11"/>
    <n v="2310000"/>
    <n v="0.15"/>
    <n v="346500"/>
    <n v="1963500"/>
    <n v="1540000"/>
    <n v="423500"/>
  </r>
  <r>
    <s v="SLS-02"/>
    <s v="TRX-2025-0145"/>
    <d v="2025-01-08T00:00:00"/>
    <x v="1"/>
    <x v="1"/>
    <s v="Surabaya"/>
    <s v="Kemeja Batik Katun Premium"/>
    <s v="Fashion"/>
    <n v="320000"/>
    <n v="190000"/>
    <n v="8"/>
    <n v="2560000"/>
    <n v="0.1"/>
    <n v="256000"/>
    <n v="2304000"/>
    <n v="1520000"/>
    <n v="784000"/>
  </r>
  <r>
    <s v="SLS-02"/>
    <s v="TRX-2025-0146"/>
    <d v="2025-11-23T00:00:00"/>
    <x v="1"/>
    <x v="1"/>
    <s v="Surabaya"/>
    <s v="Celana Chino Slim Fit"/>
    <s v="Fashion"/>
    <n v="280000"/>
    <n v="175000"/>
    <n v="11"/>
    <n v="3080000"/>
    <n v="0.05"/>
    <n v="154000"/>
    <n v="2926000"/>
    <n v="1925000"/>
    <n v="1001000"/>
  </r>
  <r>
    <s v="SLS-02"/>
    <s v="TRX-2025-0147"/>
    <d v="2025-11-09T00:00:00"/>
    <x v="1"/>
    <x v="1"/>
    <s v="Surabaya"/>
    <s v="Monitor 24&quot; FHD 144Hz"/>
    <s v="Elektronik"/>
    <n v="1950000"/>
    <n v="1500000"/>
    <n v="11"/>
    <n v="21450000"/>
    <n v="0.15"/>
    <n v="3217500"/>
    <n v="18232500"/>
    <n v="16500000"/>
    <n v="1732500"/>
  </r>
  <r>
    <s v="SLS-01"/>
    <s v="TRX-2025-0148"/>
    <d v="2025-03-01T00:00:00"/>
    <x v="0"/>
    <x v="0"/>
    <s v="Jakarta"/>
    <s v="Mechanical Keyboard RGB"/>
    <s v="Elektronik"/>
    <n v="750000"/>
    <n v="520000"/>
    <n v="1"/>
    <n v="750000"/>
    <n v="0.1"/>
    <n v="75000"/>
    <n v="675000"/>
    <n v="520000"/>
    <n v="155000"/>
  </r>
  <r>
    <s v="SLS-03"/>
    <s v="TRX-2025-0149"/>
    <d v="2025-05-01T00:00:00"/>
    <x v="5"/>
    <x v="0"/>
    <s v="Bandung"/>
    <s v="Set Pisau Dapur Stainless"/>
    <s v="Peralatan Rumah"/>
    <n v="165000"/>
    <n v="105000"/>
    <n v="7"/>
    <n v="1155000"/>
    <n v="0.15"/>
    <n v="173250"/>
    <n v="981750"/>
    <n v="735000"/>
    <n v="246750"/>
  </r>
  <r>
    <s v="SLS-03"/>
    <s v="TRX-2025-0150"/>
    <d v="2025-10-28T00:00:00"/>
    <x v="5"/>
    <x v="0"/>
    <s v="Bandung"/>
    <s v="Susu UHT Full Cream 1L"/>
    <s v="F&amp;B"/>
    <n v="22000"/>
    <n v="18000"/>
    <n v="23"/>
    <n v="506000"/>
    <n v="0"/>
    <n v="0"/>
    <n v="506000"/>
    <n v="414000"/>
    <n v="92000"/>
  </r>
  <r>
    <s v="SLS-06"/>
    <s v="TRX-2025-0151"/>
    <d v="2025-05-24T00:00:00"/>
    <x v="2"/>
    <x v="1"/>
    <s v="Makassar"/>
    <s v="Laptop Ultrabook 14&quot;"/>
    <s v="Elektronik"/>
    <n v="8500000"/>
    <n v="7200000"/>
    <n v="4"/>
    <n v="34000000"/>
    <n v="0.15"/>
    <n v="5100000"/>
    <n v="28900000"/>
    <n v="28800000"/>
    <n v="100000"/>
  </r>
  <r>
    <s v="SLS-06"/>
    <s v="TRX-2025-0152"/>
    <d v="2025-02-20T00:00:00"/>
    <x v="2"/>
    <x v="1"/>
    <s v="Makassar"/>
    <s v="Beras Premium 5kg"/>
    <s v="F&amp;B"/>
    <n v="74000"/>
    <n v="65000"/>
    <n v="23"/>
    <n v="1702000"/>
    <n v="0.1"/>
    <n v="170200"/>
    <n v="1531800"/>
    <n v="1495000"/>
    <n v="36800"/>
  </r>
  <r>
    <s v="SLS-08"/>
    <s v="TRX-2025-0153"/>
    <d v="2025-04-08T00:00:00"/>
    <x v="6"/>
    <x v="2"/>
    <s v="Yogyakarta"/>
    <s v="Wireless Mouse Ergonomic"/>
    <s v="Elektronik"/>
    <n v="250000"/>
    <n v="160000"/>
    <n v="2"/>
    <n v="500000"/>
    <n v="0.05"/>
    <n v="25000"/>
    <n v="475000"/>
    <n v="320000"/>
    <n v="155000"/>
  </r>
  <r>
    <s v="SLS-04"/>
    <s v="TRX-2025-0154"/>
    <d v="2025-05-05T00:00:00"/>
    <x v="4"/>
    <x v="0"/>
    <s v="Medan"/>
    <s v="Mechanical Keyboard RGB"/>
    <s v="Elektronik"/>
    <n v="750000"/>
    <n v="520000"/>
    <n v="2"/>
    <n v="1500000"/>
    <n v="0.2"/>
    <n v="300000"/>
    <n v="1200000"/>
    <n v="1040000"/>
    <n v="160000"/>
  </r>
  <r>
    <s v="SLS-03"/>
    <s v="TRX-2025-0155"/>
    <d v="2025-04-30T00:00:00"/>
    <x v="5"/>
    <x v="0"/>
    <s v="Bandung"/>
    <s v="Celana Chino Slim Fit"/>
    <s v="Fashion"/>
    <n v="280000"/>
    <n v="175000"/>
    <n v="10"/>
    <n v="2800000"/>
    <n v="0"/>
    <n v="0"/>
    <n v="2800000"/>
    <n v="1750000"/>
    <n v="1050000"/>
  </r>
  <r>
    <s v="SLS-03"/>
    <s v="TRX-2025-0156"/>
    <d v="2025-10-04T00:00:00"/>
    <x v="5"/>
    <x v="0"/>
    <s v="Bandung"/>
    <s v="Kemeja Batik Katun Premium"/>
    <s v="Fashion"/>
    <n v="320000"/>
    <n v="190000"/>
    <n v="2"/>
    <n v="640000"/>
    <n v="0"/>
    <n v="0"/>
    <n v="640000"/>
    <n v="380000"/>
    <n v="260000"/>
  </r>
  <r>
    <s v="SLS-06"/>
    <s v="TRX-2025-0157"/>
    <d v="2025-05-02T00:00:00"/>
    <x v="2"/>
    <x v="1"/>
    <s v="Makassar"/>
    <s v="Minyak Goreng Sawit 2L"/>
    <s v="F&amp;B"/>
    <n v="36000"/>
    <n v="31000"/>
    <n v="8"/>
    <n v="288000"/>
    <n v="0.1"/>
    <n v="28800"/>
    <n v="259200"/>
    <n v="248000"/>
    <n v="11200"/>
  </r>
  <r>
    <s v="SLS-02"/>
    <s v="TRX-2025-0158"/>
    <d v="2025-09-27T00:00:00"/>
    <x v="1"/>
    <x v="1"/>
    <s v="Surabaya"/>
    <s v="Wireless Mouse Ergonomic"/>
    <s v="Elektronik"/>
    <n v="250000"/>
    <n v="160000"/>
    <n v="8"/>
    <n v="2000000"/>
    <n v="0.15"/>
    <n v="300000"/>
    <n v="1700000"/>
    <n v="1280000"/>
    <n v="420000"/>
  </r>
  <r>
    <s v="SLS-04"/>
    <s v="TRX-2025-0159"/>
    <d v="2025-08-20T00:00:00"/>
    <x v="4"/>
    <x v="0"/>
    <s v="Medan"/>
    <s v="Kopi Arabika Gayo 250g"/>
    <s v="F&amp;B"/>
    <n v="85000"/>
    <n v="55000"/>
    <n v="4"/>
    <n v="340000"/>
    <n v="0.2"/>
    <n v="68000"/>
    <n v="272000"/>
    <n v="220000"/>
    <n v="52000"/>
  </r>
  <r>
    <s v="SLS-07"/>
    <s v="TRX-2025-0160"/>
    <d v="2025-02-01T00:00:00"/>
    <x v="7"/>
    <x v="2"/>
    <s v="Denpasar"/>
    <s v="Sepatu Sneakers Pria/Wanita"/>
    <s v="Fashion"/>
    <n v="450000"/>
    <n v="290000"/>
    <n v="7"/>
    <n v="3150000"/>
    <n v="0"/>
    <n v="0"/>
    <n v="3150000"/>
    <n v="2030000"/>
    <n v="1120000"/>
  </r>
  <r>
    <s v="SLS-02"/>
    <s v="TRX-2025-0161"/>
    <d v="2025-02-07T00:00:00"/>
    <x v="1"/>
    <x v="1"/>
    <s v="Surabaya"/>
    <s v="Set Pisau Dapur Stainless"/>
    <s v="Peralatan Rumah"/>
    <n v="165000"/>
    <n v="105000"/>
    <n v="6"/>
    <n v="990000"/>
    <n v="0.2"/>
    <n v="198000"/>
    <n v="792000"/>
    <n v="630000"/>
    <n v="162000"/>
  </r>
  <r>
    <s v="SLS-06"/>
    <s v="TRX-2025-0162"/>
    <d v="2025-05-21T00:00:00"/>
    <x v="2"/>
    <x v="1"/>
    <s v="Makassar"/>
    <s v="Minyak Goreng Sawit 2L"/>
    <s v="F&amp;B"/>
    <n v="36000"/>
    <n v="31000"/>
    <n v="22"/>
    <n v="792000"/>
    <n v="0.2"/>
    <n v="158400"/>
    <n v="633600"/>
    <n v="682000"/>
    <n v="-48400"/>
  </r>
  <r>
    <s v="SLS-02"/>
    <s v="TRX-2025-0163"/>
    <d v="2025-02-20T00:00:00"/>
    <x v="1"/>
    <x v="1"/>
    <s v="Surabaya"/>
    <s v="Wajan Anti Lengket 28cm"/>
    <s v="Peralatan Rumah"/>
    <n v="210000"/>
    <n v="140000"/>
    <n v="11"/>
    <n v="2310000"/>
    <n v="0.2"/>
    <n v="462000"/>
    <n v="1848000"/>
    <n v="1540000"/>
    <n v="308000"/>
  </r>
  <r>
    <s v="SLS-06"/>
    <s v="TRX-2025-0164"/>
    <d v="2025-04-27T00:00:00"/>
    <x v="2"/>
    <x v="1"/>
    <s v="Makassar"/>
    <s v="Jaket Hoodie Casual"/>
    <s v="Fashion"/>
    <n v="350000"/>
    <n v="220000"/>
    <n v="8"/>
    <n v="2800000"/>
    <n v="0.15"/>
    <n v="420000"/>
    <n v="2380000"/>
    <n v="1760000"/>
    <n v="620000"/>
  </r>
  <r>
    <s v="SLS-06"/>
    <s v="TRX-2025-0165"/>
    <d v="2025-06-10T00:00:00"/>
    <x v="2"/>
    <x v="1"/>
    <s v="Makassar"/>
    <s v="Jaket Hoodie Casual"/>
    <s v="Fashion"/>
    <n v="350000"/>
    <n v="220000"/>
    <n v="11"/>
    <n v="3850000"/>
    <n v="0.1"/>
    <n v="385000"/>
    <n v="3465000"/>
    <n v="2420000"/>
    <n v="1045000"/>
  </r>
  <r>
    <s v="SLS-02"/>
    <s v="TRX-2025-0166"/>
    <d v="2025-02-04T00:00:00"/>
    <x v="1"/>
    <x v="1"/>
    <s v="Surabaya"/>
    <s v="Wireless Mouse Ergonomic"/>
    <s v="Elektronik"/>
    <n v="250000"/>
    <n v="160000"/>
    <n v="2"/>
    <n v="500000"/>
    <n v="0.15"/>
    <n v="75000"/>
    <n v="425000"/>
    <n v="320000"/>
    <n v="105000"/>
  </r>
  <r>
    <s v="SLS-01"/>
    <s v="TRX-2025-0167"/>
    <d v="2025-03-08T00:00:00"/>
    <x v="0"/>
    <x v="0"/>
    <s v="Jakarta"/>
    <s v="Kopi Arabika Gayo 250g"/>
    <s v="F&amp;B"/>
    <n v="85000"/>
    <n v="55000"/>
    <n v="20"/>
    <n v="1700000"/>
    <n v="0.2"/>
    <n v="340000"/>
    <n v="1360000"/>
    <n v="1100000"/>
    <n v="260000"/>
  </r>
  <r>
    <s v="SLS-07"/>
    <s v="TRX-2025-0168"/>
    <d v="2025-07-30T00:00:00"/>
    <x v="7"/>
    <x v="2"/>
    <s v="Denpasar"/>
    <s v="Celana Chino Slim Fit"/>
    <s v="Fashion"/>
    <n v="280000"/>
    <n v="175000"/>
    <n v="12"/>
    <n v="3360000"/>
    <n v="0"/>
    <n v="0"/>
    <n v="3360000"/>
    <n v="2100000"/>
    <n v="1260000"/>
  </r>
  <r>
    <s v="SLS-04"/>
    <s v="TRX-2025-0169"/>
    <d v="2025-06-30T00:00:00"/>
    <x v="4"/>
    <x v="0"/>
    <s v="Medan"/>
    <s v="Wireless Mouse Ergonomic"/>
    <s v="Elektronik"/>
    <n v="250000"/>
    <n v="160000"/>
    <n v="3"/>
    <n v="750000"/>
    <n v="0.15"/>
    <n v="112500"/>
    <n v="637500"/>
    <n v="480000"/>
    <n v="157500"/>
  </r>
  <r>
    <s v="SLS-02"/>
    <s v="TRX-2025-0170"/>
    <d v="2025-10-12T00:00:00"/>
    <x v="1"/>
    <x v="1"/>
    <s v="Surabaya"/>
    <s v="Celana Chino Slim Fit"/>
    <s v="Fashion"/>
    <n v="280000"/>
    <n v="175000"/>
    <n v="5"/>
    <n v="1400000"/>
    <n v="0.2"/>
    <n v="280000"/>
    <n v="1120000"/>
    <n v="875000"/>
    <n v="245000"/>
  </r>
  <r>
    <s v="SLS-05"/>
    <s v="TRX-2025-0171"/>
    <d v="2025-11-08T00:00:00"/>
    <x v="3"/>
    <x v="2"/>
    <s v="Semarang"/>
    <s v="Set Pisau Dapur Stainless"/>
    <s v="Peralatan Rumah"/>
    <n v="165000"/>
    <n v="105000"/>
    <n v="1"/>
    <n v="165000"/>
    <n v="0.05"/>
    <n v="8250"/>
    <n v="156750"/>
    <n v="105000"/>
    <n v="51750"/>
  </r>
  <r>
    <s v="SLS-01"/>
    <s v="TRX-2025-0172"/>
    <d v="2025-06-23T00:00:00"/>
    <x v="0"/>
    <x v="0"/>
    <s v="Jakarta"/>
    <s v="Celana Chino Slim Fit"/>
    <s v="Fashion"/>
    <n v="280000"/>
    <n v="175000"/>
    <n v="3"/>
    <n v="840000"/>
    <n v="0.05"/>
    <n v="42000"/>
    <n v="798000"/>
    <n v="525000"/>
    <n v="273000"/>
  </r>
  <r>
    <s v="SLS-02"/>
    <s v="TRX-2025-0173"/>
    <d v="2025-11-21T00:00:00"/>
    <x v="1"/>
    <x v="1"/>
    <s v="Surabaya"/>
    <s v="Laptop Ultrabook 14&quot;"/>
    <s v="Elektronik"/>
    <n v="8500000"/>
    <n v="7200000"/>
    <n v="12"/>
    <n v="102000000"/>
    <n v="0.2"/>
    <n v="20400000"/>
    <n v="81600000"/>
    <n v="86400000"/>
    <n v="-4800000"/>
  </r>
  <r>
    <s v="SLS-03"/>
    <s v="TRX-2025-0174"/>
    <d v="2025-08-21T00:00:00"/>
    <x v="5"/>
    <x v="0"/>
    <s v="Bandung"/>
    <s v="Celana Chino Slim Fit"/>
    <s v="Fashion"/>
    <n v="280000"/>
    <n v="175000"/>
    <n v="6"/>
    <n v="1680000"/>
    <n v="0.1"/>
    <n v="168000"/>
    <n v="1512000"/>
    <n v="1050000"/>
    <n v="462000"/>
  </r>
  <r>
    <s v="SLS-03"/>
    <s v="TRX-2025-0175"/>
    <d v="2025-01-27T00:00:00"/>
    <x v="5"/>
    <x v="0"/>
    <s v="Bandung"/>
    <s v="Mechanical Keyboard RGB"/>
    <s v="Elektronik"/>
    <n v="750000"/>
    <n v="520000"/>
    <n v="10"/>
    <n v="7500000"/>
    <n v="0"/>
    <n v="0"/>
    <n v="7500000"/>
    <n v="5200000"/>
    <n v="2300000"/>
  </r>
  <r>
    <s v="SLS-08"/>
    <s v="TRX-2025-0176"/>
    <d v="2025-12-05T00:00:00"/>
    <x v="6"/>
    <x v="2"/>
    <s v="Yogyakarta"/>
    <s v="Jaket Hoodie Casual"/>
    <s v="Fashion"/>
    <n v="350000"/>
    <n v="220000"/>
    <n v="10"/>
    <n v="3500000"/>
    <n v="0.15"/>
    <n v="525000"/>
    <n v="2975000"/>
    <n v="2200000"/>
    <n v="775000"/>
  </r>
  <r>
    <s v="SLS-06"/>
    <s v="TRX-2025-0177"/>
    <d v="2025-09-20T00:00:00"/>
    <x v="2"/>
    <x v="1"/>
    <s v="Makassar"/>
    <s v="Wireless Mouse Ergonomic"/>
    <s v="Elektronik"/>
    <n v="250000"/>
    <n v="160000"/>
    <n v="7"/>
    <n v="1750000"/>
    <n v="0"/>
    <n v="0"/>
    <n v="1750000"/>
    <n v="1120000"/>
    <n v="630000"/>
  </r>
  <r>
    <s v="SLS-05"/>
    <s v="TRX-2025-0178"/>
    <d v="2025-09-27T00:00:00"/>
    <x v="3"/>
    <x v="2"/>
    <s v="Semarang"/>
    <s v="Beras Premium 5kg"/>
    <s v="F&amp;B"/>
    <n v="74000"/>
    <n v="65000"/>
    <n v="10"/>
    <n v="740000"/>
    <n v="0.15"/>
    <n v="111000"/>
    <n v="629000"/>
    <n v="650000"/>
    <n v="-21000"/>
  </r>
  <r>
    <s v="SLS-03"/>
    <s v="TRX-2025-0179"/>
    <d v="2025-06-04T00:00:00"/>
    <x v="5"/>
    <x v="0"/>
    <s v="Bandung"/>
    <s v="Monitor 24&quot; FHD 144Hz"/>
    <s v="Elektronik"/>
    <n v="1950000"/>
    <n v="1500000"/>
    <n v="5"/>
    <n v="9750000"/>
    <n v="0.1"/>
    <n v="975000"/>
    <n v="8775000"/>
    <n v="7500000"/>
    <n v="1275000"/>
  </r>
  <r>
    <s v="SLS-07"/>
    <s v="TRX-2025-0180"/>
    <d v="2025-09-12T00:00:00"/>
    <x v="7"/>
    <x v="2"/>
    <s v="Denpasar"/>
    <s v="Susu UHT Full Cream 1L"/>
    <s v="F&amp;B"/>
    <n v="22000"/>
    <n v="18000"/>
    <n v="7"/>
    <n v="154000"/>
    <n v="0.15"/>
    <n v="23100"/>
    <n v="130900"/>
    <n v="126000"/>
    <n v="4900"/>
  </r>
  <r>
    <s v="SLS-01"/>
    <s v="TRX-2025-0181"/>
    <d v="2025-02-06T00:00:00"/>
    <x v="0"/>
    <x v="0"/>
    <s v="Jakarta"/>
    <s v="Jaket Hoodie Casual"/>
    <s v="Fashion"/>
    <n v="350000"/>
    <n v="220000"/>
    <n v="7"/>
    <n v="2450000"/>
    <n v="0"/>
    <n v="0"/>
    <n v="2450000"/>
    <n v="1540000"/>
    <n v="910000"/>
  </r>
  <r>
    <s v="SLS-07"/>
    <s v="TRX-2025-0182"/>
    <d v="2025-10-22T00:00:00"/>
    <x v="7"/>
    <x v="2"/>
    <s v="Denpasar"/>
    <s v="Jaket Hoodie Casual"/>
    <s v="Fashion"/>
    <n v="350000"/>
    <n v="220000"/>
    <n v="12"/>
    <n v="4200000"/>
    <n v="0.15"/>
    <n v="630000"/>
    <n v="3570000"/>
    <n v="2640000"/>
    <n v="930000"/>
  </r>
  <r>
    <s v="SLS-03"/>
    <s v="TRX-2025-0183"/>
    <d v="2025-01-11T00:00:00"/>
    <x v="5"/>
    <x v="0"/>
    <s v="Bandung"/>
    <s v="Celana Chino Slim Fit"/>
    <s v="Fashion"/>
    <n v="280000"/>
    <n v="175000"/>
    <n v="10"/>
    <n v="2800000"/>
    <n v="0.15"/>
    <n v="420000"/>
    <n v="2380000"/>
    <n v="1750000"/>
    <n v="630000"/>
  </r>
  <r>
    <s v="SLS-07"/>
    <s v="TRX-2025-0184"/>
    <d v="2025-02-24T00:00:00"/>
    <x v="7"/>
    <x v="2"/>
    <s v="Denpasar"/>
    <s v="Monitor 24&quot; FHD 144Hz"/>
    <s v="Elektronik"/>
    <n v="1950000"/>
    <n v="1500000"/>
    <n v="10"/>
    <n v="19500000"/>
    <n v="0.15"/>
    <n v="2925000"/>
    <n v="16575000"/>
    <n v="15000000"/>
    <n v="1575000"/>
  </r>
  <r>
    <s v="SLS-06"/>
    <s v="TRX-2025-0185"/>
    <d v="2025-06-23T00:00:00"/>
    <x v="2"/>
    <x v="1"/>
    <s v="Makassar"/>
    <s v="Monitor 24&quot; FHD 144Hz"/>
    <s v="Elektronik"/>
    <n v="1950000"/>
    <n v="1500000"/>
    <n v="3"/>
    <n v="5850000"/>
    <n v="0"/>
    <n v="0"/>
    <n v="5850000"/>
    <n v="4500000"/>
    <n v="1350000"/>
  </r>
  <r>
    <s v="SLS-03"/>
    <s v="TRX-2025-0186"/>
    <d v="2025-06-28T00:00:00"/>
    <x v="5"/>
    <x v="0"/>
    <s v="Bandung"/>
    <s v="Celana Chino Slim Fit"/>
    <s v="Fashion"/>
    <n v="280000"/>
    <n v="175000"/>
    <n v="4"/>
    <n v="1120000"/>
    <n v="0"/>
    <n v="0"/>
    <n v="1120000"/>
    <n v="700000"/>
    <n v="420000"/>
  </r>
  <r>
    <s v="SLS-03"/>
    <s v="TRX-2025-0187"/>
    <d v="2025-03-30T00:00:00"/>
    <x v="5"/>
    <x v="0"/>
    <s v="Bandung"/>
    <s v="Minyak Goreng Sawit 2L"/>
    <s v="F&amp;B"/>
    <n v="36000"/>
    <n v="31000"/>
    <n v="5"/>
    <n v="180000"/>
    <n v="0.05"/>
    <n v="9000"/>
    <n v="171000"/>
    <n v="155000"/>
    <n v="16000"/>
  </r>
  <r>
    <s v="SLS-06"/>
    <s v="TRX-2025-0188"/>
    <d v="2025-12-15T00:00:00"/>
    <x v="2"/>
    <x v="1"/>
    <s v="Makassar"/>
    <s v="Set Pisau Dapur Stainless"/>
    <s v="Peralatan Rumah"/>
    <n v="165000"/>
    <n v="105000"/>
    <n v="11"/>
    <n v="1815000"/>
    <n v="0.1"/>
    <n v="181500"/>
    <n v="1633500"/>
    <n v="1155000"/>
    <n v="478500"/>
  </r>
  <r>
    <s v="SLS-05"/>
    <s v="TRX-2025-0189"/>
    <d v="2025-08-29T00:00:00"/>
    <x v="3"/>
    <x v="2"/>
    <s v="Semarang"/>
    <s v="Sepatu Sneakers Pria/Wanita"/>
    <s v="Fashion"/>
    <n v="450000"/>
    <n v="290000"/>
    <n v="5"/>
    <n v="2250000"/>
    <n v="0.2"/>
    <n v="450000"/>
    <n v="1800000"/>
    <n v="1450000"/>
    <n v="350000"/>
  </r>
  <r>
    <s v="SLS-08"/>
    <s v="TRX-2025-0190"/>
    <d v="2025-06-08T00:00:00"/>
    <x v="6"/>
    <x v="2"/>
    <s v="Yogyakarta"/>
    <s v="Sepatu Sneakers Pria/Wanita"/>
    <s v="Fashion"/>
    <n v="450000"/>
    <n v="290000"/>
    <n v="1"/>
    <n v="450000"/>
    <n v="0"/>
    <n v="0"/>
    <n v="450000"/>
    <n v="290000"/>
    <n v="160000"/>
  </r>
  <r>
    <s v="SLS-02"/>
    <s v="TRX-2025-0191"/>
    <d v="2025-11-27T00:00:00"/>
    <x v="1"/>
    <x v="1"/>
    <s v="Surabaya"/>
    <s v="Blender Multifungsi 2-in-1"/>
    <s v="Peralatan Rumah"/>
    <n v="340000"/>
    <n v="240000"/>
    <n v="10"/>
    <n v="3400000"/>
    <n v="0.2"/>
    <n v="680000"/>
    <n v="2720000"/>
    <n v="2400000"/>
    <n v="320000"/>
  </r>
  <r>
    <s v="SLS-04"/>
    <s v="TRX-2025-0192"/>
    <d v="2025-08-19T00:00:00"/>
    <x v="4"/>
    <x v="0"/>
    <s v="Medan"/>
    <s v="Set Pisau Dapur Stainless"/>
    <s v="Peralatan Rumah"/>
    <n v="165000"/>
    <n v="105000"/>
    <n v="6"/>
    <n v="990000"/>
    <n v="0.2"/>
    <n v="198000"/>
    <n v="792000"/>
    <n v="630000"/>
    <n v="162000"/>
  </r>
  <r>
    <s v="SLS-02"/>
    <s v="TRX-2025-0193"/>
    <d v="2025-02-01T00:00:00"/>
    <x v="1"/>
    <x v="1"/>
    <s v="Surabaya"/>
    <s v="Sepatu Sneakers Pria/Wanita"/>
    <s v="Fashion"/>
    <n v="450000"/>
    <n v="290000"/>
    <n v="6"/>
    <n v="2700000"/>
    <n v="0"/>
    <n v="0"/>
    <n v="2700000"/>
    <n v="1740000"/>
    <n v="960000"/>
  </r>
  <r>
    <s v="SLS-08"/>
    <s v="TRX-2025-0194"/>
    <d v="2025-12-29T00:00:00"/>
    <x v="6"/>
    <x v="2"/>
    <s v="Yogyakarta"/>
    <s v="Sepatu Sneakers Pria/Wanita"/>
    <s v="Fashion"/>
    <n v="450000"/>
    <n v="290000"/>
    <n v="9"/>
    <n v="4050000"/>
    <n v="0.2"/>
    <n v="810000"/>
    <n v="3240000"/>
    <n v="2610000"/>
    <n v="630000"/>
  </r>
  <r>
    <s v="SLS-07"/>
    <s v="TRX-2025-0195"/>
    <d v="2025-05-25T00:00:00"/>
    <x v="7"/>
    <x v="2"/>
    <s v="Denpasar"/>
    <s v="Jaket Hoodie Casual"/>
    <s v="Fashion"/>
    <n v="350000"/>
    <n v="220000"/>
    <n v="6"/>
    <n v="2100000"/>
    <n v="0.2"/>
    <n v="420000"/>
    <n v="1680000"/>
    <n v="1320000"/>
    <n v="360000"/>
  </r>
  <r>
    <s v="SLS-02"/>
    <s v="TRX-2025-0196"/>
    <d v="2025-02-03T00:00:00"/>
    <x v="1"/>
    <x v="1"/>
    <s v="Surabaya"/>
    <s v="Celana Chino Slim Fit"/>
    <s v="Fashion"/>
    <n v="280000"/>
    <n v="175000"/>
    <n v="9"/>
    <n v="2520000"/>
    <n v="0.15"/>
    <n v="378000"/>
    <n v="2142000"/>
    <n v="1575000"/>
    <n v="567000"/>
  </r>
  <r>
    <s v="SLS-03"/>
    <s v="TRX-2025-0197"/>
    <d v="2025-06-20T00:00:00"/>
    <x v="5"/>
    <x v="0"/>
    <s v="Bandung"/>
    <s v="Wireless Mouse Ergonomic"/>
    <s v="Elektronik"/>
    <n v="250000"/>
    <n v="160000"/>
    <n v="6"/>
    <n v="1500000"/>
    <n v="0.1"/>
    <n v="150000"/>
    <n v="1350000"/>
    <n v="960000"/>
    <n v="390000"/>
  </r>
  <r>
    <s v="SLS-07"/>
    <s v="TRX-2025-0198"/>
    <d v="2025-06-08T00:00:00"/>
    <x v="7"/>
    <x v="2"/>
    <s v="Denpasar"/>
    <s v="Kopi Arabika Gayo 250g"/>
    <s v="F&amp;B"/>
    <n v="85000"/>
    <n v="55000"/>
    <n v="28"/>
    <n v="2380000"/>
    <n v="0.1"/>
    <n v="238000"/>
    <n v="2142000"/>
    <n v="1540000"/>
    <n v="602000"/>
  </r>
  <r>
    <s v="SLS-07"/>
    <s v="TRX-2025-0199"/>
    <d v="2025-11-27T00:00:00"/>
    <x v="7"/>
    <x v="2"/>
    <s v="Denpasar"/>
    <s v="Beras Premium 5kg"/>
    <s v="F&amp;B"/>
    <n v="74000"/>
    <n v="65000"/>
    <n v="14"/>
    <n v="1036000"/>
    <n v="0"/>
    <n v="0"/>
    <n v="1036000"/>
    <n v="910000"/>
    <n v="126000"/>
  </r>
  <r>
    <s v="SLS-08"/>
    <s v="TRX-2025-0200"/>
    <d v="2025-04-20T00:00:00"/>
    <x v="6"/>
    <x v="2"/>
    <s v="Yogyakarta"/>
    <s v="Celana Chino Slim Fit"/>
    <s v="Fashion"/>
    <n v="280000"/>
    <n v="175000"/>
    <n v="4"/>
    <n v="1120000"/>
    <n v="0.05"/>
    <n v="56000"/>
    <n v="1064000"/>
    <n v="700000"/>
    <n v="364000"/>
  </r>
  <r>
    <s v="SLS-02"/>
    <s v="TRX-2025-0201"/>
    <d v="2025-06-01T00:00:00"/>
    <x v="1"/>
    <x v="1"/>
    <s v="Surabaya"/>
    <s v="Blender Multifungsi 2-in-1"/>
    <s v="Peralatan Rumah"/>
    <n v="340000"/>
    <n v="240000"/>
    <n v="9"/>
    <n v="3060000"/>
    <n v="0.2"/>
    <n v="612000"/>
    <n v="2448000"/>
    <n v="2160000"/>
    <n v="288000"/>
  </r>
  <r>
    <s v="SLS-07"/>
    <s v="TRX-2025-0202"/>
    <d v="2025-11-13T00:00:00"/>
    <x v="7"/>
    <x v="2"/>
    <s v="Denpasar"/>
    <s v="Mechanical Keyboard RGB"/>
    <s v="Elektronik"/>
    <n v="750000"/>
    <n v="520000"/>
    <n v="3"/>
    <n v="2250000"/>
    <n v="0.05"/>
    <n v="112500"/>
    <n v="2137500"/>
    <n v="1560000"/>
    <n v="577500"/>
  </r>
  <r>
    <s v="SLS-07"/>
    <s v="TRX-2025-0203"/>
    <d v="2025-08-13T00:00:00"/>
    <x v="7"/>
    <x v="2"/>
    <s v="Denpasar"/>
    <s v="Laptop Ultrabook 14&quot;"/>
    <s v="Elektronik"/>
    <n v="8500000"/>
    <n v="7200000"/>
    <n v="6"/>
    <n v="51000000"/>
    <n v="0.05"/>
    <n v="2550000"/>
    <n v="48450000"/>
    <n v="43200000"/>
    <n v="5250000"/>
  </r>
  <r>
    <s v="SLS-04"/>
    <s v="TRX-2025-0204"/>
    <d v="2025-08-18T00:00:00"/>
    <x v="4"/>
    <x v="0"/>
    <s v="Medan"/>
    <s v="Monitor 24&quot; FHD 144Hz"/>
    <s v="Elektronik"/>
    <n v="1950000"/>
    <n v="1500000"/>
    <n v="5"/>
    <n v="9750000"/>
    <n v="0.15"/>
    <n v="1462500"/>
    <n v="8287500"/>
    <n v="7500000"/>
    <n v="787500"/>
  </r>
  <r>
    <s v="SLS-05"/>
    <s v="TRX-2025-0205"/>
    <d v="2025-08-25T00:00:00"/>
    <x v="3"/>
    <x v="2"/>
    <s v="Semarang"/>
    <s v="Wajan Anti Lengket 28cm"/>
    <s v="Peralatan Rumah"/>
    <n v="210000"/>
    <n v="140000"/>
    <n v="7"/>
    <n v="1470000"/>
    <n v="0.2"/>
    <n v="294000"/>
    <n v="1176000"/>
    <n v="980000"/>
    <n v="196000"/>
  </r>
  <r>
    <s v="SLS-05"/>
    <s v="TRX-2025-0206"/>
    <d v="2025-11-06T00:00:00"/>
    <x v="3"/>
    <x v="2"/>
    <s v="Semarang"/>
    <s v="Mechanical Keyboard RGB"/>
    <s v="Elektronik"/>
    <n v="750000"/>
    <n v="520000"/>
    <n v="1"/>
    <n v="750000"/>
    <n v="0.15"/>
    <n v="112500"/>
    <n v="637500"/>
    <n v="520000"/>
    <n v="117500"/>
  </r>
  <r>
    <s v="SLS-02"/>
    <s v="TRX-2025-0207"/>
    <d v="2025-12-31T00:00:00"/>
    <x v="1"/>
    <x v="1"/>
    <s v="Surabaya"/>
    <s v="Blender Multifungsi 2-in-1"/>
    <s v="Peralatan Rumah"/>
    <n v="340000"/>
    <n v="240000"/>
    <n v="5"/>
    <n v="1700000"/>
    <n v="0"/>
    <n v="0"/>
    <n v="1700000"/>
    <n v="1200000"/>
    <n v="500000"/>
  </r>
  <r>
    <s v="SLS-07"/>
    <s v="TRX-2025-0208"/>
    <d v="2025-09-20T00:00:00"/>
    <x v="7"/>
    <x v="2"/>
    <s v="Denpasar"/>
    <s v="Mechanical Keyboard RGB"/>
    <s v="Elektronik"/>
    <n v="750000"/>
    <n v="520000"/>
    <n v="2"/>
    <n v="1500000"/>
    <n v="0.05"/>
    <n v="75000"/>
    <n v="1425000"/>
    <n v="1040000"/>
    <n v="385000"/>
  </r>
  <r>
    <s v="SLS-07"/>
    <s v="TRX-2025-0209"/>
    <d v="2025-08-01T00:00:00"/>
    <x v="7"/>
    <x v="2"/>
    <s v="Denpasar"/>
    <s v="Laptop Ultrabook 14&quot;"/>
    <s v="Elektronik"/>
    <n v="8500000"/>
    <n v="7200000"/>
    <n v="9"/>
    <n v="76500000"/>
    <n v="0.1"/>
    <n v="7650000"/>
    <n v="68850000"/>
    <n v="64800000"/>
    <n v="4050000"/>
  </r>
  <r>
    <s v="SLS-01"/>
    <s v="TRX-2025-0210"/>
    <d v="2025-07-11T00:00:00"/>
    <x v="0"/>
    <x v="0"/>
    <s v="Jakarta"/>
    <s v="Monitor 24&quot; FHD 144Hz"/>
    <s v="Elektronik"/>
    <n v="1950000"/>
    <n v="1500000"/>
    <n v="6"/>
    <n v="11700000"/>
    <n v="0"/>
    <n v="0"/>
    <n v="11700000"/>
    <n v="9000000"/>
    <n v="2700000"/>
  </r>
  <r>
    <s v="SLS-08"/>
    <s v="TRX-2025-0211"/>
    <d v="2025-01-20T00:00:00"/>
    <x v="6"/>
    <x v="2"/>
    <s v="Yogyakarta"/>
    <s v="Kemeja Batik Katun Premium"/>
    <s v="Fashion"/>
    <n v="320000"/>
    <n v="190000"/>
    <n v="12"/>
    <n v="3840000"/>
    <n v="0.05"/>
    <n v="192000"/>
    <n v="3648000"/>
    <n v="2280000"/>
    <n v="1368000"/>
  </r>
  <r>
    <s v="SLS-05"/>
    <s v="TRX-2025-0212"/>
    <d v="2025-02-10T00:00:00"/>
    <x v="3"/>
    <x v="2"/>
    <s v="Semarang"/>
    <s v="Laptop Ultrabook 14&quot;"/>
    <s v="Elektronik"/>
    <n v="8500000"/>
    <n v="7200000"/>
    <n v="4"/>
    <n v="34000000"/>
    <n v="0.05"/>
    <n v="1700000"/>
    <n v="32300000"/>
    <n v="28800000"/>
    <n v="3500000"/>
  </r>
  <r>
    <s v="SLS-02"/>
    <s v="TRX-2025-0213"/>
    <d v="2025-05-02T00:00:00"/>
    <x v="1"/>
    <x v="1"/>
    <s v="Surabaya"/>
    <s v="Kemeja Batik Katun Premium"/>
    <s v="Fashion"/>
    <n v="320000"/>
    <n v="190000"/>
    <n v="1"/>
    <n v="320000"/>
    <n v="0.05"/>
    <n v="16000"/>
    <n v="304000"/>
    <n v="190000"/>
    <n v="114000"/>
  </r>
  <r>
    <s v="SLS-08"/>
    <s v="TRX-2025-0214"/>
    <d v="2025-02-02T00:00:00"/>
    <x v="6"/>
    <x v="2"/>
    <s v="Yogyakarta"/>
    <s v="Wireless Mouse Ergonomic"/>
    <s v="Elektronik"/>
    <n v="250000"/>
    <n v="160000"/>
    <n v="10"/>
    <n v="2500000"/>
    <n v="0.2"/>
    <n v="500000"/>
    <n v="2000000"/>
    <n v="1600000"/>
    <n v="400000"/>
  </r>
  <r>
    <s v="SLS-07"/>
    <s v="TRX-2025-0215"/>
    <d v="2025-03-15T00:00:00"/>
    <x v="7"/>
    <x v="2"/>
    <s v="Denpasar"/>
    <s v="Kemeja Batik Katun Premium"/>
    <s v="Fashion"/>
    <n v="320000"/>
    <n v="190000"/>
    <n v="1"/>
    <n v="320000"/>
    <n v="0.2"/>
    <n v="64000"/>
    <n v="256000"/>
    <n v="190000"/>
    <n v="66000"/>
  </r>
  <r>
    <s v="SLS-02"/>
    <s v="TRX-2025-0216"/>
    <d v="2025-04-06T00:00:00"/>
    <x v="1"/>
    <x v="1"/>
    <s v="Surabaya"/>
    <s v="Beras Premium 5kg"/>
    <s v="F&amp;B"/>
    <n v="74000"/>
    <n v="65000"/>
    <n v="14"/>
    <n v="1036000"/>
    <n v="0"/>
    <n v="0"/>
    <n v="1036000"/>
    <n v="910000"/>
    <n v="126000"/>
  </r>
  <r>
    <s v="SLS-07"/>
    <s v="TRX-2025-0217"/>
    <d v="2025-01-23T00:00:00"/>
    <x v="7"/>
    <x v="2"/>
    <s v="Denpasar"/>
    <s v="Beras Premium 5kg"/>
    <s v="F&amp;B"/>
    <n v="74000"/>
    <n v="65000"/>
    <n v="11"/>
    <n v="814000"/>
    <n v="0"/>
    <n v="0"/>
    <n v="814000"/>
    <n v="715000"/>
    <n v="99000"/>
  </r>
  <r>
    <s v="SLS-02"/>
    <s v="TRX-2025-0218"/>
    <d v="2025-05-04T00:00:00"/>
    <x v="1"/>
    <x v="1"/>
    <s v="Surabaya"/>
    <s v="Susu UHT Full Cream 1L"/>
    <s v="F&amp;B"/>
    <n v="22000"/>
    <n v="18000"/>
    <n v="26"/>
    <n v="572000"/>
    <n v="0.1"/>
    <n v="57200"/>
    <n v="514800"/>
    <n v="468000"/>
    <n v="46800"/>
  </r>
  <r>
    <s v="SLS-03"/>
    <s v="TRX-2025-0219"/>
    <d v="2025-10-07T00:00:00"/>
    <x v="5"/>
    <x v="0"/>
    <s v="Bandung"/>
    <s v="Celana Chino Slim Fit"/>
    <s v="Fashion"/>
    <n v="280000"/>
    <n v="175000"/>
    <n v="11"/>
    <n v="3080000"/>
    <n v="0.15"/>
    <n v="462000"/>
    <n v="2618000"/>
    <n v="1925000"/>
    <n v="693000"/>
  </r>
  <r>
    <s v="SLS-08"/>
    <s v="TRX-2025-0220"/>
    <d v="2025-03-11T00:00:00"/>
    <x v="6"/>
    <x v="2"/>
    <s v="Yogyakarta"/>
    <s v="Wireless Mouse Ergonomic"/>
    <s v="Elektronik"/>
    <n v="250000"/>
    <n v="160000"/>
    <n v="1"/>
    <n v="250000"/>
    <n v="0.1"/>
    <n v="25000"/>
    <n v="225000"/>
    <n v="160000"/>
    <n v="65000"/>
  </r>
  <r>
    <s v="SLS-05"/>
    <s v="TRX-2025-0221"/>
    <d v="2025-01-22T00:00:00"/>
    <x v="3"/>
    <x v="2"/>
    <s v="Semarang"/>
    <s v="Celana Chino Slim Fit"/>
    <s v="Fashion"/>
    <n v="280000"/>
    <n v="175000"/>
    <n v="9"/>
    <n v="2520000"/>
    <n v="0.15"/>
    <n v="378000"/>
    <n v="2142000"/>
    <n v="1575000"/>
    <n v="567000"/>
  </r>
  <r>
    <s v="SLS-05"/>
    <s v="TRX-2025-0222"/>
    <d v="2025-11-28T00:00:00"/>
    <x v="3"/>
    <x v="2"/>
    <s v="Semarang"/>
    <s v="Monitor 24&quot; FHD 144Hz"/>
    <s v="Elektronik"/>
    <n v="1950000"/>
    <n v="1500000"/>
    <n v="6"/>
    <n v="11700000"/>
    <n v="0"/>
    <n v="0"/>
    <n v="11700000"/>
    <n v="9000000"/>
    <n v="2700000"/>
  </r>
  <r>
    <s v="SLS-07"/>
    <s v="TRX-2025-0223"/>
    <d v="2025-07-08T00:00:00"/>
    <x v="7"/>
    <x v="2"/>
    <s v="Denpasar"/>
    <s v="Jaket Hoodie Casual"/>
    <s v="Fashion"/>
    <n v="350000"/>
    <n v="220000"/>
    <n v="12"/>
    <n v="4200000"/>
    <n v="0.15"/>
    <n v="630000"/>
    <n v="3570000"/>
    <n v="2640000"/>
    <n v="930000"/>
  </r>
  <r>
    <s v="SLS-08"/>
    <s v="TRX-2025-0224"/>
    <d v="2025-09-12T00:00:00"/>
    <x v="6"/>
    <x v="2"/>
    <s v="Yogyakarta"/>
    <s v="Susu UHT Full Cream 1L"/>
    <s v="F&amp;B"/>
    <n v="22000"/>
    <n v="18000"/>
    <n v="28"/>
    <n v="616000"/>
    <n v="0.2"/>
    <n v="123200"/>
    <n v="492800"/>
    <n v="504000"/>
    <n v="-11200"/>
  </r>
  <r>
    <s v="SLS-03"/>
    <s v="TRX-2025-0225"/>
    <d v="2025-02-10T00:00:00"/>
    <x v="5"/>
    <x v="0"/>
    <s v="Bandung"/>
    <s v="Jaket Hoodie Casual"/>
    <s v="Fashion"/>
    <n v="350000"/>
    <n v="220000"/>
    <n v="9"/>
    <n v="3150000"/>
    <n v="0.1"/>
    <n v="315000"/>
    <n v="2835000"/>
    <n v="1980000"/>
    <n v="855000"/>
  </r>
  <r>
    <s v="SLS-05"/>
    <s v="TRX-2025-0226"/>
    <d v="2025-06-17T00:00:00"/>
    <x v="3"/>
    <x v="2"/>
    <s v="Semarang"/>
    <s v="Beras Premium 5kg"/>
    <s v="F&amp;B"/>
    <n v="74000"/>
    <n v="65000"/>
    <n v="17"/>
    <n v="1258000"/>
    <n v="0.2"/>
    <n v="251600"/>
    <n v="1006400"/>
    <n v="1105000"/>
    <n v="-98600"/>
  </r>
  <r>
    <s v="SLS-01"/>
    <s v="TRX-2025-0227"/>
    <d v="2025-06-29T00:00:00"/>
    <x v="0"/>
    <x v="0"/>
    <s v="Jakarta"/>
    <s v="Sepatu Sneakers Pria/Wanita"/>
    <s v="Fashion"/>
    <n v="450000"/>
    <n v="290000"/>
    <n v="12"/>
    <n v="5400000"/>
    <n v="0.1"/>
    <n v="540000"/>
    <n v="4860000"/>
    <n v="3480000"/>
    <n v="1380000"/>
  </r>
  <r>
    <s v="SLS-07"/>
    <s v="TRX-2025-0228"/>
    <d v="2025-02-08T00:00:00"/>
    <x v="7"/>
    <x v="2"/>
    <s v="Denpasar"/>
    <s v="Beras Premium 5kg"/>
    <s v="F&amp;B"/>
    <n v="74000"/>
    <n v="65000"/>
    <n v="19"/>
    <n v="1406000"/>
    <n v="0.05"/>
    <n v="70300"/>
    <n v="1335700"/>
    <n v="1235000"/>
    <n v="100700"/>
  </r>
  <r>
    <s v="SLS-02"/>
    <s v="TRX-2025-0229"/>
    <d v="2025-01-18T00:00:00"/>
    <x v="1"/>
    <x v="1"/>
    <s v="Surabaya"/>
    <s v="Mechanical Keyboard RGB"/>
    <s v="Elektronik"/>
    <n v="750000"/>
    <n v="520000"/>
    <n v="4"/>
    <n v="3000000"/>
    <n v="0.1"/>
    <n v="300000"/>
    <n v="2700000"/>
    <n v="2080000"/>
    <n v="620000"/>
  </r>
  <r>
    <s v="SLS-08"/>
    <s v="TRX-2025-0230"/>
    <d v="2025-11-06T00:00:00"/>
    <x v="6"/>
    <x v="2"/>
    <s v="Yogyakarta"/>
    <s v="Mechanical Keyboard RGB"/>
    <s v="Elektronik"/>
    <n v="750000"/>
    <n v="520000"/>
    <n v="6"/>
    <n v="4500000"/>
    <n v="0.1"/>
    <n v="450000"/>
    <n v="4050000"/>
    <n v="3120000"/>
    <n v="930000"/>
  </r>
  <r>
    <s v="SLS-07"/>
    <s v="TRX-2025-0231"/>
    <d v="2025-09-29T00:00:00"/>
    <x v="7"/>
    <x v="2"/>
    <s v="Denpasar"/>
    <s v="Celana Chino Slim Fit"/>
    <s v="Fashion"/>
    <n v="280000"/>
    <n v="175000"/>
    <n v="6"/>
    <n v="1680000"/>
    <n v="0.1"/>
    <n v="168000"/>
    <n v="1512000"/>
    <n v="1050000"/>
    <n v="462000"/>
  </r>
  <r>
    <s v="SLS-07"/>
    <s v="TRX-2025-0232"/>
    <d v="2025-04-06T00:00:00"/>
    <x v="7"/>
    <x v="2"/>
    <s v="Denpasar"/>
    <s v="Sepatu Sneakers Pria/Wanita"/>
    <s v="Fashion"/>
    <n v="450000"/>
    <n v="290000"/>
    <n v="9"/>
    <n v="4050000"/>
    <n v="0"/>
    <n v="0"/>
    <n v="4050000"/>
    <n v="2610000"/>
    <n v="1440000"/>
  </r>
  <r>
    <s v="SLS-05"/>
    <s v="TRX-2025-0233"/>
    <d v="2025-04-20T00:00:00"/>
    <x v="3"/>
    <x v="2"/>
    <s v="Semarang"/>
    <s v="Minyak Goreng Sawit 2L"/>
    <s v="F&amp;B"/>
    <n v="36000"/>
    <n v="31000"/>
    <n v="18"/>
    <n v="648000"/>
    <n v="0.05"/>
    <n v="32400"/>
    <n v="615600"/>
    <n v="558000"/>
    <n v="57600"/>
  </r>
  <r>
    <s v="SLS-08"/>
    <s v="TRX-2025-0234"/>
    <d v="2025-08-20T00:00:00"/>
    <x v="6"/>
    <x v="2"/>
    <s v="Yogyakarta"/>
    <s v="Mechanical Keyboard RGB"/>
    <s v="Elektronik"/>
    <n v="750000"/>
    <n v="520000"/>
    <n v="2"/>
    <n v="1500000"/>
    <n v="0.1"/>
    <n v="150000"/>
    <n v="1350000"/>
    <n v="1040000"/>
    <n v="310000"/>
  </r>
  <r>
    <s v="SLS-05"/>
    <s v="TRX-2025-0235"/>
    <d v="2025-10-09T00:00:00"/>
    <x v="3"/>
    <x v="2"/>
    <s v="Semarang"/>
    <s v="Kopi Arabika Gayo 250g"/>
    <s v="F&amp;B"/>
    <n v="85000"/>
    <n v="55000"/>
    <n v="30"/>
    <n v="2550000"/>
    <n v="0.05"/>
    <n v="127500"/>
    <n v="2422500"/>
    <n v="1650000"/>
    <n v="772500"/>
  </r>
  <r>
    <s v="SLS-03"/>
    <s v="TRX-2025-0236"/>
    <d v="2025-03-04T00:00:00"/>
    <x v="5"/>
    <x v="0"/>
    <s v="Bandung"/>
    <s v="Monitor 24&quot; FHD 144Hz"/>
    <s v="Elektronik"/>
    <n v="1950000"/>
    <n v="1500000"/>
    <n v="4"/>
    <n v="7800000"/>
    <n v="0.15"/>
    <n v="1170000"/>
    <n v="6630000"/>
    <n v="6000000"/>
    <n v="630000"/>
  </r>
  <r>
    <s v="SLS-03"/>
    <s v="TRX-2025-0237"/>
    <d v="2025-08-28T00:00:00"/>
    <x v="5"/>
    <x v="0"/>
    <s v="Bandung"/>
    <s v="Wajan Anti Lengket 28cm"/>
    <s v="Peralatan Rumah"/>
    <n v="210000"/>
    <n v="140000"/>
    <n v="10"/>
    <n v="2100000"/>
    <n v="0"/>
    <n v="0"/>
    <n v="2100000"/>
    <n v="1400000"/>
    <n v="700000"/>
  </r>
  <r>
    <s v="SLS-07"/>
    <s v="TRX-2025-0238"/>
    <d v="2025-09-03T00:00:00"/>
    <x v="7"/>
    <x v="2"/>
    <s v="Denpasar"/>
    <s v="Kopi Arabika Gayo 250g"/>
    <s v="F&amp;B"/>
    <n v="85000"/>
    <n v="55000"/>
    <n v="29"/>
    <n v="2465000"/>
    <n v="0.2"/>
    <n v="493000"/>
    <n v="1972000"/>
    <n v="1595000"/>
    <n v="377000"/>
  </r>
  <r>
    <s v="SLS-08"/>
    <s v="TRX-2025-0239"/>
    <d v="2025-11-25T00:00:00"/>
    <x v="6"/>
    <x v="2"/>
    <s v="Yogyakarta"/>
    <s v="Wireless Mouse Ergonomic"/>
    <s v="Elektronik"/>
    <n v="250000"/>
    <n v="160000"/>
    <n v="8"/>
    <n v="2000000"/>
    <n v="0.2"/>
    <n v="400000"/>
    <n v="1600000"/>
    <n v="1280000"/>
    <n v="320000"/>
  </r>
  <r>
    <s v="SLS-01"/>
    <s v="TRX-2025-0240"/>
    <d v="2025-03-08T00:00:00"/>
    <x v="0"/>
    <x v="0"/>
    <s v="Jakarta"/>
    <s v="Jaket Hoodie Casual"/>
    <s v="Fashion"/>
    <n v="350000"/>
    <n v="220000"/>
    <n v="2"/>
    <n v="700000"/>
    <n v="0.2"/>
    <n v="140000"/>
    <n v="560000"/>
    <n v="440000"/>
    <n v="120000"/>
  </r>
  <r>
    <s v="SLS-04"/>
    <s v="TRX-2025-0241"/>
    <d v="2025-03-24T00:00:00"/>
    <x v="4"/>
    <x v="0"/>
    <s v="Medan"/>
    <s v="Celana Chino Slim Fit"/>
    <s v="Fashion"/>
    <n v="280000"/>
    <n v="175000"/>
    <n v="6"/>
    <n v="1680000"/>
    <n v="0.2"/>
    <n v="336000"/>
    <n v="1344000"/>
    <n v="1050000"/>
    <n v="294000"/>
  </r>
  <r>
    <s v="SLS-05"/>
    <s v="TRX-2025-0242"/>
    <d v="2025-04-11T00:00:00"/>
    <x v="3"/>
    <x v="2"/>
    <s v="Semarang"/>
    <s v="Beras Premium 5kg"/>
    <s v="F&amp;B"/>
    <n v="74000"/>
    <n v="65000"/>
    <n v="23"/>
    <n v="1702000"/>
    <n v="0.1"/>
    <n v="170200"/>
    <n v="1531800"/>
    <n v="1495000"/>
    <n v="36800"/>
  </r>
  <r>
    <s v="SLS-03"/>
    <s v="TRX-2025-0243"/>
    <d v="2025-10-31T00:00:00"/>
    <x v="5"/>
    <x v="0"/>
    <s v="Bandung"/>
    <s v="Minyak Goreng Sawit 2L"/>
    <s v="F&amp;B"/>
    <n v="36000"/>
    <n v="31000"/>
    <n v="24"/>
    <n v="864000"/>
    <n v="0.2"/>
    <n v="172800"/>
    <n v="691200"/>
    <n v="744000"/>
    <n v="-52800"/>
  </r>
  <r>
    <s v="SLS-01"/>
    <s v="TRX-2025-0244"/>
    <d v="2025-01-15T00:00:00"/>
    <x v="0"/>
    <x v="0"/>
    <s v="Jakarta"/>
    <s v="Wireless Mouse Ergonomic"/>
    <s v="Elektronik"/>
    <n v="250000"/>
    <n v="160000"/>
    <n v="11"/>
    <n v="2750000"/>
    <n v="0.2"/>
    <n v="550000"/>
    <n v="2200000"/>
    <n v="1760000"/>
    <n v="440000"/>
  </r>
  <r>
    <s v="SLS-01"/>
    <s v="TRX-2025-0245"/>
    <d v="2025-10-20T00:00:00"/>
    <x v="0"/>
    <x v="0"/>
    <s v="Jakarta"/>
    <s v="Jaket Hoodie Casual"/>
    <s v="Fashion"/>
    <n v="350000"/>
    <n v="220000"/>
    <n v="8"/>
    <n v="2800000"/>
    <n v="0.2"/>
    <n v="560000"/>
    <n v="2240000"/>
    <n v="1760000"/>
    <n v="480000"/>
  </r>
  <r>
    <s v="SLS-07"/>
    <s v="TRX-2025-0246"/>
    <d v="2025-09-05T00:00:00"/>
    <x v="7"/>
    <x v="2"/>
    <s v="Denpasar"/>
    <s v="Monitor 24&quot; FHD 144Hz"/>
    <s v="Elektronik"/>
    <n v="1950000"/>
    <n v="1500000"/>
    <n v="5"/>
    <n v="9750000"/>
    <n v="0.15"/>
    <n v="1462500"/>
    <n v="8287500"/>
    <n v="7500000"/>
    <n v="787500"/>
  </r>
  <r>
    <s v="SLS-07"/>
    <s v="TRX-2025-0247"/>
    <d v="2025-03-22T00:00:00"/>
    <x v="7"/>
    <x v="2"/>
    <s v="Denpasar"/>
    <s v="Sepatu Sneakers Pria/Wanita"/>
    <s v="Fashion"/>
    <n v="450000"/>
    <n v="290000"/>
    <n v="8"/>
    <n v="3600000"/>
    <n v="0.15"/>
    <n v="540000"/>
    <n v="3060000"/>
    <n v="2320000"/>
    <n v="740000"/>
  </r>
  <r>
    <s v="SLS-06"/>
    <s v="TRX-2025-0248"/>
    <d v="2025-06-10T00:00:00"/>
    <x v="2"/>
    <x v="1"/>
    <s v="Makassar"/>
    <s v="Blender Multifungsi 2-in-1"/>
    <s v="Peralatan Rumah"/>
    <n v="340000"/>
    <n v="240000"/>
    <n v="12"/>
    <n v="4080000"/>
    <n v="0.1"/>
    <n v="408000"/>
    <n v="3672000"/>
    <n v="2880000"/>
    <n v="792000"/>
  </r>
  <r>
    <s v="SLS-02"/>
    <s v="TRX-2025-0249"/>
    <d v="2025-09-21T00:00:00"/>
    <x v="1"/>
    <x v="1"/>
    <s v="Surabaya"/>
    <s v="Kopi Arabika Gayo 250g"/>
    <s v="F&amp;B"/>
    <n v="85000"/>
    <n v="55000"/>
    <n v="10"/>
    <n v="850000"/>
    <n v="0.15"/>
    <n v="127500"/>
    <n v="722500"/>
    <n v="550000"/>
    <n v="172500"/>
  </r>
  <r>
    <s v="SLS-02"/>
    <s v="TRX-2025-0250"/>
    <d v="2025-05-07T00:00:00"/>
    <x v="1"/>
    <x v="1"/>
    <s v="Surabaya"/>
    <s v="Mechanical Keyboard RGB"/>
    <s v="Elektronik"/>
    <n v="750000"/>
    <n v="520000"/>
    <n v="1"/>
    <n v="750000"/>
    <n v="0.1"/>
    <n v="75000"/>
    <n v="675000"/>
    <n v="520000"/>
    <n v="155000"/>
  </r>
  <r>
    <s v="SLS-03"/>
    <s v="TRX-2025-0251"/>
    <d v="2025-05-08T00:00:00"/>
    <x v="5"/>
    <x v="0"/>
    <s v="Bandung"/>
    <s v="Blender Multifungsi 2-in-1"/>
    <s v="Peralatan Rumah"/>
    <n v="340000"/>
    <n v="240000"/>
    <n v="6"/>
    <n v="2040000"/>
    <n v="0.2"/>
    <n v="408000"/>
    <n v="1632000"/>
    <n v="1440000"/>
    <n v="192000"/>
  </r>
  <r>
    <s v="SLS-08"/>
    <s v="TRX-2025-0252"/>
    <d v="2025-09-13T00:00:00"/>
    <x v="6"/>
    <x v="2"/>
    <s v="Yogyakarta"/>
    <s v="Kopi Arabika Gayo 250g"/>
    <s v="F&amp;B"/>
    <n v="85000"/>
    <n v="55000"/>
    <n v="12"/>
    <n v="1020000"/>
    <n v="0.15"/>
    <n v="153000"/>
    <n v="867000"/>
    <n v="660000"/>
    <n v="207000"/>
  </r>
  <r>
    <s v="SLS-04"/>
    <s v="TRX-2025-0253"/>
    <d v="2025-09-16T00:00:00"/>
    <x v="4"/>
    <x v="0"/>
    <s v="Medan"/>
    <s v="Sepatu Sneakers Pria/Wanita"/>
    <s v="Fashion"/>
    <n v="450000"/>
    <n v="290000"/>
    <n v="4"/>
    <n v="1800000"/>
    <n v="0.2"/>
    <n v="360000"/>
    <n v="1440000"/>
    <n v="1160000"/>
    <n v="280000"/>
  </r>
  <r>
    <s v="SLS-08"/>
    <s v="TRX-2025-0254"/>
    <d v="2025-05-25T00:00:00"/>
    <x v="6"/>
    <x v="2"/>
    <s v="Yogyakarta"/>
    <s v="Sepatu Sneakers Pria/Wanita"/>
    <s v="Fashion"/>
    <n v="450000"/>
    <n v="290000"/>
    <n v="5"/>
    <n v="2250000"/>
    <n v="0.2"/>
    <n v="450000"/>
    <n v="1800000"/>
    <n v="1450000"/>
    <n v="350000"/>
  </r>
  <r>
    <s v="SLS-05"/>
    <s v="TRX-2025-0255"/>
    <d v="2025-03-10T00:00:00"/>
    <x v="3"/>
    <x v="2"/>
    <s v="Semarang"/>
    <s v="Set Pisau Dapur Stainless"/>
    <s v="Peralatan Rumah"/>
    <n v="165000"/>
    <n v="105000"/>
    <n v="12"/>
    <n v="1980000"/>
    <n v="0.1"/>
    <n v="198000"/>
    <n v="1782000"/>
    <n v="1260000"/>
    <n v="522000"/>
  </r>
  <r>
    <s v="SLS-04"/>
    <s v="TRX-2025-0256"/>
    <d v="2025-07-25T00:00:00"/>
    <x v="4"/>
    <x v="0"/>
    <s v="Medan"/>
    <s v="Laptop Ultrabook 14&quot;"/>
    <s v="Elektronik"/>
    <n v="8500000"/>
    <n v="7200000"/>
    <n v="6"/>
    <n v="51000000"/>
    <n v="0.2"/>
    <n v="10200000"/>
    <n v="40800000"/>
    <n v="43200000"/>
    <n v="-2400000"/>
  </r>
  <r>
    <s v="SLS-05"/>
    <s v="TRX-2025-0257"/>
    <d v="2025-09-16T00:00:00"/>
    <x v="3"/>
    <x v="2"/>
    <s v="Semarang"/>
    <s v="Sepatu Sneakers Pria/Wanita"/>
    <s v="Fashion"/>
    <n v="450000"/>
    <n v="290000"/>
    <n v="10"/>
    <n v="4500000"/>
    <n v="0.2"/>
    <n v="900000"/>
    <n v="3600000"/>
    <n v="2900000"/>
    <n v="700000"/>
  </r>
  <r>
    <s v="SLS-06"/>
    <s v="TRX-2025-0258"/>
    <d v="2025-07-21T00:00:00"/>
    <x v="2"/>
    <x v="1"/>
    <s v="Makassar"/>
    <s v="Celana Chino Slim Fit"/>
    <s v="Fashion"/>
    <n v="280000"/>
    <n v="175000"/>
    <n v="9"/>
    <n v="2520000"/>
    <n v="0.1"/>
    <n v="252000"/>
    <n v="2268000"/>
    <n v="1575000"/>
    <n v="693000"/>
  </r>
  <r>
    <s v="SLS-01"/>
    <s v="TRX-2025-0259"/>
    <d v="2025-09-14T00:00:00"/>
    <x v="0"/>
    <x v="0"/>
    <s v="Jakarta"/>
    <s v="Laptop Ultrabook 14&quot;"/>
    <s v="Elektronik"/>
    <n v="8500000"/>
    <n v="7200000"/>
    <n v="1"/>
    <n v="8500000"/>
    <n v="0.05"/>
    <n v="425000"/>
    <n v="8075000"/>
    <n v="7200000"/>
    <n v="875000"/>
  </r>
  <r>
    <s v="SLS-03"/>
    <s v="TRX-2025-0260"/>
    <d v="2025-03-18T00:00:00"/>
    <x v="5"/>
    <x v="0"/>
    <s v="Bandung"/>
    <s v="Minyak Goreng Sawit 2L"/>
    <s v="F&amp;B"/>
    <n v="36000"/>
    <n v="31000"/>
    <n v="22"/>
    <n v="792000"/>
    <n v="0.1"/>
    <n v="79200"/>
    <n v="712800"/>
    <n v="682000"/>
    <n v="30800"/>
  </r>
  <r>
    <s v="SLS-08"/>
    <s v="TRX-2025-0261"/>
    <d v="2025-10-31T00:00:00"/>
    <x v="6"/>
    <x v="2"/>
    <s v="Yogyakarta"/>
    <s v="Celana Chino Slim Fit"/>
    <s v="Fashion"/>
    <n v="280000"/>
    <n v="175000"/>
    <n v="12"/>
    <n v="3360000"/>
    <n v="0.2"/>
    <n v="672000"/>
    <n v="2688000"/>
    <n v="2100000"/>
    <n v="588000"/>
  </r>
  <r>
    <s v="SLS-02"/>
    <s v="TRX-2025-0262"/>
    <d v="2025-07-08T00:00:00"/>
    <x v="1"/>
    <x v="1"/>
    <s v="Surabaya"/>
    <s v="Celana Chino Slim Fit"/>
    <s v="Fashion"/>
    <n v="280000"/>
    <n v="175000"/>
    <n v="7"/>
    <n v="1960000"/>
    <n v="0.2"/>
    <n v="392000"/>
    <n v="1568000"/>
    <n v="1225000"/>
    <n v="343000"/>
  </r>
  <r>
    <s v="SLS-05"/>
    <s v="TRX-2025-0263"/>
    <d v="2025-11-02T00:00:00"/>
    <x v="3"/>
    <x v="2"/>
    <s v="Semarang"/>
    <s v="Sepatu Sneakers Pria/Wanita"/>
    <s v="Fashion"/>
    <n v="450000"/>
    <n v="290000"/>
    <n v="11"/>
    <n v="4950000"/>
    <n v="0.2"/>
    <n v="990000"/>
    <n v="3960000"/>
    <n v="3190000"/>
    <n v="770000"/>
  </r>
  <r>
    <s v="SLS-03"/>
    <s v="TRX-2025-0264"/>
    <d v="2025-10-26T00:00:00"/>
    <x v="5"/>
    <x v="0"/>
    <s v="Bandung"/>
    <s v="Sepatu Sneakers Pria/Wanita"/>
    <s v="Fashion"/>
    <n v="450000"/>
    <n v="290000"/>
    <n v="9"/>
    <n v="4050000"/>
    <n v="0.2"/>
    <n v="810000"/>
    <n v="3240000"/>
    <n v="2610000"/>
    <n v="630000"/>
  </r>
  <r>
    <s v="SLS-02"/>
    <s v="TRX-2025-0265"/>
    <d v="2025-01-17T00:00:00"/>
    <x v="1"/>
    <x v="1"/>
    <s v="Surabaya"/>
    <s v="Minyak Goreng Sawit 2L"/>
    <s v="F&amp;B"/>
    <n v="36000"/>
    <n v="31000"/>
    <n v="3"/>
    <n v="108000"/>
    <n v="0.15"/>
    <n v="16200"/>
    <n v="91800"/>
    <n v="93000"/>
    <n v="-1200"/>
  </r>
  <r>
    <s v="SLS-04"/>
    <s v="TRX-2025-0266"/>
    <d v="2025-07-31T00:00:00"/>
    <x v="4"/>
    <x v="0"/>
    <s v="Medan"/>
    <s v="Susu UHT Full Cream 1L"/>
    <s v="F&amp;B"/>
    <n v="22000"/>
    <n v="18000"/>
    <n v="19"/>
    <n v="418000"/>
    <n v="0.2"/>
    <n v="83600"/>
    <n v="334400"/>
    <n v="342000"/>
    <n v="-7600"/>
  </r>
  <r>
    <s v="SLS-04"/>
    <s v="TRX-2025-0267"/>
    <d v="2025-12-28T00:00:00"/>
    <x v="4"/>
    <x v="0"/>
    <s v="Medan"/>
    <s v="Mechanical Keyboard RGB"/>
    <s v="Elektronik"/>
    <n v="750000"/>
    <n v="520000"/>
    <n v="9"/>
    <n v="6750000"/>
    <n v="0.1"/>
    <n v="675000"/>
    <n v="6075000"/>
    <n v="4680000"/>
    <n v="1395000"/>
  </r>
  <r>
    <s v="SLS-08"/>
    <s v="TRX-2025-0268"/>
    <d v="2025-06-10T00:00:00"/>
    <x v="6"/>
    <x v="2"/>
    <s v="Yogyakarta"/>
    <s v="Mechanical Keyboard RGB"/>
    <s v="Elektronik"/>
    <n v="750000"/>
    <n v="520000"/>
    <n v="9"/>
    <n v="6750000"/>
    <n v="0.1"/>
    <n v="675000"/>
    <n v="6075000"/>
    <n v="4680000"/>
    <n v="1395000"/>
  </r>
  <r>
    <s v="SLS-04"/>
    <s v="TRX-2025-0269"/>
    <d v="2025-11-09T00:00:00"/>
    <x v="4"/>
    <x v="0"/>
    <s v="Medan"/>
    <s v="Sepatu Sneakers Pria/Wanita"/>
    <s v="Fashion"/>
    <n v="450000"/>
    <n v="290000"/>
    <n v="4"/>
    <n v="1800000"/>
    <n v="0.1"/>
    <n v="180000"/>
    <n v="1620000"/>
    <n v="1160000"/>
    <n v="460000"/>
  </r>
  <r>
    <s v="SLS-04"/>
    <s v="TRX-2025-0270"/>
    <d v="2025-05-28T00:00:00"/>
    <x v="4"/>
    <x v="0"/>
    <s v="Medan"/>
    <s v="Susu UHT Full Cream 1L"/>
    <s v="F&amp;B"/>
    <n v="22000"/>
    <n v="18000"/>
    <n v="25"/>
    <n v="550000"/>
    <n v="0.15"/>
    <n v="82500"/>
    <n v="467500"/>
    <n v="450000"/>
    <n v="17500"/>
  </r>
  <r>
    <s v="SLS-05"/>
    <s v="TRX-2025-0271"/>
    <d v="2025-10-14T00:00:00"/>
    <x v="3"/>
    <x v="2"/>
    <s v="Semarang"/>
    <s v="Set Pisau Dapur Stainless"/>
    <s v="Peralatan Rumah"/>
    <n v="165000"/>
    <n v="105000"/>
    <n v="5"/>
    <n v="825000"/>
    <n v="0"/>
    <n v="0"/>
    <n v="825000"/>
    <n v="525000"/>
    <n v="300000"/>
  </r>
  <r>
    <s v="SLS-01"/>
    <s v="TRX-2025-0272"/>
    <d v="2025-03-16T00:00:00"/>
    <x v="0"/>
    <x v="0"/>
    <s v="Jakarta"/>
    <s v="Kemeja Batik Katun Premium"/>
    <s v="Fashion"/>
    <n v="320000"/>
    <n v="190000"/>
    <n v="5"/>
    <n v="1600000"/>
    <n v="0"/>
    <n v="0"/>
    <n v="1600000"/>
    <n v="950000"/>
    <n v="650000"/>
  </r>
  <r>
    <s v="SLS-04"/>
    <s v="TRX-2025-0273"/>
    <d v="2025-09-03T00:00:00"/>
    <x v="4"/>
    <x v="0"/>
    <s v="Medan"/>
    <s v="Monitor 24&quot; FHD 144Hz"/>
    <s v="Elektronik"/>
    <n v="1950000"/>
    <n v="1500000"/>
    <n v="9"/>
    <n v="17550000"/>
    <n v="0.1"/>
    <n v="1755000"/>
    <n v="15795000"/>
    <n v="13500000"/>
    <n v="2295000"/>
  </r>
  <r>
    <s v="SLS-04"/>
    <s v="TRX-2025-0274"/>
    <d v="2025-11-12T00:00:00"/>
    <x v="4"/>
    <x v="0"/>
    <s v="Medan"/>
    <s v="Susu UHT Full Cream 1L"/>
    <s v="F&amp;B"/>
    <n v="22000"/>
    <n v="18000"/>
    <n v="4"/>
    <n v="88000"/>
    <n v="0.2"/>
    <n v="17600"/>
    <n v="70400"/>
    <n v="72000"/>
    <n v="-1600"/>
  </r>
  <r>
    <s v="SLS-07"/>
    <s v="TRX-2025-0275"/>
    <d v="2025-01-27T00:00:00"/>
    <x v="7"/>
    <x v="2"/>
    <s v="Denpasar"/>
    <s v="Wireless Mouse Ergonomic"/>
    <s v="Elektronik"/>
    <n v="250000"/>
    <n v="160000"/>
    <n v="6"/>
    <n v="1500000"/>
    <n v="0.15"/>
    <n v="225000"/>
    <n v="1275000"/>
    <n v="960000"/>
    <n v="315000"/>
  </r>
  <r>
    <s v="SLS-03"/>
    <s v="TRX-2025-0276"/>
    <d v="2025-01-03T00:00:00"/>
    <x v="5"/>
    <x v="0"/>
    <s v="Bandung"/>
    <s v="Kopi Arabika Gayo 250g"/>
    <s v="F&amp;B"/>
    <n v="85000"/>
    <n v="55000"/>
    <n v="23"/>
    <n v="1955000"/>
    <n v="0.15"/>
    <n v="293250"/>
    <n v="1661750"/>
    <n v="1265000"/>
    <n v="396750"/>
  </r>
  <r>
    <s v="SLS-05"/>
    <s v="TRX-2025-0277"/>
    <d v="2025-05-28T00:00:00"/>
    <x v="3"/>
    <x v="2"/>
    <s v="Semarang"/>
    <s v="Celana Chino Slim Fit"/>
    <s v="Fashion"/>
    <n v="280000"/>
    <n v="175000"/>
    <n v="11"/>
    <n v="3080000"/>
    <n v="0"/>
    <n v="0"/>
    <n v="3080000"/>
    <n v="1925000"/>
    <n v="1155000"/>
  </r>
  <r>
    <s v="SLS-01"/>
    <s v="TRX-2025-0278"/>
    <d v="2025-10-01T00:00:00"/>
    <x v="0"/>
    <x v="0"/>
    <s v="Jakarta"/>
    <s v="Susu UHT Full Cream 1L"/>
    <s v="F&amp;B"/>
    <n v="22000"/>
    <n v="18000"/>
    <n v="16"/>
    <n v="352000"/>
    <n v="0.05"/>
    <n v="17600"/>
    <n v="334400"/>
    <n v="288000"/>
    <n v="46400"/>
  </r>
  <r>
    <s v="SLS-05"/>
    <s v="TRX-2025-0279"/>
    <d v="2025-04-06T00:00:00"/>
    <x v="3"/>
    <x v="2"/>
    <s v="Semarang"/>
    <s v="Set Pisau Dapur Stainless"/>
    <s v="Peralatan Rumah"/>
    <n v="165000"/>
    <n v="105000"/>
    <n v="1"/>
    <n v="165000"/>
    <n v="0"/>
    <n v="0"/>
    <n v="165000"/>
    <n v="105000"/>
    <n v="60000"/>
  </r>
  <r>
    <s v="SLS-08"/>
    <s v="TRX-2025-0280"/>
    <d v="2025-06-21T00:00:00"/>
    <x v="6"/>
    <x v="2"/>
    <s v="Yogyakarta"/>
    <s v="Kemeja Batik Katun Premium"/>
    <s v="Fashion"/>
    <n v="320000"/>
    <n v="190000"/>
    <n v="11"/>
    <n v="3520000"/>
    <n v="0.2"/>
    <n v="704000"/>
    <n v="2816000"/>
    <n v="2090000"/>
    <n v="726000"/>
  </r>
  <r>
    <s v="SLS-02"/>
    <s v="TRX-2025-0281"/>
    <d v="2025-05-20T00:00:00"/>
    <x v="1"/>
    <x v="1"/>
    <s v="Surabaya"/>
    <s v="Monitor 24&quot; FHD 144Hz"/>
    <s v="Elektronik"/>
    <n v="1950000"/>
    <n v="1500000"/>
    <n v="6"/>
    <n v="11700000"/>
    <n v="0.05"/>
    <n v="585000"/>
    <n v="11115000"/>
    <n v="9000000"/>
    <n v="2115000"/>
  </r>
  <r>
    <s v="SLS-06"/>
    <s v="TRX-2025-0282"/>
    <d v="2025-04-06T00:00:00"/>
    <x v="2"/>
    <x v="1"/>
    <s v="Makassar"/>
    <s v="Laptop Ultrabook 14&quot;"/>
    <s v="Elektronik"/>
    <n v="8500000"/>
    <n v="7200000"/>
    <n v="5"/>
    <n v="42500000"/>
    <n v="0.2"/>
    <n v="8500000"/>
    <n v="34000000"/>
    <n v="36000000"/>
    <n v="-2000000"/>
  </r>
  <r>
    <s v="SLS-06"/>
    <s v="TRX-2025-0283"/>
    <d v="2025-08-07T00:00:00"/>
    <x v="2"/>
    <x v="1"/>
    <s v="Makassar"/>
    <s v="Kopi Arabika Gayo 250g"/>
    <s v="F&amp;B"/>
    <n v="85000"/>
    <n v="55000"/>
    <n v="15"/>
    <n v="1275000"/>
    <n v="0"/>
    <n v="0"/>
    <n v="1275000"/>
    <n v="825000"/>
    <n v="450000"/>
  </r>
  <r>
    <s v="SLS-04"/>
    <s v="TRX-2025-0284"/>
    <d v="2025-06-15T00:00:00"/>
    <x v="4"/>
    <x v="0"/>
    <s v="Medan"/>
    <s v="Set Pisau Dapur Stainless"/>
    <s v="Peralatan Rumah"/>
    <n v="165000"/>
    <n v="105000"/>
    <n v="1"/>
    <n v="165000"/>
    <n v="0.1"/>
    <n v="16500"/>
    <n v="148500"/>
    <n v="105000"/>
    <n v="43500"/>
  </r>
  <r>
    <s v="SLS-05"/>
    <s v="TRX-2025-0285"/>
    <d v="2025-05-17T00:00:00"/>
    <x v="3"/>
    <x v="2"/>
    <s v="Semarang"/>
    <s v="Celana Chino Slim Fit"/>
    <s v="Fashion"/>
    <n v="280000"/>
    <n v="175000"/>
    <n v="10"/>
    <n v="2800000"/>
    <n v="0.2"/>
    <n v="560000"/>
    <n v="2240000"/>
    <n v="1750000"/>
    <n v="490000"/>
  </r>
  <r>
    <s v="SLS-01"/>
    <s v="TRX-2025-0286"/>
    <d v="2025-12-21T00:00:00"/>
    <x v="0"/>
    <x v="0"/>
    <s v="Jakarta"/>
    <s v="Monitor 24&quot; FHD 144Hz"/>
    <s v="Elektronik"/>
    <n v="1950000"/>
    <n v="1500000"/>
    <n v="11"/>
    <n v="21450000"/>
    <n v="0"/>
    <n v="0"/>
    <n v="21450000"/>
    <n v="16500000"/>
    <n v="4950000"/>
  </r>
  <r>
    <s v="SLS-05"/>
    <s v="TRX-2025-0287"/>
    <d v="2025-07-27T00:00:00"/>
    <x v="3"/>
    <x v="2"/>
    <s v="Semarang"/>
    <s v="Beras Premium 5kg"/>
    <s v="F&amp;B"/>
    <n v="74000"/>
    <n v="65000"/>
    <n v="6"/>
    <n v="444000"/>
    <n v="0.1"/>
    <n v="44400"/>
    <n v="399600"/>
    <n v="390000"/>
    <n v="9600"/>
  </r>
  <r>
    <s v="SLS-08"/>
    <s v="TRX-2025-0288"/>
    <d v="2025-04-23T00:00:00"/>
    <x v="6"/>
    <x v="2"/>
    <s v="Yogyakarta"/>
    <s v="Mechanical Keyboard RGB"/>
    <s v="Elektronik"/>
    <n v="750000"/>
    <n v="520000"/>
    <n v="3"/>
    <n v="2250000"/>
    <n v="0.15"/>
    <n v="337500"/>
    <n v="1912500"/>
    <n v="1560000"/>
    <n v="352500"/>
  </r>
  <r>
    <s v="SLS-04"/>
    <s v="TRX-2025-0289"/>
    <d v="2025-10-03T00:00:00"/>
    <x v="4"/>
    <x v="0"/>
    <s v="Medan"/>
    <s v="Wajan Anti Lengket 28cm"/>
    <s v="Peralatan Rumah"/>
    <n v="210000"/>
    <n v="140000"/>
    <n v="4"/>
    <n v="840000"/>
    <n v="0.2"/>
    <n v="168000"/>
    <n v="672000"/>
    <n v="560000"/>
    <n v="112000"/>
  </r>
  <r>
    <s v="SLS-06"/>
    <s v="TRX-2025-0290"/>
    <d v="2025-09-28T00:00:00"/>
    <x v="2"/>
    <x v="1"/>
    <s v="Makassar"/>
    <s v="Susu UHT Full Cream 1L"/>
    <s v="F&amp;B"/>
    <n v="22000"/>
    <n v="18000"/>
    <n v="21"/>
    <n v="462000"/>
    <n v="0"/>
    <n v="0"/>
    <n v="462000"/>
    <n v="378000"/>
    <n v="84000"/>
  </r>
  <r>
    <s v="SLS-03"/>
    <s v="TRX-2025-0291"/>
    <d v="2025-10-21T00:00:00"/>
    <x v="5"/>
    <x v="0"/>
    <s v="Bandung"/>
    <s v="Kopi Arabika Gayo 250g"/>
    <s v="F&amp;B"/>
    <n v="85000"/>
    <n v="55000"/>
    <n v="13"/>
    <n v="1105000"/>
    <n v="0.2"/>
    <n v="221000"/>
    <n v="884000"/>
    <n v="715000"/>
    <n v="169000"/>
  </r>
  <r>
    <s v="SLS-02"/>
    <s v="TRX-2025-0292"/>
    <d v="2025-10-26T00:00:00"/>
    <x v="1"/>
    <x v="1"/>
    <s v="Surabaya"/>
    <s v="Sepatu Sneakers Pria/Wanita"/>
    <s v="Fashion"/>
    <n v="450000"/>
    <n v="290000"/>
    <n v="9"/>
    <n v="4050000"/>
    <n v="0.15"/>
    <n v="607500"/>
    <n v="3442500"/>
    <n v="2610000"/>
    <n v="832500"/>
  </r>
  <r>
    <s v="SLS-08"/>
    <s v="TRX-2025-0293"/>
    <d v="2025-09-20T00:00:00"/>
    <x v="6"/>
    <x v="2"/>
    <s v="Yogyakarta"/>
    <s v="Jaket Hoodie Casual"/>
    <s v="Fashion"/>
    <n v="350000"/>
    <n v="220000"/>
    <n v="10"/>
    <n v="3500000"/>
    <n v="0"/>
    <n v="0"/>
    <n v="3500000"/>
    <n v="2200000"/>
    <n v="1300000"/>
  </r>
  <r>
    <s v="SLS-05"/>
    <s v="TRX-2025-0294"/>
    <d v="2025-01-12T00:00:00"/>
    <x v="3"/>
    <x v="2"/>
    <s v="Semarang"/>
    <s v="Jaket Hoodie Casual"/>
    <s v="Fashion"/>
    <n v="350000"/>
    <n v="220000"/>
    <n v="1"/>
    <n v="350000"/>
    <n v="0.05"/>
    <n v="17500"/>
    <n v="332500"/>
    <n v="220000"/>
    <n v="112500"/>
  </r>
  <r>
    <s v="SLS-02"/>
    <s v="TRX-2025-0295"/>
    <d v="2025-06-26T00:00:00"/>
    <x v="1"/>
    <x v="1"/>
    <s v="Surabaya"/>
    <s v="Susu UHT Full Cream 1L"/>
    <s v="F&amp;B"/>
    <n v="22000"/>
    <n v="18000"/>
    <n v="4"/>
    <n v="88000"/>
    <n v="0"/>
    <n v="0"/>
    <n v="88000"/>
    <n v="72000"/>
    <n v="16000"/>
  </r>
  <r>
    <s v="SLS-03"/>
    <s v="TRX-2025-0296"/>
    <d v="2025-07-29T00:00:00"/>
    <x v="5"/>
    <x v="0"/>
    <s v="Bandung"/>
    <s v="Mechanical Keyboard RGB"/>
    <s v="Elektronik"/>
    <n v="750000"/>
    <n v="520000"/>
    <n v="11"/>
    <n v="8250000"/>
    <n v="0.15"/>
    <n v="1237500"/>
    <n v="7012500"/>
    <n v="5720000"/>
    <n v="1292500"/>
  </r>
  <r>
    <s v="SLS-02"/>
    <s v="TRX-2025-0297"/>
    <d v="2025-07-13T00:00:00"/>
    <x v="1"/>
    <x v="1"/>
    <s v="Surabaya"/>
    <s v="Jaket Hoodie Casual"/>
    <s v="Fashion"/>
    <n v="350000"/>
    <n v="220000"/>
    <n v="11"/>
    <n v="3850000"/>
    <n v="0.2"/>
    <n v="770000"/>
    <n v="3080000"/>
    <n v="2420000"/>
    <n v="660000"/>
  </r>
  <r>
    <s v="SLS-07"/>
    <s v="TRX-2025-0298"/>
    <d v="2025-03-02T00:00:00"/>
    <x v="7"/>
    <x v="2"/>
    <s v="Denpasar"/>
    <s v="Mechanical Keyboard RGB"/>
    <s v="Elektronik"/>
    <n v="750000"/>
    <n v="520000"/>
    <n v="9"/>
    <n v="6750000"/>
    <n v="0.05"/>
    <n v="337500"/>
    <n v="6412500"/>
    <n v="4680000"/>
    <n v="1732500"/>
  </r>
  <r>
    <s v="SLS-07"/>
    <s v="TRX-2025-0299"/>
    <d v="2025-06-02T00:00:00"/>
    <x v="7"/>
    <x v="2"/>
    <s v="Denpasar"/>
    <s v="Sepatu Sneakers Pria/Wanita"/>
    <s v="Fashion"/>
    <n v="450000"/>
    <n v="290000"/>
    <n v="9"/>
    <n v="4050000"/>
    <n v="0.15"/>
    <n v="607500"/>
    <n v="3442500"/>
    <n v="2610000"/>
    <n v="832500"/>
  </r>
  <r>
    <s v="SLS-05"/>
    <s v="TRX-2025-0300"/>
    <d v="2025-06-27T00:00:00"/>
    <x v="3"/>
    <x v="2"/>
    <s v="Semarang"/>
    <s v="Mechanical Keyboard RGB"/>
    <s v="Elektronik"/>
    <n v="750000"/>
    <n v="520000"/>
    <n v="4"/>
    <n v="3000000"/>
    <n v="0"/>
    <n v="0"/>
    <n v="3000000"/>
    <n v="2080000"/>
    <n v="920000"/>
  </r>
  <r>
    <s v="SLS-01"/>
    <s v="TRX-2025-0301"/>
    <d v="2025-11-11T00:00:00"/>
    <x v="0"/>
    <x v="0"/>
    <s v="Jakarta"/>
    <s v="Wajan Anti Lengket 28cm"/>
    <s v="Peralatan Rumah"/>
    <n v="210000"/>
    <n v="140000"/>
    <n v="4"/>
    <n v="840000"/>
    <n v="0.05"/>
    <n v="42000"/>
    <n v="798000"/>
    <n v="560000"/>
    <n v="238000"/>
  </r>
  <r>
    <s v="SLS-01"/>
    <s v="TRX-2025-0302"/>
    <d v="2025-08-17T00:00:00"/>
    <x v="0"/>
    <x v="0"/>
    <s v="Jakarta"/>
    <s v="Minyak Goreng Sawit 2L"/>
    <s v="F&amp;B"/>
    <n v="36000"/>
    <n v="31000"/>
    <n v="26"/>
    <n v="936000"/>
    <n v="0"/>
    <n v="0"/>
    <n v="936000"/>
    <n v="806000"/>
    <n v="130000"/>
  </r>
  <r>
    <s v="SLS-01"/>
    <s v="TRX-2025-0303"/>
    <d v="2025-10-04T00:00:00"/>
    <x v="0"/>
    <x v="0"/>
    <s v="Jakarta"/>
    <s v="Monitor 24&quot; FHD 144Hz"/>
    <s v="Elektronik"/>
    <n v="1950000"/>
    <n v="1500000"/>
    <n v="3"/>
    <n v="5850000"/>
    <n v="0.2"/>
    <n v="1170000"/>
    <n v="4680000"/>
    <n v="4500000"/>
    <n v="180000"/>
  </r>
  <r>
    <s v="SLS-06"/>
    <s v="TRX-2025-0304"/>
    <d v="2025-10-23T00:00:00"/>
    <x v="2"/>
    <x v="1"/>
    <s v="Makassar"/>
    <s v="Minyak Goreng Sawit 2L"/>
    <s v="F&amp;B"/>
    <n v="36000"/>
    <n v="31000"/>
    <n v="12"/>
    <n v="432000"/>
    <n v="0.05"/>
    <n v="21600"/>
    <n v="410400"/>
    <n v="372000"/>
    <n v="38400"/>
  </r>
  <r>
    <s v="SLS-03"/>
    <s v="TRX-2025-0305"/>
    <d v="2025-05-21T00:00:00"/>
    <x v="5"/>
    <x v="0"/>
    <s v="Bandung"/>
    <s v="Laptop Ultrabook 14&quot;"/>
    <s v="Elektronik"/>
    <n v="8500000"/>
    <n v="7200000"/>
    <n v="11"/>
    <n v="93500000"/>
    <n v="0.15"/>
    <n v="14025000"/>
    <n v="79475000"/>
    <n v="79200000"/>
    <n v="275000"/>
  </r>
  <r>
    <s v="SLS-07"/>
    <s v="TRX-2025-0306"/>
    <d v="2025-11-26T00:00:00"/>
    <x v="7"/>
    <x v="2"/>
    <s v="Denpasar"/>
    <s v="Beras Premium 5kg"/>
    <s v="F&amp;B"/>
    <n v="74000"/>
    <n v="65000"/>
    <n v="13"/>
    <n v="962000"/>
    <n v="0.15"/>
    <n v="144300"/>
    <n v="817700"/>
    <n v="845000"/>
    <n v="-27300"/>
  </r>
  <r>
    <s v="SLS-08"/>
    <s v="TRX-2025-0307"/>
    <d v="2025-07-12T00:00:00"/>
    <x v="6"/>
    <x v="2"/>
    <s v="Yogyakarta"/>
    <s v="Mechanical Keyboard RGB"/>
    <s v="Elektronik"/>
    <n v="750000"/>
    <n v="520000"/>
    <n v="4"/>
    <n v="3000000"/>
    <n v="0.05"/>
    <n v="150000"/>
    <n v="2850000"/>
    <n v="2080000"/>
    <n v="770000"/>
  </r>
  <r>
    <s v="SLS-01"/>
    <s v="TRX-2025-0308"/>
    <d v="2025-08-26T00:00:00"/>
    <x v="0"/>
    <x v="0"/>
    <s v="Jakarta"/>
    <s v="Set Pisau Dapur Stainless"/>
    <s v="Peralatan Rumah"/>
    <n v="165000"/>
    <n v="105000"/>
    <n v="9"/>
    <n v="1485000"/>
    <n v="0.15"/>
    <n v="222750"/>
    <n v="1262250"/>
    <n v="945000"/>
    <n v="317250"/>
  </r>
  <r>
    <s v="SLS-05"/>
    <s v="TRX-2025-0309"/>
    <d v="2025-07-18T00:00:00"/>
    <x v="3"/>
    <x v="2"/>
    <s v="Semarang"/>
    <s v="Monitor 24&quot; FHD 144Hz"/>
    <s v="Elektronik"/>
    <n v="1950000"/>
    <n v="1500000"/>
    <n v="4"/>
    <n v="7800000"/>
    <n v="0.1"/>
    <n v="780000"/>
    <n v="7020000"/>
    <n v="6000000"/>
    <n v="1020000"/>
  </r>
  <r>
    <s v="SLS-04"/>
    <s v="TRX-2025-0310"/>
    <d v="2025-02-17T00:00:00"/>
    <x v="4"/>
    <x v="0"/>
    <s v="Medan"/>
    <s v="Kopi Arabika Gayo 250g"/>
    <s v="F&amp;B"/>
    <n v="85000"/>
    <n v="55000"/>
    <n v="11"/>
    <n v="935000"/>
    <n v="0.15"/>
    <n v="140250"/>
    <n v="794750"/>
    <n v="605000"/>
    <n v="189750"/>
  </r>
  <r>
    <s v="SLS-04"/>
    <s v="TRX-2025-0311"/>
    <d v="2025-10-28T00:00:00"/>
    <x v="4"/>
    <x v="0"/>
    <s v="Medan"/>
    <s v="Susu UHT Full Cream 1L"/>
    <s v="F&amp;B"/>
    <n v="22000"/>
    <n v="18000"/>
    <n v="9"/>
    <n v="198000"/>
    <n v="0.1"/>
    <n v="19800"/>
    <n v="178200"/>
    <n v="162000"/>
    <n v="16200"/>
  </r>
  <r>
    <s v="SLS-02"/>
    <s v="TRX-2025-0312"/>
    <d v="2025-04-08T00:00:00"/>
    <x v="1"/>
    <x v="1"/>
    <s v="Surabaya"/>
    <s v="Susu UHT Full Cream 1L"/>
    <s v="F&amp;B"/>
    <n v="22000"/>
    <n v="18000"/>
    <n v="27"/>
    <n v="594000"/>
    <n v="0.15"/>
    <n v="89100"/>
    <n v="504900"/>
    <n v="486000"/>
    <n v="18900"/>
  </r>
  <r>
    <s v="SLS-04"/>
    <s v="TRX-2025-0313"/>
    <d v="2025-07-23T00:00:00"/>
    <x v="4"/>
    <x v="0"/>
    <s v="Medan"/>
    <s v="Set Pisau Dapur Stainless"/>
    <s v="Peralatan Rumah"/>
    <n v="165000"/>
    <n v="105000"/>
    <n v="9"/>
    <n v="1485000"/>
    <n v="0.1"/>
    <n v="148500"/>
    <n v="1336500"/>
    <n v="945000"/>
    <n v="391500"/>
  </r>
  <r>
    <s v="SLS-06"/>
    <s v="TRX-2025-0314"/>
    <d v="2025-10-01T00:00:00"/>
    <x v="2"/>
    <x v="1"/>
    <s v="Makassar"/>
    <s v="Beras Premium 5kg"/>
    <s v="F&amp;B"/>
    <n v="74000"/>
    <n v="65000"/>
    <n v="11"/>
    <n v="814000"/>
    <n v="0.1"/>
    <n v="81400"/>
    <n v="732600"/>
    <n v="715000"/>
    <n v="17600"/>
  </r>
  <r>
    <s v="SLS-06"/>
    <s v="TRX-2025-0315"/>
    <d v="2025-08-29T00:00:00"/>
    <x v="2"/>
    <x v="1"/>
    <s v="Makassar"/>
    <s v="Wajan Anti Lengket 28cm"/>
    <s v="Peralatan Rumah"/>
    <n v="210000"/>
    <n v="140000"/>
    <n v="4"/>
    <n v="840000"/>
    <n v="0.1"/>
    <n v="84000"/>
    <n v="756000"/>
    <n v="560000"/>
    <n v="196000"/>
  </r>
  <r>
    <s v="SLS-04"/>
    <s v="TRX-2025-0316"/>
    <d v="2025-10-16T00:00:00"/>
    <x v="4"/>
    <x v="0"/>
    <s v="Medan"/>
    <s v="Blender Multifungsi 2-in-1"/>
    <s v="Peralatan Rumah"/>
    <n v="340000"/>
    <n v="240000"/>
    <n v="12"/>
    <n v="4080000"/>
    <n v="0.05"/>
    <n v="204000"/>
    <n v="3876000"/>
    <n v="2880000"/>
    <n v="996000"/>
  </r>
  <r>
    <s v="SLS-04"/>
    <s v="TRX-2025-0317"/>
    <d v="2025-06-01T00:00:00"/>
    <x v="4"/>
    <x v="0"/>
    <s v="Medan"/>
    <s v="Mechanical Keyboard RGB"/>
    <s v="Elektronik"/>
    <n v="750000"/>
    <n v="520000"/>
    <n v="6"/>
    <n v="4500000"/>
    <n v="0.05"/>
    <n v="225000"/>
    <n v="4275000"/>
    <n v="3120000"/>
    <n v="1155000"/>
  </r>
  <r>
    <s v="SLS-06"/>
    <s v="TRX-2025-0318"/>
    <d v="2025-09-13T00:00:00"/>
    <x v="2"/>
    <x v="1"/>
    <s v="Makassar"/>
    <s v="Kopi Arabika Gayo 250g"/>
    <s v="F&amp;B"/>
    <n v="85000"/>
    <n v="55000"/>
    <n v="27"/>
    <n v="2295000"/>
    <n v="0.15"/>
    <n v="344250"/>
    <n v="1950750"/>
    <n v="1485000"/>
    <n v="465750"/>
  </r>
  <r>
    <s v="SLS-03"/>
    <s v="TRX-2025-0319"/>
    <d v="2025-06-30T00:00:00"/>
    <x v="5"/>
    <x v="0"/>
    <s v="Bandung"/>
    <s v="Mechanical Keyboard RGB"/>
    <s v="Elektronik"/>
    <n v="750000"/>
    <n v="520000"/>
    <n v="12"/>
    <n v="9000000"/>
    <n v="0.2"/>
    <n v="1800000"/>
    <n v="7200000"/>
    <n v="6240000"/>
    <n v="960000"/>
  </r>
  <r>
    <s v="SLS-02"/>
    <s v="TRX-2025-0320"/>
    <d v="2025-09-26T00:00:00"/>
    <x v="1"/>
    <x v="1"/>
    <s v="Surabaya"/>
    <s v="Laptop Ultrabook 14&quot;"/>
    <s v="Elektronik"/>
    <n v="8500000"/>
    <n v="7200000"/>
    <n v="11"/>
    <n v="93500000"/>
    <n v="0"/>
    <n v="0"/>
    <n v="93500000"/>
    <n v="79200000"/>
    <n v="14300000"/>
  </r>
  <r>
    <s v="SLS-02"/>
    <s v="TRX-2025-0321"/>
    <d v="2025-11-19T00:00:00"/>
    <x v="1"/>
    <x v="1"/>
    <s v="Surabaya"/>
    <s v="Monitor 24&quot; FHD 144Hz"/>
    <s v="Elektronik"/>
    <n v="1950000"/>
    <n v="1500000"/>
    <n v="12"/>
    <n v="23400000"/>
    <n v="0.05"/>
    <n v="1170000"/>
    <n v="22230000"/>
    <n v="18000000"/>
    <n v="4230000"/>
  </r>
  <r>
    <s v="SLS-08"/>
    <s v="TRX-2025-0322"/>
    <d v="2025-07-11T00:00:00"/>
    <x v="6"/>
    <x v="2"/>
    <s v="Yogyakarta"/>
    <s v="Laptop Ultrabook 14&quot;"/>
    <s v="Elektronik"/>
    <n v="8500000"/>
    <n v="7200000"/>
    <n v="11"/>
    <n v="93500000"/>
    <n v="0.15"/>
    <n v="14025000"/>
    <n v="79475000"/>
    <n v="79200000"/>
    <n v="275000"/>
  </r>
  <r>
    <s v="SLS-05"/>
    <s v="TRX-2025-0323"/>
    <d v="2025-01-07T00:00:00"/>
    <x v="3"/>
    <x v="2"/>
    <s v="Semarang"/>
    <s v="Laptop Ultrabook 14&quot;"/>
    <s v="Elektronik"/>
    <n v="8500000"/>
    <n v="7200000"/>
    <n v="9"/>
    <n v="76500000"/>
    <n v="0.1"/>
    <n v="7650000"/>
    <n v="68850000"/>
    <n v="64800000"/>
    <n v="4050000"/>
  </r>
  <r>
    <s v="SLS-02"/>
    <s v="TRX-2025-0324"/>
    <d v="2025-04-02T00:00:00"/>
    <x v="1"/>
    <x v="1"/>
    <s v="Surabaya"/>
    <s v="Wireless Mouse Ergonomic"/>
    <s v="Elektronik"/>
    <n v="250000"/>
    <n v="160000"/>
    <n v="9"/>
    <n v="2250000"/>
    <n v="0.05"/>
    <n v="112500"/>
    <n v="2137500"/>
    <n v="1440000"/>
    <n v="697500"/>
  </r>
  <r>
    <s v="SLS-07"/>
    <s v="TRX-2025-0325"/>
    <d v="2025-07-01T00:00:00"/>
    <x v="7"/>
    <x v="2"/>
    <s v="Denpasar"/>
    <s v="Kemeja Batik Katun Premium"/>
    <s v="Fashion"/>
    <n v="320000"/>
    <n v="190000"/>
    <n v="2"/>
    <n v="640000"/>
    <n v="0.1"/>
    <n v="64000"/>
    <n v="576000"/>
    <n v="380000"/>
    <n v="196000"/>
  </r>
  <r>
    <s v="SLS-05"/>
    <s v="TRX-2025-0326"/>
    <d v="2025-12-23T00:00:00"/>
    <x v="3"/>
    <x v="2"/>
    <s v="Semarang"/>
    <s v="Monitor 24&quot; FHD 144Hz"/>
    <s v="Elektronik"/>
    <n v="1950000"/>
    <n v="1500000"/>
    <n v="11"/>
    <n v="21450000"/>
    <n v="0"/>
    <n v="0"/>
    <n v="21450000"/>
    <n v="16500000"/>
    <n v="4950000"/>
  </r>
  <r>
    <s v="SLS-08"/>
    <s v="TRX-2025-0327"/>
    <d v="2025-07-14T00:00:00"/>
    <x v="6"/>
    <x v="2"/>
    <s v="Yogyakarta"/>
    <s v="Jaket Hoodie Casual"/>
    <s v="Fashion"/>
    <n v="350000"/>
    <n v="220000"/>
    <n v="1"/>
    <n v="350000"/>
    <n v="0"/>
    <n v="0"/>
    <n v="350000"/>
    <n v="220000"/>
    <n v="130000"/>
  </r>
  <r>
    <s v="SLS-06"/>
    <s v="TRX-2025-0328"/>
    <d v="2025-08-11T00:00:00"/>
    <x v="2"/>
    <x v="1"/>
    <s v="Makassar"/>
    <s v="Beras Premium 5kg"/>
    <s v="F&amp;B"/>
    <n v="74000"/>
    <n v="65000"/>
    <n v="30"/>
    <n v="2220000"/>
    <n v="0"/>
    <n v="0"/>
    <n v="2220000"/>
    <n v="1950000"/>
    <n v="270000"/>
  </r>
  <r>
    <s v="SLS-08"/>
    <s v="TRX-2025-0329"/>
    <d v="2025-12-21T00:00:00"/>
    <x v="6"/>
    <x v="2"/>
    <s v="Yogyakarta"/>
    <s v="Set Pisau Dapur Stainless"/>
    <s v="Peralatan Rumah"/>
    <n v="165000"/>
    <n v="105000"/>
    <n v="5"/>
    <n v="825000"/>
    <n v="0"/>
    <n v="0"/>
    <n v="825000"/>
    <n v="525000"/>
    <n v="300000"/>
  </r>
  <r>
    <s v="SLS-01"/>
    <s v="TRX-2025-0330"/>
    <d v="2025-10-06T00:00:00"/>
    <x v="0"/>
    <x v="0"/>
    <s v="Jakarta"/>
    <s v="Minyak Goreng Sawit 2L"/>
    <s v="F&amp;B"/>
    <n v="36000"/>
    <n v="31000"/>
    <n v="30"/>
    <n v="1080000"/>
    <n v="0.1"/>
    <n v="108000"/>
    <n v="972000"/>
    <n v="930000"/>
    <n v="42000"/>
  </r>
  <r>
    <s v="SLS-07"/>
    <s v="TRX-2025-0331"/>
    <d v="2025-12-31T00:00:00"/>
    <x v="7"/>
    <x v="2"/>
    <s v="Denpasar"/>
    <s v="Blender Multifungsi 2-in-1"/>
    <s v="Peralatan Rumah"/>
    <n v="340000"/>
    <n v="240000"/>
    <n v="2"/>
    <n v="680000"/>
    <n v="0.1"/>
    <n v="68000"/>
    <n v="612000"/>
    <n v="480000"/>
    <n v="132000"/>
  </r>
  <r>
    <s v="SLS-07"/>
    <s v="TRX-2025-0332"/>
    <d v="2025-10-18T00:00:00"/>
    <x v="7"/>
    <x v="2"/>
    <s v="Denpasar"/>
    <s v="Blender Multifungsi 2-in-1"/>
    <s v="Peralatan Rumah"/>
    <n v="340000"/>
    <n v="240000"/>
    <n v="11"/>
    <n v="3740000"/>
    <n v="0.2"/>
    <n v="748000"/>
    <n v="2992000"/>
    <n v="2640000"/>
    <n v="352000"/>
  </r>
  <r>
    <s v="SLS-02"/>
    <s v="TRX-2025-0333"/>
    <d v="2025-12-19T00:00:00"/>
    <x v="1"/>
    <x v="1"/>
    <s v="Surabaya"/>
    <s v="Susu UHT Full Cream 1L"/>
    <s v="F&amp;B"/>
    <n v="22000"/>
    <n v="18000"/>
    <n v="26"/>
    <n v="572000"/>
    <n v="0.1"/>
    <n v="57200"/>
    <n v="514800"/>
    <n v="468000"/>
    <n v="46800"/>
  </r>
  <r>
    <s v="SLS-02"/>
    <s v="TRX-2025-0334"/>
    <d v="2025-04-29T00:00:00"/>
    <x v="1"/>
    <x v="1"/>
    <s v="Surabaya"/>
    <s v="Blender Multifungsi 2-in-1"/>
    <s v="Peralatan Rumah"/>
    <n v="340000"/>
    <n v="240000"/>
    <n v="6"/>
    <n v="2040000"/>
    <n v="0.2"/>
    <n v="408000"/>
    <n v="1632000"/>
    <n v="1440000"/>
    <n v="192000"/>
  </r>
  <r>
    <s v="SLS-08"/>
    <s v="TRX-2025-0335"/>
    <d v="2025-11-21T00:00:00"/>
    <x v="6"/>
    <x v="2"/>
    <s v="Yogyakarta"/>
    <s v="Kemeja Batik Katun Premium"/>
    <s v="Fashion"/>
    <n v="320000"/>
    <n v="190000"/>
    <n v="8"/>
    <n v="2560000"/>
    <n v="0.05"/>
    <n v="128000"/>
    <n v="2432000"/>
    <n v="1520000"/>
    <n v="912000"/>
  </r>
  <r>
    <s v="SLS-07"/>
    <s v="TRX-2025-0336"/>
    <d v="2025-08-10T00:00:00"/>
    <x v="7"/>
    <x v="2"/>
    <s v="Denpasar"/>
    <s v="Mechanical Keyboard RGB"/>
    <s v="Elektronik"/>
    <n v="750000"/>
    <n v="520000"/>
    <n v="2"/>
    <n v="1500000"/>
    <n v="0.2"/>
    <n v="300000"/>
    <n v="1200000"/>
    <n v="1040000"/>
    <n v="160000"/>
  </r>
  <r>
    <s v="SLS-03"/>
    <s v="TRX-2025-0337"/>
    <d v="2025-02-12T00:00:00"/>
    <x v="5"/>
    <x v="0"/>
    <s v="Bandung"/>
    <s v="Kemeja Batik Katun Premium"/>
    <s v="Fashion"/>
    <n v="320000"/>
    <n v="190000"/>
    <n v="7"/>
    <n v="2240000"/>
    <n v="0.05"/>
    <n v="112000"/>
    <n v="2128000"/>
    <n v="1330000"/>
    <n v="798000"/>
  </r>
  <r>
    <s v="SLS-01"/>
    <s v="TRX-2025-0338"/>
    <d v="2025-02-24T00:00:00"/>
    <x v="0"/>
    <x v="0"/>
    <s v="Jakarta"/>
    <s v="Wireless Mouse Ergonomic"/>
    <s v="Elektronik"/>
    <n v="250000"/>
    <n v="160000"/>
    <n v="5"/>
    <n v="1250000"/>
    <n v="0.15"/>
    <n v="187500"/>
    <n v="1062500"/>
    <n v="800000"/>
    <n v="262500"/>
  </r>
  <r>
    <s v="SLS-03"/>
    <s v="TRX-2025-0339"/>
    <d v="2025-03-09T00:00:00"/>
    <x v="5"/>
    <x v="0"/>
    <s v="Bandung"/>
    <s v="Wireless Mouse Ergonomic"/>
    <s v="Elektronik"/>
    <n v="250000"/>
    <n v="160000"/>
    <n v="7"/>
    <n v="1750000"/>
    <n v="0.15"/>
    <n v="262500"/>
    <n v="1487500"/>
    <n v="1120000"/>
    <n v="367500"/>
  </r>
  <r>
    <s v="SLS-02"/>
    <s v="TRX-2025-0340"/>
    <d v="2025-02-15T00:00:00"/>
    <x v="1"/>
    <x v="1"/>
    <s v="Surabaya"/>
    <s v="Celana Chino Slim Fit"/>
    <s v="Fashion"/>
    <n v="280000"/>
    <n v="175000"/>
    <n v="10"/>
    <n v="2800000"/>
    <n v="0.2"/>
    <n v="560000"/>
    <n v="2240000"/>
    <n v="1750000"/>
    <n v="490000"/>
  </r>
  <r>
    <s v="SLS-07"/>
    <s v="TRX-2025-0341"/>
    <d v="2025-05-30T00:00:00"/>
    <x v="7"/>
    <x v="2"/>
    <s v="Denpasar"/>
    <s v="Jaket Hoodie Casual"/>
    <s v="Fashion"/>
    <n v="350000"/>
    <n v="220000"/>
    <n v="2"/>
    <n v="700000"/>
    <n v="0.2"/>
    <n v="140000"/>
    <n v="560000"/>
    <n v="440000"/>
    <n v="120000"/>
  </r>
  <r>
    <s v="SLS-03"/>
    <s v="TRX-2025-0342"/>
    <d v="2025-12-17T00:00:00"/>
    <x v="5"/>
    <x v="0"/>
    <s v="Bandung"/>
    <s v="Jaket Hoodie Casual"/>
    <s v="Fashion"/>
    <n v="350000"/>
    <n v="220000"/>
    <n v="3"/>
    <n v="1050000"/>
    <n v="0.1"/>
    <n v="105000"/>
    <n v="945000"/>
    <n v="660000"/>
    <n v="285000"/>
  </r>
  <r>
    <s v="SLS-03"/>
    <s v="TRX-2025-0343"/>
    <d v="2025-03-16T00:00:00"/>
    <x v="5"/>
    <x v="0"/>
    <s v="Bandung"/>
    <s v="Wireless Mouse Ergonomic"/>
    <s v="Elektronik"/>
    <n v="250000"/>
    <n v="160000"/>
    <n v="7"/>
    <n v="1750000"/>
    <n v="0.1"/>
    <n v="175000"/>
    <n v="1575000"/>
    <n v="1120000"/>
    <n v="455000"/>
  </r>
  <r>
    <s v="SLS-05"/>
    <s v="TRX-2025-0344"/>
    <d v="2025-02-09T00:00:00"/>
    <x v="3"/>
    <x v="2"/>
    <s v="Semarang"/>
    <s v="Celana Chino Slim Fit"/>
    <s v="Fashion"/>
    <n v="280000"/>
    <n v="175000"/>
    <n v="4"/>
    <n v="1120000"/>
    <n v="0.15"/>
    <n v="168000"/>
    <n v="952000"/>
    <n v="700000"/>
    <n v="252000"/>
  </r>
  <r>
    <s v="SLS-01"/>
    <s v="TRX-2025-0345"/>
    <d v="2025-03-11T00:00:00"/>
    <x v="0"/>
    <x v="0"/>
    <s v="Jakarta"/>
    <s v="Kemeja Batik Katun Premium"/>
    <s v="Fashion"/>
    <n v="320000"/>
    <n v="190000"/>
    <n v="7"/>
    <n v="2240000"/>
    <n v="0.1"/>
    <n v="224000"/>
    <n v="2016000"/>
    <n v="1330000"/>
    <n v="686000"/>
  </r>
  <r>
    <s v="SLS-03"/>
    <s v="TRX-2025-0346"/>
    <d v="2025-06-21T00:00:00"/>
    <x v="5"/>
    <x v="0"/>
    <s v="Bandung"/>
    <s v="Jaket Hoodie Casual"/>
    <s v="Fashion"/>
    <n v="350000"/>
    <n v="220000"/>
    <n v="5"/>
    <n v="1750000"/>
    <n v="0.1"/>
    <n v="175000"/>
    <n v="1575000"/>
    <n v="1100000"/>
    <n v="475000"/>
  </r>
  <r>
    <s v="SLS-06"/>
    <s v="TRX-2025-0347"/>
    <d v="2025-04-01T00:00:00"/>
    <x v="2"/>
    <x v="1"/>
    <s v="Makassar"/>
    <s v="Jaket Hoodie Casual"/>
    <s v="Fashion"/>
    <n v="350000"/>
    <n v="220000"/>
    <n v="5"/>
    <n v="1750000"/>
    <n v="0.15"/>
    <n v="262500"/>
    <n v="1487500"/>
    <n v="1100000"/>
    <n v="387500"/>
  </r>
  <r>
    <s v="SLS-07"/>
    <s v="TRX-2025-0348"/>
    <d v="2025-05-24T00:00:00"/>
    <x v="7"/>
    <x v="2"/>
    <s v="Denpasar"/>
    <s v="Blender Multifungsi 2-in-1"/>
    <s v="Peralatan Rumah"/>
    <n v="340000"/>
    <n v="240000"/>
    <n v="6"/>
    <n v="2040000"/>
    <n v="0"/>
    <n v="0"/>
    <n v="2040000"/>
    <n v="1440000"/>
    <n v="600000"/>
  </r>
  <r>
    <s v="SLS-01"/>
    <s v="TRX-2025-0349"/>
    <d v="2025-12-16T00:00:00"/>
    <x v="0"/>
    <x v="0"/>
    <s v="Jakarta"/>
    <s v="Wajan Anti Lengket 28cm"/>
    <s v="Peralatan Rumah"/>
    <n v="210000"/>
    <n v="140000"/>
    <n v="12"/>
    <n v="2520000"/>
    <n v="0.15"/>
    <n v="378000"/>
    <n v="2142000"/>
    <n v="1680000"/>
    <n v="462000"/>
  </r>
  <r>
    <s v="SLS-07"/>
    <s v="TRX-2025-0350"/>
    <d v="2025-12-21T00:00:00"/>
    <x v="7"/>
    <x v="2"/>
    <s v="Denpasar"/>
    <s v="Wireless Mouse Ergonomic"/>
    <s v="Elektronik"/>
    <n v="250000"/>
    <n v="160000"/>
    <n v="11"/>
    <n v="2750000"/>
    <n v="0.15"/>
    <n v="412500"/>
    <n v="2337500"/>
    <n v="1760000"/>
    <n v="577500"/>
  </r>
  <r>
    <s v="SLS-03"/>
    <s v="TRX-2025-0351"/>
    <d v="2025-05-04T00:00:00"/>
    <x v="5"/>
    <x v="0"/>
    <s v="Bandung"/>
    <s v="Kemeja Batik Katun Premium"/>
    <s v="Fashion"/>
    <n v="320000"/>
    <n v="190000"/>
    <n v="12"/>
    <n v="3840000"/>
    <n v="0.15"/>
    <n v="576000"/>
    <n v="3264000"/>
    <n v="2280000"/>
    <n v="984000"/>
  </r>
  <r>
    <s v="SLS-07"/>
    <s v="TRX-2025-0352"/>
    <d v="2025-11-03T00:00:00"/>
    <x v="7"/>
    <x v="2"/>
    <s v="Denpasar"/>
    <s v="Sepatu Sneakers Pria/Wanita"/>
    <s v="Fashion"/>
    <n v="450000"/>
    <n v="290000"/>
    <n v="9"/>
    <n v="4050000"/>
    <n v="0.2"/>
    <n v="810000"/>
    <n v="3240000"/>
    <n v="2610000"/>
    <n v="630000"/>
  </r>
  <r>
    <s v="SLS-02"/>
    <s v="TRX-2025-0353"/>
    <d v="2025-07-04T00:00:00"/>
    <x v="1"/>
    <x v="1"/>
    <s v="Surabaya"/>
    <s v="Susu UHT Full Cream 1L"/>
    <s v="F&amp;B"/>
    <n v="22000"/>
    <n v="18000"/>
    <n v="27"/>
    <n v="594000"/>
    <n v="0.05"/>
    <n v="29700"/>
    <n v="564300"/>
    <n v="486000"/>
    <n v="78300"/>
  </r>
  <r>
    <s v="SLS-07"/>
    <s v="TRX-2025-0354"/>
    <d v="2025-10-16T00:00:00"/>
    <x v="7"/>
    <x v="2"/>
    <s v="Denpasar"/>
    <s v="Beras Premium 5kg"/>
    <s v="F&amp;B"/>
    <n v="74000"/>
    <n v="65000"/>
    <n v="28"/>
    <n v="2072000"/>
    <n v="0.15"/>
    <n v="310800"/>
    <n v="1761200"/>
    <n v="1820000"/>
    <n v="-58800"/>
  </r>
  <r>
    <s v="SLS-04"/>
    <s v="TRX-2025-0355"/>
    <d v="2025-05-13T00:00:00"/>
    <x v="4"/>
    <x v="0"/>
    <s v="Medan"/>
    <s v="Monitor 24&quot; FHD 144Hz"/>
    <s v="Elektronik"/>
    <n v="1950000"/>
    <n v="1500000"/>
    <n v="8"/>
    <n v="15600000"/>
    <n v="0.1"/>
    <n v="1560000"/>
    <n v="14040000"/>
    <n v="12000000"/>
    <n v="2040000"/>
  </r>
  <r>
    <s v="SLS-08"/>
    <s v="TRX-2025-0356"/>
    <d v="2025-06-26T00:00:00"/>
    <x v="6"/>
    <x v="2"/>
    <s v="Yogyakarta"/>
    <s v="Laptop Ultrabook 14&quot;"/>
    <s v="Elektronik"/>
    <n v="8500000"/>
    <n v="7200000"/>
    <n v="2"/>
    <n v="17000000"/>
    <n v="0.1"/>
    <n v="1700000"/>
    <n v="15300000"/>
    <n v="14400000"/>
    <n v="900000"/>
  </r>
  <r>
    <s v="SLS-05"/>
    <s v="TRX-2025-0357"/>
    <d v="2025-03-14T00:00:00"/>
    <x v="3"/>
    <x v="2"/>
    <s v="Semarang"/>
    <s v="Celana Chino Slim Fit"/>
    <s v="Fashion"/>
    <n v="280000"/>
    <n v="175000"/>
    <n v="6"/>
    <n v="1680000"/>
    <n v="0.15"/>
    <n v="252000"/>
    <n v="1428000"/>
    <n v="1050000"/>
    <n v="378000"/>
  </r>
  <r>
    <s v="SLS-02"/>
    <s v="TRX-2025-0358"/>
    <d v="2025-06-28T00:00:00"/>
    <x v="1"/>
    <x v="1"/>
    <s v="Surabaya"/>
    <s v="Sepatu Sneakers Pria/Wanita"/>
    <s v="Fashion"/>
    <n v="450000"/>
    <n v="290000"/>
    <n v="8"/>
    <n v="3600000"/>
    <n v="0.15"/>
    <n v="540000"/>
    <n v="3060000"/>
    <n v="2320000"/>
    <n v="740000"/>
  </r>
  <r>
    <s v="SLS-02"/>
    <s v="TRX-2025-0359"/>
    <d v="2025-01-23T00:00:00"/>
    <x v="1"/>
    <x v="1"/>
    <s v="Surabaya"/>
    <s v="Wajan Anti Lengket 28cm"/>
    <s v="Peralatan Rumah"/>
    <n v="210000"/>
    <n v="140000"/>
    <n v="1"/>
    <n v="210000"/>
    <n v="0.1"/>
    <n v="21000"/>
    <n v="189000"/>
    <n v="140000"/>
    <n v="49000"/>
  </r>
  <r>
    <s v="SLS-03"/>
    <s v="TRX-2025-0360"/>
    <d v="2025-05-05T00:00:00"/>
    <x v="5"/>
    <x v="0"/>
    <s v="Bandung"/>
    <s v="Kopi Arabika Gayo 250g"/>
    <s v="F&amp;B"/>
    <n v="85000"/>
    <n v="55000"/>
    <n v="8"/>
    <n v="680000"/>
    <n v="0.1"/>
    <n v="68000"/>
    <n v="612000"/>
    <n v="440000"/>
    <n v="172000"/>
  </r>
  <r>
    <s v="SLS-03"/>
    <s v="TRX-2025-0361"/>
    <d v="2025-07-27T00:00:00"/>
    <x v="5"/>
    <x v="0"/>
    <s v="Bandung"/>
    <s v="Beras Premium 5kg"/>
    <s v="F&amp;B"/>
    <n v="74000"/>
    <n v="65000"/>
    <n v="23"/>
    <n v="1702000"/>
    <n v="0.15"/>
    <n v="255300"/>
    <n v="1446700"/>
    <n v="1495000"/>
    <n v="-48300"/>
  </r>
  <r>
    <s v="SLS-07"/>
    <s v="TRX-2025-0362"/>
    <d v="2025-08-19T00:00:00"/>
    <x v="7"/>
    <x v="2"/>
    <s v="Denpasar"/>
    <s v="Minyak Goreng Sawit 2L"/>
    <s v="F&amp;B"/>
    <n v="36000"/>
    <n v="31000"/>
    <n v="3"/>
    <n v="108000"/>
    <n v="0.05"/>
    <n v="5400"/>
    <n v="102600"/>
    <n v="93000"/>
    <n v="9600"/>
  </r>
  <r>
    <s v="SLS-03"/>
    <s v="TRX-2025-0363"/>
    <d v="2025-10-23T00:00:00"/>
    <x v="5"/>
    <x v="0"/>
    <s v="Bandung"/>
    <s v="Wireless Mouse Ergonomic"/>
    <s v="Elektronik"/>
    <n v="250000"/>
    <n v="160000"/>
    <n v="6"/>
    <n v="1500000"/>
    <n v="0.1"/>
    <n v="150000"/>
    <n v="1350000"/>
    <n v="960000"/>
    <n v="390000"/>
  </r>
  <r>
    <s v="SLS-08"/>
    <s v="TRX-2025-0364"/>
    <d v="2025-05-15T00:00:00"/>
    <x v="6"/>
    <x v="2"/>
    <s v="Yogyakarta"/>
    <s v="Beras Premium 5kg"/>
    <s v="F&amp;B"/>
    <n v="74000"/>
    <n v="65000"/>
    <n v="23"/>
    <n v="1702000"/>
    <n v="0.1"/>
    <n v="170200"/>
    <n v="1531800"/>
    <n v="1495000"/>
    <n v="36800"/>
  </r>
  <r>
    <s v="SLS-06"/>
    <s v="TRX-2025-0365"/>
    <d v="2025-10-28T00:00:00"/>
    <x v="2"/>
    <x v="1"/>
    <s v="Makassar"/>
    <s v="Wireless Mouse Ergonomic"/>
    <s v="Elektronik"/>
    <n v="250000"/>
    <n v="160000"/>
    <n v="6"/>
    <n v="1500000"/>
    <n v="0.15"/>
    <n v="225000"/>
    <n v="1275000"/>
    <n v="960000"/>
    <n v="315000"/>
  </r>
  <r>
    <s v="SLS-02"/>
    <s v="TRX-2025-0366"/>
    <d v="2025-11-11T00:00:00"/>
    <x v="1"/>
    <x v="1"/>
    <s v="Surabaya"/>
    <s v="Minyak Goreng Sawit 2L"/>
    <s v="F&amp;B"/>
    <n v="36000"/>
    <n v="31000"/>
    <n v="7"/>
    <n v="252000"/>
    <n v="0.1"/>
    <n v="25200"/>
    <n v="226800"/>
    <n v="217000"/>
    <n v="9800"/>
  </r>
  <r>
    <s v="SLS-06"/>
    <s v="TRX-2025-0367"/>
    <d v="2025-03-01T00:00:00"/>
    <x v="2"/>
    <x v="1"/>
    <s v="Makassar"/>
    <s v="Mechanical Keyboard RGB"/>
    <s v="Elektronik"/>
    <n v="750000"/>
    <n v="520000"/>
    <n v="12"/>
    <n v="9000000"/>
    <n v="0.05"/>
    <n v="450000"/>
    <n v="8550000"/>
    <n v="6240000"/>
    <n v="2310000"/>
  </r>
  <r>
    <s v="SLS-07"/>
    <s v="TRX-2025-0368"/>
    <d v="2025-10-22T00:00:00"/>
    <x v="7"/>
    <x v="2"/>
    <s v="Denpasar"/>
    <s v="Jaket Hoodie Casual"/>
    <s v="Fashion"/>
    <n v="350000"/>
    <n v="220000"/>
    <n v="3"/>
    <n v="1050000"/>
    <n v="0.15"/>
    <n v="157500"/>
    <n v="892500"/>
    <n v="660000"/>
    <n v="232500"/>
  </r>
  <r>
    <s v="SLS-03"/>
    <s v="TRX-2025-0369"/>
    <d v="2025-09-08T00:00:00"/>
    <x v="5"/>
    <x v="0"/>
    <s v="Bandung"/>
    <s v="Kemeja Batik Katun Premium"/>
    <s v="Fashion"/>
    <n v="320000"/>
    <n v="190000"/>
    <n v="3"/>
    <n v="960000"/>
    <n v="0.1"/>
    <n v="96000"/>
    <n v="864000"/>
    <n v="570000"/>
    <n v="294000"/>
  </r>
  <r>
    <s v="SLS-08"/>
    <s v="TRX-2025-0370"/>
    <d v="2025-07-03T00:00:00"/>
    <x v="6"/>
    <x v="2"/>
    <s v="Yogyakarta"/>
    <s v="Laptop Ultrabook 14&quot;"/>
    <s v="Elektronik"/>
    <n v="8500000"/>
    <n v="7200000"/>
    <n v="3"/>
    <n v="25500000"/>
    <n v="0.05"/>
    <n v="1275000"/>
    <n v="24225000"/>
    <n v="21600000"/>
    <n v="2625000"/>
  </r>
  <r>
    <s v="SLS-08"/>
    <s v="TRX-2025-0371"/>
    <d v="2025-07-29T00:00:00"/>
    <x v="6"/>
    <x v="2"/>
    <s v="Yogyakarta"/>
    <s v="Beras Premium 5kg"/>
    <s v="F&amp;B"/>
    <n v="74000"/>
    <n v="65000"/>
    <n v="25"/>
    <n v="1850000"/>
    <n v="0.15"/>
    <n v="277500"/>
    <n v="1572500"/>
    <n v="1625000"/>
    <n v="-52500"/>
  </r>
  <r>
    <s v="SLS-04"/>
    <s v="TRX-2025-0372"/>
    <d v="2025-10-17T00:00:00"/>
    <x v="4"/>
    <x v="0"/>
    <s v="Medan"/>
    <s v="Laptop Ultrabook 14&quot;"/>
    <s v="Elektronik"/>
    <n v="8500000"/>
    <n v="7200000"/>
    <n v="5"/>
    <n v="42500000"/>
    <n v="0"/>
    <n v="0"/>
    <n v="42500000"/>
    <n v="36000000"/>
    <n v="6500000"/>
  </r>
  <r>
    <s v="SLS-08"/>
    <s v="TRX-2025-0373"/>
    <d v="2025-03-28T00:00:00"/>
    <x v="6"/>
    <x v="2"/>
    <s v="Yogyakarta"/>
    <s v="Wajan Anti Lengket 28cm"/>
    <s v="Peralatan Rumah"/>
    <n v="210000"/>
    <n v="140000"/>
    <n v="10"/>
    <n v="2100000"/>
    <n v="0.15"/>
    <n v="315000"/>
    <n v="1785000"/>
    <n v="1400000"/>
    <n v="385000"/>
  </r>
  <r>
    <s v="SLS-06"/>
    <s v="TRX-2025-0374"/>
    <d v="2025-05-18T00:00:00"/>
    <x v="2"/>
    <x v="1"/>
    <s v="Makassar"/>
    <s v="Wajan Anti Lengket 28cm"/>
    <s v="Peralatan Rumah"/>
    <n v="210000"/>
    <n v="140000"/>
    <n v="9"/>
    <n v="1890000"/>
    <n v="0"/>
    <n v="0"/>
    <n v="1890000"/>
    <n v="1260000"/>
    <n v="630000"/>
  </r>
  <r>
    <s v="SLS-04"/>
    <s v="TRX-2025-0375"/>
    <d v="2025-08-06T00:00:00"/>
    <x v="4"/>
    <x v="0"/>
    <s v="Medan"/>
    <s v="Wireless Mouse Ergonomic"/>
    <s v="Elektronik"/>
    <n v="250000"/>
    <n v="160000"/>
    <n v="5"/>
    <n v="1250000"/>
    <n v="0"/>
    <n v="0"/>
    <n v="1250000"/>
    <n v="800000"/>
    <n v="450000"/>
  </r>
  <r>
    <s v="SLS-02"/>
    <s v="TRX-2025-0376"/>
    <d v="2025-02-14T00:00:00"/>
    <x v="1"/>
    <x v="1"/>
    <s v="Surabaya"/>
    <s v="Sepatu Sneakers Pria/Wanita"/>
    <s v="Fashion"/>
    <n v="450000"/>
    <n v="290000"/>
    <n v="4"/>
    <n v="1800000"/>
    <n v="0.05"/>
    <n v="90000"/>
    <n v="1710000"/>
    <n v="1160000"/>
    <n v="550000"/>
  </r>
  <r>
    <s v="SLS-03"/>
    <s v="TRX-2025-0377"/>
    <d v="2025-03-26T00:00:00"/>
    <x v="5"/>
    <x v="0"/>
    <s v="Bandung"/>
    <s v="Minyak Goreng Sawit 2L"/>
    <s v="F&amp;B"/>
    <n v="36000"/>
    <n v="31000"/>
    <n v="29"/>
    <n v="1044000"/>
    <n v="0.05"/>
    <n v="52200"/>
    <n v="991800"/>
    <n v="899000"/>
    <n v="92800"/>
  </r>
  <r>
    <s v="SLS-03"/>
    <s v="TRX-2025-0378"/>
    <d v="2025-09-30T00:00:00"/>
    <x v="5"/>
    <x v="0"/>
    <s v="Bandung"/>
    <s v="Kemeja Batik Katun Premium"/>
    <s v="Fashion"/>
    <n v="320000"/>
    <n v="190000"/>
    <n v="6"/>
    <n v="1920000"/>
    <n v="0.1"/>
    <n v="192000"/>
    <n v="1728000"/>
    <n v="1140000"/>
    <n v="588000"/>
  </r>
  <r>
    <s v="SLS-02"/>
    <s v="TRX-2025-0379"/>
    <d v="2025-09-21T00:00:00"/>
    <x v="1"/>
    <x v="1"/>
    <s v="Surabaya"/>
    <s v="Set Pisau Dapur Stainless"/>
    <s v="Peralatan Rumah"/>
    <n v="165000"/>
    <n v="105000"/>
    <n v="3"/>
    <n v="495000"/>
    <n v="0.15"/>
    <n v="74250"/>
    <n v="420750"/>
    <n v="315000"/>
    <n v="105750"/>
  </r>
  <r>
    <s v="SLS-03"/>
    <s v="TRX-2025-0380"/>
    <d v="2025-12-26T00:00:00"/>
    <x v="5"/>
    <x v="0"/>
    <s v="Bandung"/>
    <s v="Blender Multifungsi 2-in-1"/>
    <s v="Peralatan Rumah"/>
    <n v="340000"/>
    <n v="240000"/>
    <n v="4"/>
    <n v="1360000"/>
    <n v="0.05"/>
    <n v="68000"/>
    <n v="1292000"/>
    <n v="960000"/>
    <n v="332000"/>
  </r>
  <r>
    <s v="SLS-05"/>
    <s v="TRX-2025-0381"/>
    <d v="2025-09-08T00:00:00"/>
    <x v="3"/>
    <x v="2"/>
    <s v="Semarang"/>
    <s v="Mechanical Keyboard RGB"/>
    <s v="Elektronik"/>
    <n v="750000"/>
    <n v="520000"/>
    <n v="11"/>
    <n v="8250000"/>
    <n v="0.15"/>
    <n v="1237500"/>
    <n v="7012500"/>
    <n v="5720000"/>
    <n v="1292500"/>
  </r>
  <r>
    <s v="SLS-02"/>
    <s v="TRX-2025-0382"/>
    <d v="2025-11-21T00:00:00"/>
    <x v="1"/>
    <x v="1"/>
    <s v="Surabaya"/>
    <s v="Wajan Anti Lengket 28cm"/>
    <s v="Peralatan Rumah"/>
    <n v="210000"/>
    <n v="140000"/>
    <n v="7"/>
    <n v="1470000"/>
    <n v="0.2"/>
    <n v="294000"/>
    <n v="1176000"/>
    <n v="980000"/>
    <n v="196000"/>
  </r>
  <r>
    <s v="SLS-06"/>
    <s v="TRX-2025-0383"/>
    <d v="2025-08-21T00:00:00"/>
    <x v="2"/>
    <x v="1"/>
    <s v="Makassar"/>
    <s v="Sepatu Sneakers Pria/Wanita"/>
    <s v="Fashion"/>
    <n v="450000"/>
    <n v="290000"/>
    <n v="10"/>
    <n v="4500000"/>
    <n v="0"/>
    <n v="0"/>
    <n v="4500000"/>
    <n v="2900000"/>
    <n v="1600000"/>
  </r>
  <r>
    <s v="SLS-06"/>
    <s v="TRX-2025-0384"/>
    <d v="2025-11-22T00:00:00"/>
    <x v="2"/>
    <x v="1"/>
    <s v="Makassar"/>
    <s v="Beras Premium 5kg"/>
    <s v="F&amp;B"/>
    <n v="74000"/>
    <n v="65000"/>
    <n v="28"/>
    <n v="2072000"/>
    <n v="0.2"/>
    <n v="414400"/>
    <n v="1657600"/>
    <n v="1820000"/>
    <n v="-162400"/>
  </r>
  <r>
    <s v="SLS-05"/>
    <s v="TRX-2025-0385"/>
    <d v="2025-04-19T00:00:00"/>
    <x v="3"/>
    <x v="2"/>
    <s v="Semarang"/>
    <s v="Sepatu Sneakers Pria/Wanita"/>
    <s v="Fashion"/>
    <n v="450000"/>
    <n v="290000"/>
    <n v="6"/>
    <n v="2700000"/>
    <n v="0.1"/>
    <n v="270000"/>
    <n v="2430000"/>
    <n v="1740000"/>
    <n v="690000"/>
  </r>
  <r>
    <s v="SLS-08"/>
    <s v="TRX-2025-0386"/>
    <d v="2025-10-17T00:00:00"/>
    <x v="6"/>
    <x v="2"/>
    <s v="Yogyakarta"/>
    <s v="Blender Multifungsi 2-in-1"/>
    <s v="Peralatan Rumah"/>
    <n v="340000"/>
    <n v="240000"/>
    <n v="6"/>
    <n v="2040000"/>
    <n v="0"/>
    <n v="0"/>
    <n v="2040000"/>
    <n v="1440000"/>
    <n v="600000"/>
  </r>
  <r>
    <s v="SLS-03"/>
    <s v="TRX-2025-0387"/>
    <d v="2025-01-09T00:00:00"/>
    <x v="5"/>
    <x v="0"/>
    <s v="Bandung"/>
    <s v="Wireless Mouse Ergonomic"/>
    <s v="Elektronik"/>
    <n v="250000"/>
    <n v="160000"/>
    <n v="8"/>
    <n v="2000000"/>
    <n v="0.15"/>
    <n v="300000"/>
    <n v="1700000"/>
    <n v="1280000"/>
    <n v="420000"/>
  </r>
  <r>
    <s v="SLS-03"/>
    <s v="TRX-2025-0388"/>
    <d v="2025-12-19T00:00:00"/>
    <x v="5"/>
    <x v="0"/>
    <s v="Bandung"/>
    <s v="Set Pisau Dapur Stainless"/>
    <s v="Peralatan Rumah"/>
    <n v="165000"/>
    <n v="105000"/>
    <n v="11"/>
    <n v="1815000"/>
    <n v="0.1"/>
    <n v="181500"/>
    <n v="1633500"/>
    <n v="1155000"/>
    <n v="478500"/>
  </r>
  <r>
    <s v="SLS-05"/>
    <s v="TRX-2025-0389"/>
    <d v="2025-12-02T00:00:00"/>
    <x v="3"/>
    <x v="2"/>
    <s v="Semarang"/>
    <s v="Celana Chino Slim Fit"/>
    <s v="Fashion"/>
    <n v="280000"/>
    <n v="175000"/>
    <n v="2"/>
    <n v="560000"/>
    <n v="0.1"/>
    <n v="56000"/>
    <n v="504000"/>
    <n v="350000"/>
    <n v="154000"/>
  </r>
  <r>
    <s v="SLS-04"/>
    <s v="TRX-2025-0390"/>
    <d v="2025-11-17T00:00:00"/>
    <x v="4"/>
    <x v="0"/>
    <s v="Medan"/>
    <s v="Kemeja Batik Katun Premium"/>
    <s v="Fashion"/>
    <n v="320000"/>
    <n v="190000"/>
    <n v="7"/>
    <n v="2240000"/>
    <n v="0"/>
    <n v="0"/>
    <n v="2240000"/>
    <n v="1330000"/>
    <n v="910000"/>
  </r>
  <r>
    <s v="SLS-03"/>
    <s v="TRX-2025-0391"/>
    <d v="2025-09-02T00:00:00"/>
    <x v="5"/>
    <x v="0"/>
    <s v="Bandung"/>
    <s v="Wireless Mouse Ergonomic"/>
    <s v="Elektronik"/>
    <n v="250000"/>
    <n v="160000"/>
    <n v="10"/>
    <n v="2500000"/>
    <n v="0.05"/>
    <n v="125000"/>
    <n v="2375000"/>
    <n v="1600000"/>
    <n v="775000"/>
  </r>
  <r>
    <s v="SLS-02"/>
    <s v="TRX-2025-0392"/>
    <d v="2025-12-23T00:00:00"/>
    <x v="1"/>
    <x v="1"/>
    <s v="Surabaya"/>
    <s v="Celana Chino Slim Fit"/>
    <s v="Fashion"/>
    <n v="280000"/>
    <n v="175000"/>
    <n v="7"/>
    <n v="1960000"/>
    <n v="0.05"/>
    <n v="98000"/>
    <n v="1862000"/>
    <n v="1225000"/>
    <n v="637000"/>
  </r>
  <r>
    <s v="SLS-02"/>
    <s v="TRX-2025-0393"/>
    <d v="2025-07-16T00:00:00"/>
    <x v="1"/>
    <x v="1"/>
    <s v="Surabaya"/>
    <s v="Wireless Mouse Ergonomic"/>
    <s v="Elektronik"/>
    <n v="250000"/>
    <n v="160000"/>
    <n v="2"/>
    <n v="500000"/>
    <n v="0.1"/>
    <n v="50000"/>
    <n v="450000"/>
    <n v="320000"/>
    <n v="130000"/>
  </r>
  <r>
    <s v="SLS-03"/>
    <s v="TRX-2025-0394"/>
    <d v="2025-07-15T00:00:00"/>
    <x v="5"/>
    <x v="0"/>
    <s v="Bandung"/>
    <s v="Wajan Anti Lengket 28cm"/>
    <s v="Peralatan Rumah"/>
    <n v="210000"/>
    <n v="140000"/>
    <n v="11"/>
    <n v="2310000"/>
    <n v="0.05"/>
    <n v="115500"/>
    <n v="2194500"/>
    <n v="1540000"/>
    <n v="654500"/>
  </r>
  <r>
    <s v="SLS-03"/>
    <s v="TRX-2025-0395"/>
    <d v="2025-11-09T00:00:00"/>
    <x v="5"/>
    <x v="0"/>
    <s v="Bandung"/>
    <s v="Beras Premium 5kg"/>
    <s v="F&amp;B"/>
    <n v="74000"/>
    <n v="65000"/>
    <n v="14"/>
    <n v="1036000"/>
    <n v="0.05"/>
    <n v="51800"/>
    <n v="984200"/>
    <n v="910000"/>
    <n v="74200"/>
  </r>
  <r>
    <s v="SLS-02"/>
    <s v="TRX-2025-0396"/>
    <d v="2025-04-22T00:00:00"/>
    <x v="1"/>
    <x v="1"/>
    <s v="Surabaya"/>
    <s v="Wireless Mouse Ergonomic"/>
    <s v="Elektronik"/>
    <n v="250000"/>
    <n v="160000"/>
    <n v="3"/>
    <n v="750000"/>
    <n v="0"/>
    <n v="0"/>
    <n v="750000"/>
    <n v="480000"/>
    <n v="270000"/>
  </r>
  <r>
    <s v="SLS-03"/>
    <s v="TRX-2025-0397"/>
    <d v="2025-06-11T00:00:00"/>
    <x v="5"/>
    <x v="0"/>
    <s v="Bandung"/>
    <s v="Wajan Anti Lengket 28cm"/>
    <s v="Peralatan Rumah"/>
    <n v="210000"/>
    <n v="140000"/>
    <n v="4"/>
    <n v="840000"/>
    <n v="0.1"/>
    <n v="84000"/>
    <n v="756000"/>
    <n v="560000"/>
    <n v="196000"/>
  </r>
  <r>
    <s v="SLS-05"/>
    <s v="TRX-2025-0398"/>
    <d v="2025-12-20T00:00:00"/>
    <x v="3"/>
    <x v="2"/>
    <s v="Semarang"/>
    <s v="Laptop Ultrabook 14&quot;"/>
    <s v="Elektronik"/>
    <n v="8500000"/>
    <n v="7200000"/>
    <n v="4"/>
    <n v="34000000"/>
    <n v="0.2"/>
    <n v="6800000"/>
    <n v="27200000"/>
    <n v="28800000"/>
    <n v="-1600000"/>
  </r>
  <r>
    <s v="SLS-01"/>
    <s v="TRX-2025-0399"/>
    <d v="2025-06-01T00:00:00"/>
    <x v="0"/>
    <x v="0"/>
    <s v="Jakarta"/>
    <s v="Beras Premium 5kg"/>
    <s v="F&amp;B"/>
    <n v="74000"/>
    <n v="65000"/>
    <n v="18"/>
    <n v="1332000"/>
    <n v="0.15"/>
    <n v="199800"/>
    <n v="1132200"/>
    <n v="1170000"/>
    <n v="-37800"/>
  </r>
  <r>
    <s v="SLS-02"/>
    <s v="TRX-2025-0400"/>
    <d v="2025-11-23T00:00:00"/>
    <x v="1"/>
    <x v="1"/>
    <s v="Surabaya"/>
    <s v="Minyak Goreng Sawit 2L"/>
    <s v="F&amp;B"/>
    <n v="36000"/>
    <n v="31000"/>
    <n v="3"/>
    <n v="108000"/>
    <n v="0.1"/>
    <n v="10800"/>
    <n v="97200"/>
    <n v="93000"/>
    <n v="4200"/>
  </r>
  <r>
    <s v="SLS-06"/>
    <s v="TRX-2025-0401"/>
    <d v="2025-10-19T00:00:00"/>
    <x v="2"/>
    <x v="1"/>
    <s v="Makassar"/>
    <s v="Jaket Hoodie Casual"/>
    <s v="Fashion"/>
    <n v="350000"/>
    <n v="220000"/>
    <n v="9"/>
    <n v="3150000"/>
    <n v="0.05"/>
    <n v="157500"/>
    <n v="2992500"/>
    <n v="1980000"/>
    <n v="1012500"/>
  </r>
  <r>
    <s v="SLS-01"/>
    <s v="TRX-2025-0402"/>
    <d v="2025-10-28T00:00:00"/>
    <x v="0"/>
    <x v="0"/>
    <s v="Jakarta"/>
    <s v="Wireless Mouse Ergonomic"/>
    <s v="Elektronik"/>
    <n v="250000"/>
    <n v="160000"/>
    <n v="5"/>
    <n v="1250000"/>
    <n v="0.05"/>
    <n v="62500"/>
    <n v="1187500"/>
    <n v="800000"/>
    <n v="387500"/>
  </r>
  <r>
    <s v="SLS-07"/>
    <s v="TRX-2025-0403"/>
    <d v="2025-09-17T00:00:00"/>
    <x v="7"/>
    <x v="2"/>
    <s v="Denpasar"/>
    <s v="Kemeja Batik Katun Premium"/>
    <s v="Fashion"/>
    <n v="320000"/>
    <n v="190000"/>
    <n v="7"/>
    <n v="2240000"/>
    <n v="0.15"/>
    <n v="336000"/>
    <n v="1904000"/>
    <n v="1330000"/>
    <n v="574000"/>
  </r>
  <r>
    <s v="SLS-05"/>
    <s v="TRX-2025-0404"/>
    <d v="2025-05-23T00:00:00"/>
    <x v="3"/>
    <x v="2"/>
    <s v="Semarang"/>
    <s v="Wireless Mouse Ergonomic"/>
    <s v="Elektronik"/>
    <n v="250000"/>
    <n v="160000"/>
    <n v="2"/>
    <n v="500000"/>
    <n v="0.2"/>
    <n v="100000"/>
    <n v="400000"/>
    <n v="320000"/>
    <n v="80000"/>
  </r>
  <r>
    <s v="SLS-02"/>
    <s v="TRX-2025-0405"/>
    <d v="2025-07-20T00:00:00"/>
    <x v="1"/>
    <x v="1"/>
    <s v="Surabaya"/>
    <s v="Minyak Goreng Sawit 2L"/>
    <s v="F&amp;B"/>
    <n v="36000"/>
    <n v="31000"/>
    <n v="25"/>
    <n v="900000"/>
    <n v="0.15"/>
    <n v="135000"/>
    <n v="765000"/>
    <n v="775000"/>
    <n v="-10000"/>
  </r>
  <r>
    <s v="SLS-07"/>
    <s v="TRX-2025-0406"/>
    <d v="2025-02-14T00:00:00"/>
    <x v="7"/>
    <x v="2"/>
    <s v="Denpasar"/>
    <s v="Set Pisau Dapur Stainless"/>
    <s v="Peralatan Rumah"/>
    <n v="165000"/>
    <n v="105000"/>
    <n v="2"/>
    <n v="330000"/>
    <n v="0.15"/>
    <n v="49500"/>
    <n v="280500"/>
    <n v="210000"/>
    <n v="70500"/>
  </r>
  <r>
    <s v="SLS-03"/>
    <s v="TRX-2025-0407"/>
    <d v="2025-03-03T00:00:00"/>
    <x v="5"/>
    <x v="0"/>
    <s v="Bandung"/>
    <s v="Laptop Ultrabook 14&quot;"/>
    <s v="Elektronik"/>
    <n v="8500000"/>
    <n v="7200000"/>
    <n v="12"/>
    <n v="102000000"/>
    <n v="0"/>
    <n v="0"/>
    <n v="102000000"/>
    <n v="86400000"/>
    <n v="15600000"/>
  </r>
  <r>
    <s v="SLS-05"/>
    <s v="TRX-2025-0408"/>
    <d v="2025-09-25T00:00:00"/>
    <x v="3"/>
    <x v="2"/>
    <s v="Semarang"/>
    <s v="Kopi Arabika Gayo 250g"/>
    <s v="F&amp;B"/>
    <n v="85000"/>
    <n v="55000"/>
    <n v="14"/>
    <n v="1190000"/>
    <n v="0.05"/>
    <n v="59500"/>
    <n v="1130500"/>
    <n v="770000"/>
    <n v="360500"/>
  </r>
  <r>
    <s v="SLS-07"/>
    <s v="TRX-2025-0409"/>
    <d v="2025-01-16T00:00:00"/>
    <x v="7"/>
    <x v="2"/>
    <s v="Denpasar"/>
    <s v="Celana Chino Slim Fit"/>
    <s v="Fashion"/>
    <n v="280000"/>
    <n v="175000"/>
    <n v="5"/>
    <n v="1400000"/>
    <n v="0.2"/>
    <n v="280000"/>
    <n v="1120000"/>
    <n v="875000"/>
    <n v="245000"/>
  </r>
  <r>
    <s v="SLS-06"/>
    <s v="TRX-2025-0410"/>
    <d v="2025-09-12T00:00:00"/>
    <x v="2"/>
    <x v="1"/>
    <s v="Makassar"/>
    <s v="Sepatu Sneakers Pria/Wanita"/>
    <s v="Fashion"/>
    <n v="450000"/>
    <n v="290000"/>
    <n v="1"/>
    <n v="450000"/>
    <n v="0.15"/>
    <n v="67500"/>
    <n v="382500"/>
    <n v="290000"/>
    <n v="92500"/>
  </r>
  <r>
    <s v="SLS-02"/>
    <s v="TRX-2025-0411"/>
    <d v="2025-05-11T00:00:00"/>
    <x v="1"/>
    <x v="1"/>
    <s v="Surabaya"/>
    <s v="Wajan Anti Lengket 28cm"/>
    <s v="Peralatan Rumah"/>
    <n v="210000"/>
    <n v="140000"/>
    <n v="10"/>
    <n v="2100000"/>
    <n v="0"/>
    <n v="0"/>
    <n v="2100000"/>
    <n v="1400000"/>
    <n v="700000"/>
  </r>
  <r>
    <s v="SLS-01"/>
    <s v="TRX-2025-0412"/>
    <d v="2025-01-23T00:00:00"/>
    <x v="0"/>
    <x v="0"/>
    <s v="Jakarta"/>
    <s v="Blender Multifungsi 2-in-1"/>
    <s v="Peralatan Rumah"/>
    <n v="340000"/>
    <n v="240000"/>
    <n v="4"/>
    <n v="1360000"/>
    <n v="0"/>
    <n v="0"/>
    <n v="1360000"/>
    <n v="960000"/>
    <n v="400000"/>
  </r>
  <r>
    <s v="SLS-01"/>
    <s v="TRX-2025-0413"/>
    <d v="2025-03-18T00:00:00"/>
    <x v="0"/>
    <x v="0"/>
    <s v="Jakarta"/>
    <s v="Mechanical Keyboard RGB"/>
    <s v="Elektronik"/>
    <n v="750000"/>
    <n v="520000"/>
    <n v="9"/>
    <n v="6750000"/>
    <n v="0.15"/>
    <n v="1012500"/>
    <n v="5737500"/>
    <n v="4680000"/>
    <n v="1057500"/>
  </r>
  <r>
    <s v="SLS-06"/>
    <s v="TRX-2025-0414"/>
    <d v="2025-08-02T00:00:00"/>
    <x v="2"/>
    <x v="1"/>
    <s v="Makassar"/>
    <s v="Set Pisau Dapur Stainless"/>
    <s v="Peralatan Rumah"/>
    <n v="165000"/>
    <n v="105000"/>
    <n v="5"/>
    <n v="825000"/>
    <n v="0"/>
    <n v="0"/>
    <n v="825000"/>
    <n v="525000"/>
    <n v="300000"/>
  </r>
  <r>
    <s v="SLS-01"/>
    <s v="TRX-2025-0415"/>
    <d v="2025-04-02T00:00:00"/>
    <x v="0"/>
    <x v="0"/>
    <s v="Jakarta"/>
    <s v="Monitor 24&quot; FHD 144Hz"/>
    <s v="Elektronik"/>
    <n v="1950000"/>
    <n v="1500000"/>
    <n v="7"/>
    <n v="13650000"/>
    <n v="0"/>
    <n v="0"/>
    <n v="13650000"/>
    <n v="10500000"/>
    <n v="3150000"/>
  </r>
  <r>
    <s v="SLS-08"/>
    <s v="TRX-2025-0416"/>
    <d v="2025-06-17T00:00:00"/>
    <x v="6"/>
    <x v="2"/>
    <s v="Yogyakarta"/>
    <s v="Wireless Mouse Ergonomic"/>
    <s v="Elektronik"/>
    <n v="250000"/>
    <n v="160000"/>
    <n v="1"/>
    <n v="250000"/>
    <n v="0.1"/>
    <n v="25000"/>
    <n v="225000"/>
    <n v="160000"/>
    <n v="65000"/>
  </r>
  <r>
    <s v="SLS-08"/>
    <s v="TRX-2025-0417"/>
    <d v="2025-11-15T00:00:00"/>
    <x v="6"/>
    <x v="2"/>
    <s v="Yogyakarta"/>
    <s v="Monitor 24&quot; FHD 144Hz"/>
    <s v="Elektronik"/>
    <n v="1950000"/>
    <n v="1500000"/>
    <n v="6"/>
    <n v="11700000"/>
    <n v="0.2"/>
    <n v="2340000"/>
    <n v="9360000"/>
    <n v="9000000"/>
    <n v="360000"/>
  </r>
  <r>
    <s v="SLS-07"/>
    <s v="TRX-2025-0418"/>
    <d v="2025-03-19T00:00:00"/>
    <x v="7"/>
    <x v="2"/>
    <s v="Denpasar"/>
    <s v="Laptop Ultrabook 14&quot;"/>
    <s v="Elektronik"/>
    <n v="8500000"/>
    <n v="7200000"/>
    <n v="1"/>
    <n v="8500000"/>
    <n v="0.05"/>
    <n v="425000"/>
    <n v="8075000"/>
    <n v="7200000"/>
    <n v="875000"/>
  </r>
  <r>
    <s v="SLS-07"/>
    <s v="TRX-2025-0419"/>
    <d v="2025-06-21T00:00:00"/>
    <x v="7"/>
    <x v="2"/>
    <s v="Denpasar"/>
    <s v="Laptop Ultrabook 14&quot;"/>
    <s v="Elektronik"/>
    <n v="8500000"/>
    <n v="7200000"/>
    <n v="12"/>
    <n v="102000000"/>
    <n v="0.1"/>
    <n v="10200000"/>
    <n v="91800000"/>
    <n v="86400000"/>
    <n v="5400000"/>
  </r>
  <r>
    <s v="SLS-01"/>
    <s v="TRX-2025-0420"/>
    <d v="2025-08-03T00:00:00"/>
    <x v="0"/>
    <x v="0"/>
    <s v="Jakarta"/>
    <s v="Sepatu Sneakers Pria/Wanita"/>
    <s v="Fashion"/>
    <n v="450000"/>
    <n v="290000"/>
    <n v="3"/>
    <n v="1350000"/>
    <n v="0.1"/>
    <n v="135000"/>
    <n v="1215000"/>
    <n v="870000"/>
    <n v="345000"/>
  </r>
  <r>
    <s v="SLS-06"/>
    <s v="TRX-2025-0421"/>
    <d v="2025-09-24T00:00:00"/>
    <x v="2"/>
    <x v="1"/>
    <s v="Makassar"/>
    <s v="Jaket Hoodie Casual"/>
    <s v="Fashion"/>
    <n v="350000"/>
    <n v="220000"/>
    <n v="8"/>
    <n v="2800000"/>
    <n v="0"/>
    <n v="0"/>
    <n v="2800000"/>
    <n v="1760000"/>
    <n v="1040000"/>
  </r>
  <r>
    <s v="SLS-07"/>
    <s v="TRX-2025-0422"/>
    <d v="2025-11-23T00:00:00"/>
    <x v="7"/>
    <x v="2"/>
    <s v="Denpasar"/>
    <s v="Blender Multifungsi 2-in-1"/>
    <s v="Peralatan Rumah"/>
    <n v="340000"/>
    <n v="240000"/>
    <n v="2"/>
    <n v="680000"/>
    <n v="0.2"/>
    <n v="136000"/>
    <n v="544000"/>
    <n v="480000"/>
    <n v="64000"/>
  </r>
  <r>
    <s v="SLS-05"/>
    <s v="TRX-2025-0423"/>
    <d v="2025-05-02T00:00:00"/>
    <x v="3"/>
    <x v="2"/>
    <s v="Semarang"/>
    <s v="Kemeja Batik Katun Premium"/>
    <s v="Fashion"/>
    <n v="320000"/>
    <n v="190000"/>
    <n v="6"/>
    <n v="1920000"/>
    <n v="0.15"/>
    <n v="288000"/>
    <n v="1632000"/>
    <n v="1140000"/>
    <n v="492000"/>
  </r>
  <r>
    <s v="SLS-02"/>
    <s v="TRX-2025-0424"/>
    <d v="2025-05-20T00:00:00"/>
    <x v="1"/>
    <x v="1"/>
    <s v="Surabaya"/>
    <s v="Monitor 24&quot; FHD 144Hz"/>
    <s v="Elektronik"/>
    <n v="1950000"/>
    <n v="1500000"/>
    <n v="4"/>
    <n v="7800000"/>
    <n v="0.05"/>
    <n v="390000"/>
    <n v="7410000"/>
    <n v="6000000"/>
    <n v="1410000"/>
  </r>
  <r>
    <s v="SLS-08"/>
    <s v="TRX-2025-0425"/>
    <d v="2025-03-26T00:00:00"/>
    <x v="6"/>
    <x v="2"/>
    <s v="Yogyakarta"/>
    <s v="Sepatu Sneakers Pria/Wanita"/>
    <s v="Fashion"/>
    <n v="450000"/>
    <n v="290000"/>
    <n v="6"/>
    <n v="2700000"/>
    <n v="0.15"/>
    <n v="405000"/>
    <n v="2295000"/>
    <n v="1740000"/>
    <n v="555000"/>
  </r>
  <r>
    <s v="SLS-05"/>
    <s v="TRX-2025-0426"/>
    <d v="2025-04-17T00:00:00"/>
    <x v="3"/>
    <x v="2"/>
    <s v="Semarang"/>
    <s v="Sepatu Sneakers Pria/Wanita"/>
    <s v="Fashion"/>
    <n v="450000"/>
    <n v="290000"/>
    <n v="8"/>
    <n v="3600000"/>
    <n v="0.1"/>
    <n v="360000"/>
    <n v="3240000"/>
    <n v="2320000"/>
    <n v="920000"/>
  </r>
  <r>
    <s v="SLS-01"/>
    <s v="TRX-2025-0427"/>
    <d v="2025-12-18T00:00:00"/>
    <x v="0"/>
    <x v="0"/>
    <s v="Jakarta"/>
    <s v="Kemeja Batik Katun Premium"/>
    <s v="Fashion"/>
    <n v="320000"/>
    <n v="190000"/>
    <n v="4"/>
    <n v="1280000"/>
    <n v="0.1"/>
    <n v="128000"/>
    <n v="1152000"/>
    <n v="760000"/>
    <n v="392000"/>
  </r>
  <r>
    <s v="SLS-01"/>
    <s v="TRX-2025-0428"/>
    <d v="2025-07-02T00:00:00"/>
    <x v="0"/>
    <x v="0"/>
    <s v="Jakarta"/>
    <s v="Jaket Hoodie Casual"/>
    <s v="Fashion"/>
    <n v="350000"/>
    <n v="220000"/>
    <n v="11"/>
    <n v="3850000"/>
    <n v="0.1"/>
    <n v="385000"/>
    <n v="3465000"/>
    <n v="2420000"/>
    <n v="1045000"/>
  </r>
  <r>
    <s v="SLS-08"/>
    <s v="TRX-2025-0429"/>
    <d v="2025-07-27T00:00:00"/>
    <x v="6"/>
    <x v="2"/>
    <s v="Yogyakarta"/>
    <s v="Blender Multifungsi 2-in-1"/>
    <s v="Peralatan Rumah"/>
    <n v="340000"/>
    <n v="240000"/>
    <n v="9"/>
    <n v="3060000"/>
    <n v="0.2"/>
    <n v="612000"/>
    <n v="2448000"/>
    <n v="2160000"/>
    <n v="288000"/>
  </r>
  <r>
    <s v="SLS-03"/>
    <s v="TRX-2025-0430"/>
    <d v="2025-02-22T00:00:00"/>
    <x v="5"/>
    <x v="0"/>
    <s v="Bandung"/>
    <s v="Wajan Anti Lengket 28cm"/>
    <s v="Peralatan Rumah"/>
    <n v="210000"/>
    <n v="140000"/>
    <n v="2"/>
    <n v="420000"/>
    <n v="0"/>
    <n v="0"/>
    <n v="420000"/>
    <n v="280000"/>
    <n v="140000"/>
  </r>
  <r>
    <s v="SLS-07"/>
    <s v="TRX-2025-0431"/>
    <d v="2025-04-12T00:00:00"/>
    <x v="7"/>
    <x v="2"/>
    <s v="Denpasar"/>
    <s v="Blender Multifungsi 2-in-1"/>
    <s v="Peralatan Rumah"/>
    <n v="340000"/>
    <n v="240000"/>
    <n v="6"/>
    <n v="2040000"/>
    <n v="0"/>
    <n v="0"/>
    <n v="2040000"/>
    <n v="1440000"/>
    <n v="600000"/>
  </r>
  <r>
    <s v="SLS-08"/>
    <s v="TRX-2025-0432"/>
    <d v="2025-02-03T00:00:00"/>
    <x v="6"/>
    <x v="2"/>
    <s v="Yogyakarta"/>
    <s v="Monitor 24&quot; FHD 144Hz"/>
    <s v="Elektronik"/>
    <n v="1950000"/>
    <n v="1500000"/>
    <n v="3"/>
    <n v="5850000"/>
    <n v="0"/>
    <n v="0"/>
    <n v="5850000"/>
    <n v="4500000"/>
    <n v="1350000"/>
  </r>
  <r>
    <s v="SLS-03"/>
    <s v="TRX-2025-0433"/>
    <d v="2025-08-25T00:00:00"/>
    <x v="5"/>
    <x v="0"/>
    <s v="Bandung"/>
    <s v="Laptop Ultrabook 14&quot;"/>
    <s v="Elektronik"/>
    <n v="8500000"/>
    <n v="7200000"/>
    <n v="10"/>
    <n v="85000000"/>
    <n v="0.15"/>
    <n v="12750000"/>
    <n v="72250000"/>
    <n v="72000000"/>
    <n v="250000"/>
  </r>
  <r>
    <s v="SLS-07"/>
    <s v="TRX-2025-0434"/>
    <d v="2025-07-15T00:00:00"/>
    <x v="7"/>
    <x v="2"/>
    <s v="Denpasar"/>
    <s v="Beras Premium 5kg"/>
    <s v="F&amp;B"/>
    <n v="74000"/>
    <n v="65000"/>
    <n v="14"/>
    <n v="1036000"/>
    <n v="0.05"/>
    <n v="51800"/>
    <n v="984200"/>
    <n v="910000"/>
    <n v="74200"/>
  </r>
  <r>
    <s v="SLS-03"/>
    <s v="TRX-2025-0435"/>
    <d v="2025-08-17T00:00:00"/>
    <x v="5"/>
    <x v="0"/>
    <s v="Bandung"/>
    <s v="Set Pisau Dapur Stainless"/>
    <s v="Peralatan Rumah"/>
    <n v="165000"/>
    <n v="105000"/>
    <n v="1"/>
    <n v="165000"/>
    <n v="0.2"/>
    <n v="33000"/>
    <n v="132000"/>
    <n v="105000"/>
    <n v="27000"/>
  </r>
  <r>
    <s v="SLS-08"/>
    <s v="TRX-2025-0436"/>
    <d v="2025-09-13T00:00:00"/>
    <x v="6"/>
    <x v="2"/>
    <s v="Yogyakarta"/>
    <s v="Jaket Hoodie Casual"/>
    <s v="Fashion"/>
    <n v="350000"/>
    <n v="220000"/>
    <n v="1"/>
    <n v="350000"/>
    <n v="0"/>
    <n v="0"/>
    <n v="350000"/>
    <n v="220000"/>
    <n v="130000"/>
  </r>
  <r>
    <s v="SLS-04"/>
    <s v="TRX-2025-0437"/>
    <d v="2025-08-03T00:00:00"/>
    <x v="4"/>
    <x v="0"/>
    <s v="Medan"/>
    <s v="Monitor 24&quot; FHD 144Hz"/>
    <s v="Elektronik"/>
    <n v="1950000"/>
    <n v="1500000"/>
    <n v="11"/>
    <n v="21450000"/>
    <n v="0.2"/>
    <n v="4290000"/>
    <n v="17160000"/>
    <n v="16500000"/>
    <n v="660000"/>
  </r>
  <r>
    <s v="SLS-08"/>
    <s v="TRX-2025-0438"/>
    <d v="2025-09-03T00:00:00"/>
    <x v="6"/>
    <x v="2"/>
    <s v="Yogyakarta"/>
    <s v="Kopi Arabika Gayo 250g"/>
    <s v="F&amp;B"/>
    <n v="85000"/>
    <n v="55000"/>
    <n v="21"/>
    <n v="1785000"/>
    <n v="0.2"/>
    <n v="357000"/>
    <n v="1428000"/>
    <n v="1155000"/>
    <n v="273000"/>
  </r>
  <r>
    <s v="SLS-06"/>
    <s v="TRX-2025-0439"/>
    <d v="2025-04-03T00:00:00"/>
    <x v="2"/>
    <x v="1"/>
    <s v="Makassar"/>
    <s v="Laptop Ultrabook 14&quot;"/>
    <s v="Elektronik"/>
    <n v="8500000"/>
    <n v="7200000"/>
    <n v="10"/>
    <n v="85000000"/>
    <n v="0.05"/>
    <n v="4250000"/>
    <n v="80750000"/>
    <n v="72000000"/>
    <n v="8750000"/>
  </r>
  <r>
    <s v="SLS-06"/>
    <s v="TRX-2025-0440"/>
    <d v="2025-08-30T00:00:00"/>
    <x v="2"/>
    <x v="1"/>
    <s v="Makassar"/>
    <s v="Kopi Arabika Gayo 250g"/>
    <s v="F&amp;B"/>
    <n v="85000"/>
    <n v="55000"/>
    <n v="10"/>
    <n v="850000"/>
    <n v="0.05"/>
    <n v="42500"/>
    <n v="807500"/>
    <n v="550000"/>
    <n v="257500"/>
  </r>
  <r>
    <s v="SLS-01"/>
    <s v="TRX-2025-0441"/>
    <d v="2025-05-17T00:00:00"/>
    <x v="0"/>
    <x v="0"/>
    <s v="Jakarta"/>
    <s v="Kopi Arabika Gayo 250g"/>
    <s v="F&amp;B"/>
    <n v="85000"/>
    <n v="55000"/>
    <n v="21"/>
    <n v="1785000"/>
    <n v="0.15"/>
    <n v="267750"/>
    <n v="1517250"/>
    <n v="1155000"/>
    <n v="362250"/>
  </r>
  <r>
    <s v="SLS-06"/>
    <s v="TRX-2025-0442"/>
    <d v="2025-05-02T00:00:00"/>
    <x v="2"/>
    <x v="1"/>
    <s v="Makassar"/>
    <s v="Minyak Goreng Sawit 2L"/>
    <s v="F&amp;B"/>
    <n v="36000"/>
    <n v="31000"/>
    <n v="25"/>
    <n v="900000"/>
    <n v="0.1"/>
    <n v="90000"/>
    <n v="810000"/>
    <n v="775000"/>
    <n v="35000"/>
  </r>
  <r>
    <s v="SLS-03"/>
    <s v="TRX-2025-0443"/>
    <d v="2025-10-18T00:00:00"/>
    <x v="5"/>
    <x v="0"/>
    <s v="Bandung"/>
    <s v="Minyak Goreng Sawit 2L"/>
    <s v="F&amp;B"/>
    <n v="36000"/>
    <n v="31000"/>
    <n v="9"/>
    <n v="324000"/>
    <n v="0.15"/>
    <n v="48600"/>
    <n v="275400"/>
    <n v="279000"/>
    <n v="-3600"/>
  </r>
  <r>
    <s v="SLS-01"/>
    <s v="TRX-2025-0444"/>
    <d v="2025-01-20T00:00:00"/>
    <x v="0"/>
    <x v="0"/>
    <s v="Jakarta"/>
    <s v="Wireless Mouse Ergonomic"/>
    <s v="Elektronik"/>
    <n v="250000"/>
    <n v="160000"/>
    <n v="4"/>
    <n v="1000000"/>
    <n v="0.2"/>
    <n v="200000"/>
    <n v="800000"/>
    <n v="640000"/>
    <n v="160000"/>
  </r>
  <r>
    <s v="SLS-04"/>
    <s v="TRX-2025-0445"/>
    <d v="2025-01-01T00:00:00"/>
    <x v="4"/>
    <x v="0"/>
    <s v="Medan"/>
    <s v="Celana Chino Slim Fit"/>
    <s v="Fashion"/>
    <n v="280000"/>
    <n v="175000"/>
    <n v="3"/>
    <n v="840000"/>
    <n v="0.1"/>
    <n v="84000"/>
    <n v="756000"/>
    <n v="525000"/>
    <n v="231000"/>
  </r>
  <r>
    <s v="SLS-03"/>
    <s v="TRX-2025-0446"/>
    <d v="2025-01-12T00:00:00"/>
    <x v="5"/>
    <x v="0"/>
    <s v="Bandung"/>
    <s v="Mechanical Keyboard RGB"/>
    <s v="Elektronik"/>
    <n v="750000"/>
    <n v="520000"/>
    <n v="2"/>
    <n v="1500000"/>
    <n v="0.2"/>
    <n v="300000"/>
    <n v="1200000"/>
    <n v="1040000"/>
    <n v="160000"/>
  </r>
  <r>
    <s v="SLS-07"/>
    <s v="TRX-2025-0447"/>
    <d v="2025-12-27T00:00:00"/>
    <x v="7"/>
    <x v="2"/>
    <s v="Denpasar"/>
    <s v="Beras Premium 5kg"/>
    <s v="F&amp;B"/>
    <n v="74000"/>
    <n v="65000"/>
    <n v="6"/>
    <n v="444000"/>
    <n v="0.1"/>
    <n v="44400"/>
    <n v="399600"/>
    <n v="390000"/>
    <n v="9600"/>
  </r>
  <r>
    <s v="SLS-07"/>
    <s v="TRX-2025-0448"/>
    <d v="2025-03-22T00:00:00"/>
    <x v="7"/>
    <x v="2"/>
    <s v="Denpasar"/>
    <s v="Susu UHT Full Cream 1L"/>
    <s v="F&amp;B"/>
    <n v="22000"/>
    <n v="18000"/>
    <n v="18"/>
    <n v="396000"/>
    <n v="0.1"/>
    <n v="39600"/>
    <n v="356400"/>
    <n v="324000"/>
    <n v="32400"/>
  </r>
  <r>
    <s v="SLS-03"/>
    <s v="TRX-2025-0449"/>
    <d v="2025-04-25T00:00:00"/>
    <x v="5"/>
    <x v="0"/>
    <s v="Bandung"/>
    <s v="Beras Premium 5kg"/>
    <s v="F&amp;B"/>
    <n v="74000"/>
    <n v="65000"/>
    <n v="12"/>
    <n v="888000"/>
    <n v="0.1"/>
    <n v="88800"/>
    <n v="799200"/>
    <n v="780000"/>
    <n v="19200"/>
  </r>
  <r>
    <s v="SLS-07"/>
    <s v="TRX-2025-0450"/>
    <d v="2025-12-26T00:00:00"/>
    <x v="7"/>
    <x v="2"/>
    <s v="Denpasar"/>
    <s v="Minyak Goreng Sawit 2L"/>
    <s v="F&amp;B"/>
    <n v="36000"/>
    <n v="31000"/>
    <n v="4"/>
    <n v="144000"/>
    <n v="0.05"/>
    <n v="7200"/>
    <n v="136800"/>
    <n v="124000"/>
    <n v="12800"/>
  </r>
  <r>
    <s v="SLS-02"/>
    <s v="TRX-2025-0451"/>
    <d v="2025-11-24T00:00:00"/>
    <x v="1"/>
    <x v="1"/>
    <s v="Surabaya"/>
    <s v="Minyak Goreng Sawit 2L"/>
    <s v="F&amp;B"/>
    <n v="36000"/>
    <n v="31000"/>
    <n v="7"/>
    <n v="252000"/>
    <n v="0.1"/>
    <n v="25200"/>
    <n v="226800"/>
    <n v="217000"/>
    <n v="9800"/>
  </r>
  <r>
    <s v="SLS-02"/>
    <s v="TRX-2025-0452"/>
    <d v="2025-06-13T00:00:00"/>
    <x v="1"/>
    <x v="1"/>
    <s v="Surabaya"/>
    <s v="Mechanical Keyboard RGB"/>
    <s v="Elektronik"/>
    <n v="750000"/>
    <n v="520000"/>
    <n v="12"/>
    <n v="9000000"/>
    <n v="0.1"/>
    <n v="900000"/>
    <n v="8100000"/>
    <n v="6240000"/>
    <n v="1860000"/>
  </r>
  <r>
    <s v="SLS-02"/>
    <s v="TRX-2025-0453"/>
    <d v="2025-04-18T00:00:00"/>
    <x v="1"/>
    <x v="1"/>
    <s v="Surabaya"/>
    <s v="Monitor 24&quot; FHD 144Hz"/>
    <s v="Elektronik"/>
    <n v="1950000"/>
    <n v="1500000"/>
    <n v="6"/>
    <n v="11700000"/>
    <n v="0.1"/>
    <n v="1170000"/>
    <n v="10530000"/>
    <n v="9000000"/>
    <n v="1530000"/>
  </r>
  <r>
    <s v="SLS-08"/>
    <s v="TRX-2025-0454"/>
    <d v="2025-01-25T00:00:00"/>
    <x v="6"/>
    <x v="2"/>
    <s v="Yogyakarta"/>
    <s v="Jaket Hoodie Casual"/>
    <s v="Fashion"/>
    <n v="350000"/>
    <n v="220000"/>
    <n v="12"/>
    <n v="4200000"/>
    <n v="0.15"/>
    <n v="630000"/>
    <n v="3570000"/>
    <n v="2640000"/>
    <n v="930000"/>
  </r>
  <r>
    <s v="SLS-07"/>
    <s v="TRX-2025-0455"/>
    <d v="2025-07-13T00:00:00"/>
    <x v="7"/>
    <x v="2"/>
    <s v="Denpasar"/>
    <s v="Celana Chino Slim Fit"/>
    <s v="Fashion"/>
    <n v="280000"/>
    <n v="175000"/>
    <n v="2"/>
    <n v="560000"/>
    <n v="0.15"/>
    <n v="84000"/>
    <n v="476000"/>
    <n v="350000"/>
    <n v="126000"/>
  </r>
  <r>
    <s v="SLS-01"/>
    <s v="TRX-2025-0456"/>
    <d v="2025-02-07T00:00:00"/>
    <x v="0"/>
    <x v="0"/>
    <s v="Jakarta"/>
    <s v="Wajan Anti Lengket 28cm"/>
    <s v="Peralatan Rumah"/>
    <n v="210000"/>
    <n v="140000"/>
    <n v="5"/>
    <n v="1050000"/>
    <n v="0"/>
    <n v="0"/>
    <n v="1050000"/>
    <n v="700000"/>
    <n v="350000"/>
  </r>
  <r>
    <s v="SLS-03"/>
    <s v="TRX-2025-0457"/>
    <d v="2025-02-07T00:00:00"/>
    <x v="5"/>
    <x v="0"/>
    <s v="Bandung"/>
    <s v="Celana Chino Slim Fit"/>
    <s v="Fashion"/>
    <n v="280000"/>
    <n v="175000"/>
    <n v="7"/>
    <n v="1960000"/>
    <n v="0.05"/>
    <n v="98000"/>
    <n v="1862000"/>
    <n v="1225000"/>
    <n v="637000"/>
  </r>
  <r>
    <s v="SLS-08"/>
    <s v="TRX-2025-0458"/>
    <d v="2025-06-23T00:00:00"/>
    <x v="6"/>
    <x v="2"/>
    <s v="Yogyakarta"/>
    <s v="Minyak Goreng Sawit 2L"/>
    <s v="F&amp;B"/>
    <n v="36000"/>
    <n v="31000"/>
    <n v="3"/>
    <n v="108000"/>
    <n v="0.15"/>
    <n v="16200"/>
    <n v="91800"/>
    <n v="93000"/>
    <n v="-1200"/>
  </r>
  <r>
    <s v="SLS-02"/>
    <s v="TRX-2025-0459"/>
    <d v="2025-03-22T00:00:00"/>
    <x v="1"/>
    <x v="1"/>
    <s v="Surabaya"/>
    <s v="Laptop Ultrabook 14&quot;"/>
    <s v="Elektronik"/>
    <n v="8500000"/>
    <n v="7200000"/>
    <n v="6"/>
    <n v="51000000"/>
    <n v="0.05"/>
    <n v="2550000"/>
    <n v="48450000"/>
    <n v="43200000"/>
    <n v="5250000"/>
  </r>
  <r>
    <s v="SLS-05"/>
    <s v="TRX-2025-0460"/>
    <d v="2025-12-05T00:00:00"/>
    <x v="3"/>
    <x v="2"/>
    <s v="Semarang"/>
    <s v="Kemeja Batik Katun Premium"/>
    <s v="Fashion"/>
    <n v="320000"/>
    <n v="190000"/>
    <n v="4"/>
    <n v="1280000"/>
    <n v="0"/>
    <n v="0"/>
    <n v="1280000"/>
    <n v="760000"/>
    <n v="520000"/>
  </r>
  <r>
    <s v="SLS-06"/>
    <s v="TRX-2025-0461"/>
    <d v="2025-03-20T00:00:00"/>
    <x v="2"/>
    <x v="1"/>
    <s v="Makassar"/>
    <s v="Laptop Ultrabook 14&quot;"/>
    <s v="Elektronik"/>
    <n v="8500000"/>
    <n v="7200000"/>
    <n v="1"/>
    <n v="8500000"/>
    <n v="0.15"/>
    <n v="1275000"/>
    <n v="7225000"/>
    <n v="7200000"/>
    <n v="25000"/>
  </r>
  <r>
    <s v="SLS-01"/>
    <s v="TRX-2025-0462"/>
    <d v="2025-04-13T00:00:00"/>
    <x v="0"/>
    <x v="0"/>
    <s v="Jakarta"/>
    <s v="Wireless Mouse Ergonomic"/>
    <s v="Elektronik"/>
    <n v="250000"/>
    <n v="160000"/>
    <n v="4"/>
    <n v="1000000"/>
    <n v="0.05"/>
    <n v="50000"/>
    <n v="950000"/>
    <n v="640000"/>
    <n v="310000"/>
  </r>
  <r>
    <s v="SLS-07"/>
    <s v="TRX-2025-0463"/>
    <d v="2025-03-01T00:00:00"/>
    <x v="7"/>
    <x v="2"/>
    <s v="Denpasar"/>
    <s v="Kemeja Batik Katun Premium"/>
    <s v="Fashion"/>
    <n v="320000"/>
    <n v="190000"/>
    <n v="8"/>
    <n v="2560000"/>
    <n v="0.15"/>
    <n v="384000"/>
    <n v="2176000"/>
    <n v="1520000"/>
    <n v="656000"/>
  </r>
  <r>
    <s v="SLS-07"/>
    <s v="TRX-2025-0464"/>
    <d v="2025-04-05T00:00:00"/>
    <x v="7"/>
    <x v="2"/>
    <s v="Denpasar"/>
    <s v="Celana Chino Slim Fit"/>
    <s v="Fashion"/>
    <n v="280000"/>
    <n v="175000"/>
    <n v="6"/>
    <n v="1680000"/>
    <n v="0.05"/>
    <n v="84000"/>
    <n v="1596000"/>
    <n v="1050000"/>
    <n v="546000"/>
  </r>
  <r>
    <s v="SLS-05"/>
    <s v="TRX-2025-0465"/>
    <d v="2025-08-14T00:00:00"/>
    <x v="3"/>
    <x v="2"/>
    <s v="Semarang"/>
    <s v="Sepatu Sneakers Pria/Wanita"/>
    <s v="Fashion"/>
    <n v="450000"/>
    <n v="290000"/>
    <n v="4"/>
    <n v="1800000"/>
    <n v="0.1"/>
    <n v="180000"/>
    <n v="1620000"/>
    <n v="1160000"/>
    <n v="460000"/>
  </r>
  <r>
    <s v="SLS-06"/>
    <s v="TRX-2025-0466"/>
    <d v="2025-02-13T00:00:00"/>
    <x v="2"/>
    <x v="1"/>
    <s v="Makassar"/>
    <s v="Beras Premium 5kg"/>
    <s v="F&amp;B"/>
    <n v="74000"/>
    <n v="65000"/>
    <n v="16"/>
    <n v="1184000"/>
    <n v="0.2"/>
    <n v="236800"/>
    <n v="947200"/>
    <n v="1040000"/>
    <n v="-92800"/>
  </r>
  <r>
    <s v="SLS-07"/>
    <s v="TRX-2025-0467"/>
    <d v="2025-07-18T00:00:00"/>
    <x v="7"/>
    <x v="2"/>
    <s v="Denpasar"/>
    <s v="Blender Multifungsi 2-in-1"/>
    <s v="Peralatan Rumah"/>
    <n v="340000"/>
    <n v="240000"/>
    <n v="9"/>
    <n v="3060000"/>
    <n v="0.15"/>
    <n v="459000"/>
    <n v="2601000"/>
    <n v="2160000"/>
    <n v="441000"/>
  </r>
  <r>
    <s v="SLS-01"/>
    <s v="TRX-2025-0468"/>
    <d v="2025-02-10T00:00:00"/>
    <x v="0"/>
    <x v="0"/>
    <s v="Jakarta"/>
    <s v="Jaket Hoodie Casual"/>
    <s v="Fashion"/>
    <n v="350000"/>
    <n v="220000"/>
    <n v="9"/>
    <n v="3150000"/>
    <n v="0.2"/>
    <n v="630000"/>
    <n v="2520000"/>
    <n v="1980000"/>
    <n v="540000"/>
  </r>
  <r>
    <s v="SLS-04"/>
    <s v="TRX-2025-0469"/>
    <d v="2025-03-30T00:00:00"/>
    <x v="4"/>
    <x v="0"/>
    <s v="Medan"/>
    <s v="Mechanical Keyboard RGB"/>
    <s v="Elektronik"/>
    <n v="750000"/>
    <n v="520000"/>
    <n v="4"/>
    <n v="3000000"/>
    <n v="0.05"/>
    <n v="150000"/>
    <n v="2850000"/>
    <n v="2080000"/>
    <n v="770000"/>
  </r>
  <r>
    <s v="SLS-04"/>
    <s v="TRX-2025-0470"/>
    <d v="2025-12-16T00:00:00"/>
    <x v="4"/>
    <x v="0"/>
    <s v="Medan"/>
    <s v="Jaket Hoodie Casual"/>
    <s v="Fashion"/>
    <n v="350000"/>
    <n v="220000"/>
    <n v="11"/>
    <n v="3850000"/>
    <n v="0.05"/>
    <n v="192500"/>
    <n v="3657500"/>
    <n v="2420000"/>
    <n v="1237500"/>
  </r>
  <r>
    <s v="SLS-07"/>
    <s v="TRX-2025-0471"/>
    <d v="2025-02-14T00:00:00"/>
    <x v="7"/>
    <x v="2"/>
    <s v="Denpasar"/>
    <s v="Jaket Hoodie Casual"/>
    <s v="Fashion"/>
    <n v="350000"/>
    <n v="220000"/>
    <n v="9"/>
    <n v="3150000"/>
    <n v="0.1"/>
    <n v="315000"/>
    <n v="2835000"/>
    <n v="1980000"/>
    <n v="855000"/>
  </r>
  <r>
    <s v="SLS-07"/>
    <s v="TRX-2025-0472"/>
    <d v="2025-01-07T00:00:00"/>
    <x v="7"/>
    <x v="2"/>
    <s v="Denpasar"/>
    <s v="Wajan Anti Lengket 28cm"/>
    <s v="Peralatan Rumah"/>
    <n v="210000"/>
    <n v="140000"/>
    <n v="2"/>
    <n v="420000"/>
    <n v="0.15"/>
    <n v="63000"/>
    <n v="357000"/>
    <n v="280000"/>
    <n v="77000"/>
  </r>
  <r>
    <s v="SLS-02"/>
    <s v="TRX-2025-0473"/>
    <d v="2025-02-24T00:00:00"/>
    <x v="1"/>
    <x v="1"/>
    <s v="Surabaya"/>
    <s v="Minyak Goreng Sawit 2L"/>
    <s v="F&amp;B"/>
    <n v="36000"/>
    <n v="31000"/>
    <n v="30"/>
    <n v="1080000"/>
    <n v="0.2"/>
    <n v="216000"/>
    <n v="864000"/>
    <n v="930000"/>
    <n v="-66000"/>
  </r>
  <r>
    <s v="SLS-08"/>
    <s v="TRX-2025-0474"/>
    <d v="2025-07-16T00:00:00"/>
    <x v="6"/>
    <x v="2"/>
    <s v="Yogyakarta"/>
    <s v="Beras Premium 5kg"/>
    <s v="F&amp;B"/>
    <n v="74000"/>
    <n v="65000"/>
    <n v="22"/>
    <n v="1628000"/>
    <n v="0.15"/>
    <n v="244200"/>
    <n v="1383800"/>
    <n v="1430000"/>
    <n v="-46200"/>
  </r>
  <r>
    <s v="SLS-07"/>
    <s v="TRX-2025-0475"/>
    <d v="2025-07-26T00:00:00"/>
    <x v="7"/>
    <x v="2"/>
    <s v="Denpasar"/>
    <s v="Mechanical Keyboard RGB"/>
    <s v="Elektronik"/>
    <n v="750000"/>
    <n v="520000"/>
    <n v="1"/>
    <n v="750000"/>
    <n v="0.15"/>
    <n v="112500"/>
    <n v="637500"/>
    <n v="520000"/>
    <n v="117500"/>
  </r>
  <r>
    <s v="SLS-08"/>
    <s v="TRX-2025-0476"/>
    <d v="2025-01-26T00:00:00"/>
    <x v="6"/>
    <x v="2"/>
    <s v="Yogyakarta"/>
    <s v="Susu UHT Full Cream 1L"/>
    <s v="F&amp;B"/>
    <n v="22000"/>
    <n v="18000"/>
    <n v="14"/>
    <n v="308000"/>
    <n v="0"/>
    <n v="0"/>
    <n v="308000"/>
    <n v="252000"/>
    <n v="56000"/>
  </r>
  <r>
    <s v="SLS-08"/>
    <s v="TRX-2025-0477"/>
    <d v="2025-05-24T00:00:00"/>
    <x v="6"/>
    <x v="2"/>
    <s v="Yogyakarta"/>
    <s v="Blender Multifungsi 2-in-1"/>
    <s v="Peralatan Rumah"/>
    <n v="340000"/>
    <n v="240000"/>
    <n v="12"/>
    <n v="4080000"/>
    <n v="0"/>
    <n v="0"/>
    <n v="4080000"/>
    <n v="2880000"/>
    <n v="1200000"/>
  </r>
  <r>
    <s v="SLS-06"/>
    <s v="TRX-2025-0478"/>
    <d v="2025-08-15T00:00:00"/>
    <x v="2"/>
    <x v="1"/>
    <s v="Makassar"/>
    <s v="Wajan Anti Lengket 28cm"/>
    <s v="Peralatan Rumah"/>
    <n v="210000"/>
    <n v="140000"/>
    <n v="5"/>
    <n v="1050000"/>
    <n v="0.15"/>
    <n v="157500"/>
    <n v="892500"/>
    <n v="700000"/>
    <n v="192500"/>
  </r>
  <r>
    <s v="SLS-07"/>
    <s v="TRX-2025-0479"/>
    <d v="2025-04-19T00:00:00"/>
    <x v="7"/>
    <x v="2"/>
    <s v="Denpasar"/>
    <s v="Set Pisau Dapur Stainless"/>
    <s v="Peralatan Rumah"/>
    <n v="165000"/>
    <n v="105000"/>
    <n v="12"/>
    <n v="1980000"/>
    <n v="0.15"/>
    <n v="297000"/>
    <n v="1683000"/>
    <n v="1260000"/>
    <n v="423000"/>
  </r>
  <r>
    <s v="SLS-07"/>
    <s v="TRX-2025-0480"/>
    <d v="2025-02-03T00:00:00"/>
    <x v="7"/>
    <x v="2"/>
    <s v="Denpasar"/>
    <s v="Kemeja Batik Katun Premium"/>
    <s v="Fashion"/>
    <n v="320000"/>
    <n v="190000"/>
    <n v="3"/>
    <n v="960000"/>
    <n v="0.2"/>
    <n v="192000"/>
    <n v="768000"/>
    <n v="570000"/>
    <n v="198000"/>
  </r>
  <r>
    <s v="SLS-01"/>
    <s v="TRX-2025-0481"/>
    <d v="2025-04-13T00:00:00"/>
    <x v="0"/>
    <x v="0"/>
    <s v="Jakarta"/>
    <s v="Blender Multifungsi 2-in-1"/>
    <s v="Peralatan Rumah"/>
    <n v="340000"/>
    <n v="240000"/>
    <n v="4"/>
    <n v="1360000"/>
    <n v="0"/>
    <n v="0"/>
    <n v="1360000"/>
    <n v="960000"/>
    <n v="400000"/>
  </r>
  <r>
    <s v="SLS-05"/>
    <s v="TRX-2025-0482"/>
    <d v="2025-12-27T00:00:00"/>
    <x v="3"/>
    <x v="2"/>
    <s v="Semarang"/>
    <s v="Monitor 24&quot; FHD 144Hz"/>
    <s v="Elektronik"/>
    <n v="1950000"/>
    <n v="1500000"/>
    <n v="6"/>
    <n v="11700000"/>
    <n v="0.15"/>
    <n v="1755000"/>
    <n v="9945000"/>
    <n v="9000000"/>
    <n v="945000"/>
  </r>
  <r>
    <s v="SLS-04"/>
    <s v="TRX-2025-0483"/>
    <d v="2025-12-15T00:00:00"/>
    <x v="4"/>
    <x v="0"/>
    <s v="Medan"/>
    <s v="Laptop Ultrabook 14&quot;"/>
    <s v="Elektronik"/>
    <n v="8500000"/>
    <n v="7200000"/>
    <n v="6"/>
    <n v="51000000"/>
    <n v="0.15"/>
    <n v="7650000"/>
    <n v="43350000"/>
    <n v="43200000"/>
    <n v="150000"/>
  </r>
  <r>
    <s v="SLS-06"/>
    <s v="TRX-2025-0484"/>
    <d v="2025-10-28T00:00:00"/>
    <x v="2"/>
    <x v="1"/>
    <s v="Makassar"/>
    <s v="Kopi Arabika Gayo 250g"/>
    <s v="F&amp;B"/>
    <n v="85000"/>
    <n v="55000"/>
    <n v="8"/>
    <n v="680000"/>
    <n v="0.1"/>
    <n v="68000"/>
    <n v="612000"/>
    <n v="440000"/>
    <n v="172000"/>
  </r>
  <r>
    <s v="SLS-03"/>
    <s v="TRX-2025-0485"/>
    <d v="2025-07-17T00:00:00"/>
    <x v="5"/>
    <x v="0"/>
    <s v="Bandung"/>
    <s v="Laptop Ultrabook 14&quot;"/>
    <s v="Elektronik"/>
    <n v="8500000"/>
    <n v="7200000"/>
    <n v="10"/>
    <n v="85000000"/>
    <n v="0.05"/>
    <n v="4250000"/>
    <n v="80750000"/>
    <n v="72000000"/>
    <n v="8750000"/>
  </r>
  <r>
    <s v="SLS-05"/>
    <s v="TRX-2025-0486"/>
    <d v="2025-12-13T00:00:00"/>
    <x v="3"/>
    <x v="2"/>
    <s v="Semarang"/>
    <s v="Monitor 24&quot; FHD 144Hz"/>
    <s v="Elektronik"/>
    <n v="1950000"/>
    <n v="1500000"/>
    <n v="11"/>
    <n v="21450000"/>
    <n v="0.15"/>
    <n v="3217500"/>
    <n v="18232500"/>
    <n v="16500000"/>
    <n v="1732500"/>
  </r>
  <r>
    <s v="SLS-03"/>
    <s v="TRX-2025-0487"/>
    <d v="2025-08-31T00:00:00"/>
    <x v="5"/>
    <x v="0"/>
    <s v="Bandung"/>
    <s v="Set Pisau Dapur Stainless"/>
    <s v="Peralatan Rumah"/>
    <n v="165000"/>
    <n v="105000"/>
    <n v="11"/>
    <n v="1815000"/>
    <n v="0.05"/>
    <n v="90750"/>
    <n v="1724250"/>
    <n v="1155000"/>
    <n v="569250"/>
  </r>
  <r>
    <s v="SLS-05"/>
    <s v="TRX-2025-0488"/>
    <d v="2025-11-08T00:00:00"/>
    <x v="3"/>
    <x v="2"/>
    <s v="Semarang"/>
    <s v="Wajan Anti Lengket 28cm"/>
    <s v="Peralatan Rumah"/>
    <n v="210000"/>
    <n v="140000"/>
    <n v="12"/>
    <n v="2520000"/>
    <n v="0.1"/>
    <n v="252000"/>
    <n v="2268000"/>
    <n v="1680000"/>
    <n v="588000"/>
  </r>
  <r>
    <s v="SLS-04"/>
    <s v="TRX-2025-0489"/>
    <d v="2025-08-24T00:00:00"/>
    <x v="4"/>
    <x v="0"/>
    <s v="Medan"/>
    <s v="Kemeja Batik Katun Premium"/>
    <s v="Fashion"/>
    <n v="320000"/>
    <n v="190000"/>
    <n v="8"/>
    <n v="2560000"/>
    <n v="0.1"/>
    <n v="256000"/>
    <n v="2304000"/>
    <n v="1520000"/>
    <n v="784000"/>
  </r>
  <r>
    <s v="SLS-06"/>
    <s v="TRX-2025-0490"/>
    <d v="2025-01-04T00:00:00"/>
    <x v="2"/>
    <x v="1"/>
    <s v="Makassar"/>
    <s v="Kopi Arabika Gayo 250g"/>
    <s v="F&amp;B"/>
    <n v="85000"/>
    <n v="55000"/>
    <n v="23"/>
    <n v="1955000"/>
    <n v="0.2"/>
    <n v="391000"/>
    <n v="1564000"/>
    <n v="1265000"/>
    <n v="299000"/>
  </r>
  <r>
    <s v="SLS-06"/>
    <s v="TRX-2025-0491"/>
    <d v="2025-09-04T00:00:00"/>
    <x v="2"/>
    <x v="1"/>
    <s v="Makassar"/>
    <s v="Wireless Mouse Ergonomic"/>
    <s v="Elektronik"/>
    <n v="250000"/>
    <n v="160000"/>
    <n v="5"/>
    <n v="1250000"/>
    <n v="0.1"/>
    <n v="125000"/>
    <n v="1125000"/>
    <n v="800000"/>
    <n v="325000"/>
  </r>
  <r>
    <s v="SLS-04"/>
    <s v="TRX-2025-0492"/>
    <d v="2025-04-07T00:00:00"/>
    <x v="4"/>
    <x v="0"/>
    <s v="Medan"/>
    <s v="Mechanical Keyboard RGB"/>
    <s v="Elektronik"/>
    <n v="750000"/>
    <n v="520000"/>
    <n v="1"/>
    <n v="750000"/>
    <n v="0.2"/>
    <n v="150000"/>
    <n v="600000"/>
    <n v="520000"/>
    <n v="80000"/>
  </r>
  <r>
    <s v="SLS-01"/>
    <s v="TRX-2025-0493"/>
    <d v="2025-12-15T00:00:00"/>
    <x v="0"/>
    <x v="0"/>
    <s v="Jakarta"/>
    <s v="Mechanical Keyboard RGB"/>
    <s v="Elektronik"/>
    <n v="750000"/>
    <n v="520000"/>
    <n v="11"/>
    <n v="8250000"/>
    <n v="0.15"/>
    <n v="1237500"/>
    <n v="7012500"/>
    <n v="5720000"/>
    <n v="1292500"/>
  </r>
  <r>
    <s v="SLS-01"/>
    <s v="TRX-2025-0494"/>
    <d v="2025-07-27T00:00:00"/>
    <x v="0"/>
    <x v="0"/>
    <s v="Jakarta"/>
    <s v="Jaket Hoodie Casual"/>
    <s v="Fashion"/>
    <n v="350000"/>
    <n v="220000"/>
    <n v="10"/>
    <n v="3500000"/>
    <n v="0.2"/>
    <n v="700000"/>
    <n v="2800000"/>
    <n v="2200000"/>
    <n v="600000"/>
  </r>
  <r>
    <s v="SLS-08"/>
    <s v="TRX-2025-0495"/>
    <d v="2025-12-18T00:00:00"/>
    <x v="6"/>
    <x v="2"/>
    <s v="Yogyakarta"/>
    <s v="Kopi Arabika Gayo 250g"/>
    <s v="F&amp;B"/>
    <n v="85000"/>
    <n v="55000"/>
    <n v="14"/>
    <n v="1190000"/>
    <n v="0.2"/>
    <n v="238000"/>
    <n v="952000"/>
    <n v="770000"/>
    <n v="182000"/>
  </r>
  <r>
    <s v="SLS-08"/>
    <s v="TRX-2025-0496"/>
    <d v="2025-05-31T00:00:00"/>
    <x v="6"/>
    <x v="2"/>
    <s v="Yogyakarta"/>
    <s v="Wireless Mouse Ergonomic"/>
    <s v="Elektronik"/>
    <n v="250000"/>
    <n v="160000"/>
    <n v="3"/>
    <n v="750000"/>
    <n v="0.1"/>
    <n v="75000"/>
    <n v="675000"/>
    <n v="480000"/>
    <n v="195000"/>
  </r>
  <r>
    <s v="SLS-04"/>
    <s v="TRX-2025-0497"/>
    <d v="2025-12-02T00:00:00"/>
    <x v="4"/>
    <x v="0"/>
    <s v="Medan"/>
    <s v="Wireless Mouse Ergonomic"/>
    <s v="Elektronik"/>
    <n v="250000"/>
    <n v="160000"/>
    <n v="6"/>
    <n v="1500000"/>
    <n v="0.05"/>
    <n v="75000"/>
    <n v="1425000"/>
    <n v="960000"/>
    <n v="465000"/>
  </r>
  <r>
    <s v="SLS-05"/>
    <s v="TRX-2025-0498"/>
    <d v="2025-07-10T00:00:00"/>
    <x v="3"/>
    <x v="2"/>
    <s v="Semarang"/>
    <s v="Kemeja Batik Katun Premium"/>
    <s v="Fashion"/>
    <n v="320000"/>
    <n v="190000"/>
    <n v="8"/>
    <n v="2560000"/>
    <n v="0"/>
    <n v="0"/>
    <n v="2560000"/>
    <n v="1520000"/>
    <n v="1040000"/>
  </r>
  <r>
    <s v="SLS-04"/>
    <s v="TRX-2025-0499"/>
    <d v="2025-08-30T00:00:00"/>
    <x v="4"/>
    <x v="0"/>
    <s v="Medan"/>
    <s v="Set Pisau Dapur Stainless"/>
    <s v="Peralatan Rumah"/>
    <n v="165000"/>
    <n v="105000"/>
    <n v="9"/>
    <n v="1485000"/>
    <n v="0"/>
    <n v="0"/>
    <n v="1485000"/>
    <n v="945000"/>
    <n v="540000"/>
  </r>
  <r>
    <s v="SLS-03"/>
    <s v="TRX-2025-0500"/>
    <d v="2025-07-31T00:00:00"/>
    <x v="5"/>
    <x v="0"/>
    <s v="Bandung"/>
    <s v="Laptop Ultrabook 14&quot;"/>
    <s v="Elektronik"/>
    <n v="8500000"/>
    <n v="7200000"/>
    <n v="3"/>
    <n v="25500000"/>
    <n v="0.05"/>
    <n v="1275000"/>
    <n v="24225000"/>
    <n v="21600000"/>
    <n v="2625000"/>
  </r>
  <r>
    <s v="SLS-03"/>
    <s v="TRX-2025-0501"/>
    <d v="2025-03-15T00:00:00"/>
    <x v="5"/>
    <x v="0"/>
    <s v="Bandung"/>
    <s v="Celana Chino Slim Fit"/>
    <s v="Fashion"/>
    <n v="280000"/>
    <n v="175000"/>
    <n v="2"/>
    <n v="560000"/>
    <n v="0.15"/>
    <n v="84000"/>
    <n v="476000"/>
    <n v="350000"/>
    <n v="126000"/>
  </r>
  <r>
    <s v="SLS-01"/>
    <s v="TRX-2025-0502"/>
    <d v="2025-06-10T00:00:00"/>
    <x v="0"/>
    <x v="0"/>
    <s v="Jakarta"/>
    <s v="Beras Premium 5kg"/>
    <s v="F&amp;B"/>
    <n v="74000"/>
    <n v="65000"/>
    <n v="17"/>
    <n v="1258000"/>
    <n v="0.1"/>
    <n v="125800"/>
    <n v="1132200"/>
    <n v="1105000"/>
    <n v="27200"/>
  </r>
  <r>
    <s v="SLS-02"/>
    <s v="TRX-2025-0503"/>
    <d v="2025-09-08T00:00:00"/>
    <x v="1"/>
    <x v="1"/>
    <s v="Surabaya"/>
    <s v="Wajan Anti Lengket 28cm"/>
    <s v="Peralatan Rumah"/>
    <n v="210000"/>
    <n v="140000"/>
    <n v="3"/>
    <n v="630000"/>
    <n v="0.2"/>
    <n v="126000"/>
    <n v="504000"/>
    <n v="420000"/>
    <n v="84000"/>
  </r>
  <r>
    <s v="SLS-08"/>
    <s v="TRX-2025-0504"/>
    <d v="2025-07-26T00:00:00"/>
    <x v="6"/>
    <x v="2"/>
    <s v="Yogyakarta"/>
    <s v="Jaket Hoodie Casual"/>
    <s v="Fashion"/>
    <n v="350000"/>
    <n v="220000"/>
    <n v="7"/>
    <n v="2450000"/>
    <n v="0"/>
    <n v="0"/>
    <n v="2450000"/>
    <n v="1540000"/>
    <n v="910000"/>
  </r>
  <r>
    <s v="SLS-06"/>
    <s v="TRX-2025-0505"/>
    <d v="2025-07-11T00:00:00"/>
    <x v="2"/>
    <x v="1"/>
    <s v="Makassar"/>
    <s v="Laptop Ultrabook 14&quot;"/>
    <s v="Elektronik"/>
    <n v="8500000"/>
    <n v="7200000"/>
    <n v="9"/>
    <n v="76500000"/>
    <n v="0.05"/>
    <n v="3825000"/>
    <n v="72675000"/>
    <n v="64800000"/>
    <n v="7875000"/>
  </r>
  <r>
    <s v="SLS-04"/>
    <s v="TRX-2025-0506"/>
    <d v="2025-11-17T00:00:00"/>
    <x v="4"/>
    <x v="0"/>
    <s v="Medan"/>
    <s v="Susu UHT Full Cream 1L"/>
    <s v="F&amp;B"/>
    <n v="22000"/>
    <n v="18000"/>
    <n v="25"/>
    <n v="550000"/>
    <n v="0.1"/>
    <n v="55000"/>
    <n v="495000"/>
    <n v="450000"/>
    <n v="45000"/>
  </r>
  <r>
    <s v="SLS-05"/>
    <s v="TRX-2025-0507"/>
    <d v="2025-07-16T00:00:00"/>
    <x v="3"/>
    <x v="2"/>
    <s v="Semarang"/>
    <s v="Kopi Arabika Gayo 250g"/>
    <s v="F&amp;B"/>
    <n v="85000"/>
    <n v="55000"/>
    <n v="5"/>
    <n v="425000"/>
    <n v="0"/>
    <n v="0"/>
    <n v="425000"/>
    <n v="275000"/>
    <n v="150000"/>
  </r>
  <r>
    <s v="SLS-06"/>
    <s v="TRX-2025-0508"/>
    <d v="2025-09-24T00:00:00"/>
    <x v="2"/>
    <x v="1"/>
    <s v="Makassar"/>
    <s v="Minyak Goreng Sawit 2L"/>
    <s v="F&amp;B"/>
    <n v="36000"/>
    <n v="31000"/>
    <n v="24"/>
    <n v="864000"/>
    <n v="0.05"/>
    <n v="43200"/>
    <n v="820800"/>
    <n v="744000"/>
    <n v="76800"/>
  </r>
  <r>
    <s v="SLS-07"/>
    <s v="TRX-2025-0509"/>
    <d v="2025-04-07T00:00:00"/>
    <x v="7"/>
    <x v="2"/>
    <s v="Denpasar"/>
    <s v="Mechanical Keyboard RGB"/>
    <s v="Elektronik"/>
    <n v="750000"/>
    <n v="520000"/>
    <n v="1"/>
    <n v="750000"/>
    <n v="0.05"/>
    <n v="37500"/>
    <n v="712500"/>
    <n v="520000"/>
    <n v="192500"/>
  </r>
  <r>
    <s v="SLS-01"/>
    <s v="TRX-2025-0510"/>
    <d v="2025-04-19T00:00:00"/>
    <x v="0"/>
    <x v="0"/>
    <s v="Jakarta"/>
    <s v="Susu UHT Full Cream 1L"/>
    <s v="F&amp;B"/>
    <n v="22000"/>
    <n v="18000"/>
    <n v="19"/>
    <n v="418000"/>
    <n v="0.05"/>
    <n v="20900"/>
    <n v="397100"/>
    <n v="342000"/>
    <n v="55100"/>
  </r>
  <r>
    <s v="SLS-05"/>
    <s v="TRX-2025-0511"/>
    <d v="2025-07-12T00:00:00"/>
    <x v="3"/>
    <x v="2"/>
    <s v="Semarang"/>
    <s v="Set Pisau Dapur Stainless"/>
    <s v="Peralatan Rumah"/>
    <n v="165000"/>
    <n v="105000"/>
    <n v="9"/>
    <n v="1485000"/>
    <n v="0.2"/>
    <n v="297000"/>
    <n v="1188000"/>
    <n v="945000"/>
    <n v="243000"/>
  </r>
  <r>
    <s v="SLS-01"/>
    <s v="TRX-2025-0512"/>
    <d v="2025-12-05T00:00:00"/>
    <x v="0"/>
    <x v="0"/>
    <s v="Jakarta"/>
    <s v="Wireless Mouse Ergonomic"/>
    <s v="Elektronik"/>
    <n v="250000"/>
    <n v="160000"/>
    <n v="1"/>
    <n v="250000"/>
    <n v="0"/>
    <n v="0"/>
    <n v="250000"/>
    <n v="160000"/>
    <n v="90000"/>
  </r>
  <r>
    <s v="SLS-05"/>
    <s v="TRX-2025-0513"/>
    <d v="2025-03-05T00:00:00"/>
    <x v="3"/>
    <x v="2"/>
    <s v="Semarang"/>
    <s v="Kopi Arabika Gayo 250g"/>
    <s v="F&amp;B"/>
    <n v="85000"/>
    <n v="55000"/>
    <n v="25"/>
    <n v="2125000"/>
    <n v="0.05"/>
    <n v="106250"/>
    <n v="2018750"/>
    <n v="1375000"/>
    <n v="643750"/>
  </r>
  <r>
    <s v="SLS-02"/>
    <s v="TRX-2025-0514"/>
    <d v="2025-06-04T00:00:00"/>
    <x v="1"/>
    <x v="1"/>
    <s v="Surabaya"/>
    <s v="Jaket Hoodie Casual"/>
    <s v="Fashion"/>
    <n v="350000"/>
    <n v="220000"/>
    <n v="11"/>
    <n v="3850000"/>
    <n v="0.2"/>
    <n v="770000"/>
    <n v="3080000"/>
    <n v="2420000"/>
    <n v="660000"/>
  </r>
  <r>
    <s v="SLS-02"/>
    <s v="TRX-2025-0515"/>
    <d v="2025-08-03T00:00:00"/>
    <x v="1"/>
    <x v="1"/>
    <s v="Surabaya"/>
    <s v="Blender Multifungsi 2-in-1"/>
    <s v="Peralatan Rumah"/>
    <n v="340000"/>
    <n v="240000"/>
    <n v="9"/>
    <n v="3060000"/>
    <n v="0.2"/>
    <n v="612000"/>
    <n v="2448000"/>
    <n v="2160000"/>
    <n v="288000"/>
  </r>
  <r>
    <s v="SLS-04"/>
    <s v="TRX-2025-0516"/>
    <d v="2025-02-24T00:00:00"/>
    <x v="4"/>
    <x v="0"/>
    <s v="Medan"/>
    <s v="Sepatu Sneakers Pria/Wanita"/>
    <s v="Fashion"/>
    <n v="450000"/>
    <n v="290000"/>
    <n v="10"/>
    <n v="4500000"/>
    <n v="0.05"/>
    <n v="225000"/>
    <n v="4275000"/>
    <n v="2900000"/>
    <n v="1375000"/>
  </r>
  <r>
    <s v="SLS-07"/>
    <s v="TRX-2025-0517"/>
    <d v="2025-07-03T00:00:00"/>
    <x v="7"/>
    <x v="2"/>
    <s v="Denpasar"/>
    <s v="Susu UHT Full Cream 1L"/>
    <s v="F&amp;B"/>
    <n v="22000"/>
    <n v="18000"/>
    <n v="8"/>
    <n v="176000"/>
    <n v="0"/>
    <n v="0"/>
    <n v="176000"/>
    <n v="144000"/>
    <n v="32000"/>
  </r>
  <r>
    <s v="SLS-01"/>
    <s v="TRX-2025-0518"/>
    <d v="2025-06-19T00:00:00"/>
    <x v="0"/>
    <x v="0"/>
    <s v="Jakarta"/>
    <s v="Monitor 24&quot; FHD 144Hz"/>
    <s v="Elektronik"/>
    <n v="1950000"/>
    <n v="1500000"/>
    <n v="1"/>
    <n v="1950000"/>
    <n v="0"/>
    <n v="0"/>
    <n v="1950000"/>
    <n v="1500000"/>
    <n v="450000"/>
  </r>
  <r>
    <s v="SLS-02"/>
    <s v="TRX-2025-0519"/>
    <d v="2025-03-18T00:00:00"/>
    <x v="1"/>
    <x v="1"/>
    <s v="Surabaya"/>
    <s v="Wireless Mouse Ergonomic"/>
    <s v="Elektronik"/>
    <n v="250000"/>
    <n v="160000"/>
    <n v="12"/>
    <n v="3000000"/>
    <n v="0"/>
    <n v="0"/>
    <n v="3000000"/>
    <n v="1920000"/>
    <n v="1080000"/>
  </r>
  <r>
    <s v="SLS-05"/>
    <s v="TRX-2025-0520"/>
    <d v="2025-08-22T00:00:00"/>
    <x v="3"/>
    <x v="2"/>
    <s v="Semarang"/>
    <s v="Kemeja Batik Katun Premium"/>
    <s v="Fashion"/>
    <n v="320000"/>
    <n v="190000"/>
    <n v="8"/>
    <n v="2560000"/>
    <n v="0"/>
    <n v="0"/>
    <n v="2560000"/>
    <n v="1520000"/>
    <n v="1040000"/>
  </r>
  <r>
    <s v="SLS-06"/>
    <s v="TRX-2025-0521"/>
    <d v="2025-05-29T00:00:00"/>
    <x v="2"/>
    <x v="1"/>
    <s v="Makassar"/>
    <s v="Celana Chino Slim Fit"/>
    <s v="Fashion"/>
    <n v="280000"/>
    <n v="175000"/>
    <n v="7"/>
    <n v="1960000"/>
    <n v="0"/>
    <n v="0"/>
    <n v="1960000"/>
    <n v="1225000"/>
    <n v="735000"/>
  </r>
  <r>
    <s v="SLS-03"/>
    <s v="TRX-2025-0522"/>
    <d v="2025-03-12T00:00:00"/>
    <x v="5"/>
    <x v="0"/>
    <s v="Bandung"/>
    <s v="Beras Premium 5kg"/>
    <s v="F&amp;B"/>
    <n v="74000"/>
    <n v="65000"/>
    <n v="14"/>
    <n v="1036000"/>
    <n v="0.15"/>
    <n v="155400"/>
    <n v="880600"/>
    <n v="910000"/>
    <n v="-29400"/>
  </r>
  <r>
    <s v="SLS-06"/>
    <s v="TRX-2025-0523"/>
    <d v="2025-07-10T00:00:00"/>
    <x v="2"/>
    <x v="1"/>
    <s v="Makassar"/>
    <s v="Blender Multifungsi 2-in-1"/>
    <s v="Peralatan Rumah"/>
    <n v="340000"/>
    <n v="240000"/>
    <n v="3"/>
    <n v="1020000"/>
    <n v="0"/>
    <n v="0"/>
    <n v="1020000"/>
    <n v="720000"/>
    <n v="300000"/>
  </r>
  <r>
    <s v="SLS-07"/>
    <s v="TRX-2025-0524"/>
    <d v="2025-05-20T00:00:00"/>
    <x v="7"/>
    <x v="2"/>
    <s v="Denpasar"/>
    <s v="Blender Multifungsi 2-in-1"/>
    <s v="Peralatan Rumah"/>
    <n v="340000"/>
    <n v="240000"/>
    <n v="12"/>
    <n v="4080000"/>
    <n v="0.15"/>
    <n v="612000"/>
    <n v="3468000"/>
    <n v="2880000"/>
    <n v="588000"/>
  </r>
  <r>
    <s v="SLS-01"/>
    <s v="TRX-2025-0525"/>
    <d v="2025-02-27T00:00:00"/>
    <x v="0"/>
    <x v="0"/>
    <s v="Jakarta"/>
    <s v="Mechanical Keyboard RGB"/>
    <s v="Elektronik"/>
    <n v="750000"/>
    <n v="520000"/>
    <n v="3"/>
    <n v="2250000"/>
    <n v="0"/>
    <n v="0"/>
    <n v="2250000"/>
    <n v="1560000"/>
    <n v="690000"/>
  </r>
  <r>
    <s v="SLS-08"/>
    <s v="TRX-2025-0526"/>
    <d v="2025-10-19T00:00:00"/>
    <x v="6"/>
    <x v="2"/>
    <s v="Yogyakarta"/>
    <s v="Beras Premium 5kg"/>
    <s v="F&amp;B"/>
    <n v="74000"/>
    <n v="65000"/>
    <n v="22"/>
    <n v="1628000"/>
    <n v="0.15"/>
    <n v="244200"/>
    <n v="1383800"/>
    <n v="1430000"/>
    <n v="-46200"/>
  </r>
  <r>
    <s v="SLS-03"/>
    <s v="TRX-2025-0527"/>
    <d v="2025-12-17T00:00:00"/>
    <x v="5"/>
    <x v="0"/>
    <s v="Bandung"/>
    <s v="Set Pisau Dapur Stainless"/>
    <s v="Peralatan Rumah"/>
    <n v="165000"/>
    <n v="105000"/>
    <n v="8"/>
    <n v="1320000"/>
    <n v="0.15"/>
    <n v="198000"/>
    <n v="1122000"/>
    <n v="840000"/>
    <n v="282000"/>
  </r>
  <r>
    <s v="SLS-05"/>
    <s v="TRX-2025-0528"/>
    <d v="2025-01-24T00:00:00"/>
    <x v="3"/>
    <x v="2"/>
    <s v="Semarang"/>
    <s v="Wireless Mouse Ergonomic"/>
    <s v="Elektronik"/>
    <n v="250000"/>
    <n v="160000"/>
    <n v="11"/>
    <n v="2750000"/>
    <n v="0.1"/>
    <n v="275000"/>
    <n v="2475000"/>
    <n v="1760000"/>
    <n v="715000"/>
  </r>
  <r>
    <s v="SLS-06"/>
    <s v="TRX-2025-0529"/>
    <d v="2025-12-09T00:00:00"/>
    <x v="2"/>
    <x v="1"/>
    <s v="Makassar"/>
    <s v="Blender Multifungsi 2-in-1"/>
    <s v="Peralatan Rumah"/>
    <n v="340000"/>
    <n v="240000"/>
    <n v="9"/>
    <n v="3060000"/>
    <n v="0.2"/>
    <n v="612000"/>
    <n v="2448000"/>
    <n v="2160000"/>
    <n v="288000"/>
  </r>
  <r>
    <s v="SLS-07"/>
    <s v="TRX-2025-0530"/>
    <d v="2025-09-04T00:00:00"/>
    <x v="7"/>
    <x v="2"/>
    <s v="Denpasar"/>
    <s v="Celana Chino Slim Fit"/>
    <s v="Fashion"/>
    <n v="280000"/>
    <n v="175000"/>
    <n v="3"/>
    <n v="840000"/>
    <n v="0.2"/>
    <n v="168000"/>
    <n v="672000"/>
    <n v="525000"/>
    <n v="147000"/>
  </r>
  <r>
    <s v="SLS-08"/>
    <s v="TRX-2025-0531"/>
    <d v="2025-09-16T00:00:00"/>
    <x v="6"/>
    <x v="2"/>
    <s v="Yogyakarta"/>
    <s v="Blender Multifungsi 2-in-1"/>
    <s v="Peralatan Rumah"/>
    <n v="340000"/>
    <n v="240000"/>
    <n v="8"/>
    <n v="2720000"/>
    <n v="0.05"/>
    <n v="136000"/>
    <n v="2584000"/>
    <n v="1920000"/>
    <n v="664000"/>
  </r>
  <r>
    <s v="SLS-05"/>
    <s v="TRX-2025-0532"/>
    <d v="2025-05-04T00:00:00"/>
    <x v="3"/>
    <x v="2"/>
    <s v="Semarang"/>
    <s v="Celana Chino Slim Fit"/>
    <s v="Fashion"/>
    <n v="280000"/>
    <n v="175000"/>
    <n v="1"/>
    <n v="280000"/>
    <n v="0.2"/>
    <n v="56000"/>
    <n v="224000"/>
    <n v="175000"/>
    <n v="49000"/>
  </r>
  <r>
    <s v="SLS-04"/>
    <s v="TRX-2025-0533"/>
    <d v="2025-07-26T00:00:00"/>
    <x v="4"/>
    <x v="0"/>
    <s v="Medan"/>
    <s v="Blender Multifungsi 2-in-1"/>
    <s v="Peralatan Rumah"/>
    <n v="340000"/>
    <n v="240000"/>
    <n v="2"/>
    <n v="680000"/>
    <n v="0.15"/>
    <n v="102000"/>
    <n v="578000"/>
    <n v="480000"/>
    <n v="98000"/>
  </r>
  <r>
    <s v="SLS-08"/>
    <s v="TRX-2025-0534"/>
    <d v="2025-02-15T00:00:00"/>
    <x v="6"/>
    <x v="2"/>
    <s v="Yogyakarta"/>
    <s v="Blender Multifungsi 2-in-1"/>
    <s v="Peralatan Rumah"/>
    <n v="340000"/>
    <n v="240000"/>
    <n v="8"/>
    <n v="2720000"/>
    <n v="0.1"/>
    <n v="272000"/>
    <n v="2448000"/>
    <n v="1920000"/>
    <n v="528000"/>
  </r>
  <r>
    <s v="SLS-07"/>
    <s v="TRX-2025-0535"/>
    <d v="2025-02-22T00:00:00"/>
    <x v="7"/>
    <x v="2"/>
    <s v="Denpasar"/>
    <s v="Jaket Hoodie Casual"/>
    <s v="Fashion"/>
    <n v="350000"/>
    <n v="220000"/>
    <n v="1"/>
    <n v="350000"/>
    <n v="0.2"/>
    <n v="70000"/>
    <n v="280000"/>
    <n v="220000"/>
    <n v="60000"/>
  </r>
  <r>
    <s v="SLS-04"/>
    <s v="TRX-2025-0536"/>
    <d v="2025-09-18T00:00:00"/>
    <x v="4"/>
    <x v="0"/>
    <s v="Medan"/>
    <s v="Kopi Arabika Gayo 250g"/>
    <s v="F&amp;B"/>
    <n v="85000"/>
    <n v="55000"/>
    <n v="24"/>
    <n v="2040000"/>
    <n v="0.15"/>
    <n v="306000"/>
    <n v="1734000"/>
    <n v="1320000"/>
    <n v="414000"/>
  </r>
  <r>
    <s v="SLS-08"/>
    <s v="TRX-2025-0537"/>
    <d v="2025-04-25T00:00:00"/>
    <x v="6"/>
    <x v="2"/>
    <s v="Yogyakarta"/>
    <s v="Blender Multifungsi 2-in-1"/>
    <s v="Peralatan Rumah"/>
    <n v="340000"/>
    <n v="240000"/>
    <n v="6"/>
    <n v="2040000"/>
    <n v="0.2"/>
    <n v="408000"/>
    <n v="1632000"/>
    <n v="1440000"/>
    <n v="192000"/>
  </r>
  <r>
    <s v="SLS-02"/>
    <s v="TRX-2025-0538"/>
    <d v="2025-08-20T00:00:00"/>
    <x v="1"/>
    <x v="1"/>
    <s v="Surabaya"/>
    <s v="Wireless Mouse Ergonomic"/>
    <s v="Elektronik"/>
    <n v="250000"/>
    <n v="160000"/>
    <n v="11"/>
    <n v="2750000"/>
    <n v="0.05"/>
    <n v="137500"/>
    <n v="2612500"/>
    <n v="1760000"/>
    <n v="852500"/>
  </r>
  <r>
    <s v="SLS-05"/>
    <s v="TRX-2025-0539"/>
    <d v="2025-11-21T00:00:00"/>
    <x v="3"/>
    <x v="2"/>
    <s v="Semarang"/>
    <s v="Wajan Anti Lengket 28cm"/>
    <s v="Peralatan Rumah"/>
    <n v="210000"/>
    <n v="140000"/>
    <n v="9"/>
    <n v="1890000"/>
    <n v="0.2"/>
    <n v="378000"/>
    <n v="1512000"/>
    <n v="1260000"/>
    <n v="252000"/>
  </r>
  <r>
    <s v="SLS-03"/>
    <s v="TRX-2025-0540"/>
    <d v="2025-01-24T00:00:00"/>
    <x v="5"/>
    <x v="0"/>
    <s v="Bandung"/>
    <s v="Set Pisau Dapur Stainless"/>
    <s v="Peralatan Rumah"/>
    <n v="165000"/>
    <n v="105000"/>
    <n v="8"/>
    <n v="1320000"/>
    <n v="0.05"/>
    <n v="66000"/>
    <n v="1254000"/>
    <n v="840000"/>
    <n v="414000"/>
  </r>
  <r>
    <s v="SLS-04"/>
    <s v="TRX-2025-0541"/>
    <d v="2025-11-09T00:00:00"/>
    <x v="4"/>
    <x v="0"/>
    <s v="Medan"/>
    <s v="Monitor 24&quot; FHD 144Hz"/>
    <s v="Elektronik"/>
    <n v="1950000"/>
    <n v="1500000"/>
    <n v="2"/>
    <n v="3900000"/>
    <n v="0.15"/>
    <n v="585000"/>
    <n v="3315000"/>
    <n v="3000000"/>
    <n v="315000"/>
  </r>
  <r>
    <s v="SLS-07"/>
    <s v="TRX-2025-0542"/>
    <d v="2025-06-23T00:00:00"/>
    <x v="7"/>
    <x v="2"/>
    <s v="Denpasar"/>
    <s v="Wireless Mouse Ergonomic"/>
    <s v="Elektronik"/>
    <n v="250000"/>
    <n v="160000"/>
    <n v="1"/>
    <n v="250000"/>
    <n v="0.2"/>
    <n v="50000"/>
    <n v="200000"/>
    <n v="160000"/>
    <n v="40000"/>
  </r>
  <r>
    <s v="SLS-03"/>
    <s v="TRX-2025-0543"/>
    <d v="2025-12-04T00:00:00"/>
    <x v="5"/>
    <x v="0"/>
    <s v="Bandung"/>
    <s v="Minyak Goreng Sawit 2L"/>
    <s v="F&amp;B"/>
    <n v="36000"/>
    <n v="31000"/>
    <n v="3"/>
    <n v="108000"/>
    <n v="0.2"/>
    <n v="21600"/>
    <n v="86400"/>
    <n v="93000"/>
    <n v="-6600"/>
  </r>
  <r>
    <s v="SLS-03"/>
    <s v="TRX-2025-0544"/>
    <d v="2025-10-27T00:00:00"/>
    <x v="5"/>
    <x v="0"/>
    <s v="Bandung"/>
    <s v="Sepatu Sneakers Pria/Wanita"/>
    <s v="Fashion"/>
    <n v="450000"/>
    <n v="290000"/>
    <n v="12"/>
    <n v="5400000"/>
    <n v="0.2"/>
    <n v="1080000"/>
    <n v="4320000"/>
    <n v="3480000"/>
    <n v="840000"/>
  </r>
  <r>
    <s v="SLS-06"/>
    <s v="TRX-2025-0545"/>
    <d v="2025-02-23T00:00:00"/>
    <x v="2"/>
    <x v="1"/>
    <s v="Makassar"/>
    <s v="Jaket Hoodie Casual"/>
    <s v="Fashion"/>
    <n v="350000"/>
    <n v="220000"/>
    <n v="9"/>
    <n v="3150000"/>
    <n v="0.15"/>
    <n v="472500"/>
    <n v="2677500"/>
    <n v="1980000"/>
    <n v="697500"/>
  </r>
  <r>
    <s v="SLS-06"/>
    <s v="TRX-2025-0546"/>
    <d v="2025-05-21T00:00:00"/>
    <x v="2"/>
    <x v="1"/>
    <s v="Makassar"/>
    <s v="Jaket Hoodie Casual"/>
    <s v="Fashion"/>
    <n v="350000"/>
    <n v="220000"/>
    <n v="5"/>
    <n v="1750000"/>
    <n v="0.15"/>
    <n v="262500"/>
    <n v="1487500"/>
    <n v="1100000"/>
    <n v="387500"/>
  </r>
  <r>
    <s v="SLS-05"/>
    <s v="TRX-2025-0547"/>
    <d v="2025-11-05T00:00:00"/>
    <x v="3"/>
    <x v="2"/>
    <s v="Semarang"/>
    <s v="Susu UHT Full Cream 1L"/>
    <s v="F&amp;B"/>
    <n v="22000"/>
    <n v="18000"/>
    <n v="20"/>
    <n v="440000"/>
    <n v="0.1"/>
    <n v="44000"/>
    <n v="396000"/>
    <n v="360000"/>
    <n v="36000"/>
  </r>
  <r>
    <s v="SLS-05"/>
    <s v="TRX-2025-0548"/>
    <d v="2025-11-16T00:00:00"/>
    <x v="3"/>
    <x v="2"/>
    <s v="Semarang"/>
    <s v="Susu UHT Full Cream 1L"/>
    <s v="F&amp;B"/>
    <n v="22000"/>
    <n v="18000"/>
    <n v="14"/>
    <n v="308000"/>
    <n v="0.05"/>
    <n v="15400"/>
    <n v="292600"/>
    <n v="252000"/>
    <n v="40600"/>
  </r>
  <r>
    <s v="SLS-06"/>
    <s v="TRX-2025-0549"/>
    <d v="2025-12-30T00:00:00"/>
    <x v="2"/>
    <x v="1"/>
    <s v="Makassar"/>
    <s v="Wireless Mouse Ergonomic"/>
    <s v="Elektronik"/>
    <n v="250000"/>
    <n v="160000"/>
    <n v="9"/>
    <n v="2250000"/>
    <n v="0.15"/>
    <n v="337500"/>
    <n v="1912500"/>
    <n v="1440000"/>
    <n v="472500"/>
  </r>
  <r>
    <s v="SLS-01"/>
    <s v="TRX-2025-0550"/>
    <d v="2025-08-05T00:00:00"/>
    <x v="0"/>
    <x v="0"/>
    <s v="Jakarta"/>
    <s v="Wajan Anti Lengket 28cm"/>
    <s v="Peralatan Rumah"/>
    <n v="210000"/>
    <n v="140000"/>
    <n v="9"/>
    <n v="1890000"/>
    <n v="0"/>
    <n v="0"/>
    <n v="1890000"/>
    <n v="1260000"/>
    <n v="630000"/>
  </r>
  <r>
    <s v="SLS-01"/>
    <s v="TRX-2025-0551"/>
    <d v="2025-01-28T00:00:00"/>
    <x v="0"/>
    <x v="0"/>
    <s v="Jakarta"/>
    <s v="Beras Premium 5kg"/>
    <s v="F&amp;B"/>
    <n v="74000"/>
    <n v="65000"/>
    <n v="11"/>
    <n v="814000"/>
    <n v="0.05"/>
    <n v="40700"/>
    <n v="773300"/>
    <n v="715000"/>
    <n v="58300"/>
  </r>
  <r>
    <s v="SLS-01"/>
    <s v="TRX-2025-0552"/>
    <d v="2025-03-16T00:00:00"/>
    <x v="0"/>
    <x v="0"/>
    <s v="Jakarta"/>
    <s v="Blender Multifungsi 2-in-1"/>
    <s v="Peralatan Rumah"/>
    <n v="340000"/>
    <n v="240000"/>
    <n v="12"/>
    <n v="4080000"/>
    <n v="0.1"/>
    <n v="408000"/>
    <n v="3672000"/>
    <n v="2880000"/>
    <n v="792000"/>
  </r>
  <r>
    <s v="SLS-08"/>
    <s v="TRX-2025-0553"/>
    <d v="2025-07-03T00:00:00"/>
    <x v="6"/>
    <x v="2"/>
    <s v="Yogyakarta"/>
    <s v="Blender Multifungsi 2-in-1"/>
    <s v="Peralatan Rumah"/>
    <n v="340000"/>
    <n v="240000"/>
    <n v="2"/>
    <n v="680000"/>
    <n v="0.2"/>
    <n v="136000"/>
    <n v="544000"/>
    <n v="480000"/>
    <n v="64000"/>
  </r>
  <r>
    <s v="SLS-05"/>
    <s v="TRX-2025-0554"/>
    <d v="2025-05-02T00:00:00"/>
    <x v="3"/>
    <x v="2"/>
    <s v="Semarang"/>
    <s v="Kopi Arabika Gayo 250g"/>
    <s v="F&amp;B"/>
    <n v="85000"/>
    <n v="55000"/>
    <n v="24"/>
    <n v="2040000"/>
    <n v="0"/>
    <n v="0"/>
    <n v="2040000"/>
    <n v="1320000"/>
    <n v="720000"/>
  </r>
  <r>
    <s v="SLS-01"/>
    <s v="TRX-2025-0555"/>
    <d v="2025-12-17T00:00:00"/>
    <x v="0"/>
    <x v="0"/>
    <s v="Jakarta"/>
    <s v="Celana Chino Slim Fit"/>
    <s v="Fashion"/>
    <n v="280000"/>
    <n v="175000"/>
    <n v="1"/>
    <n v="280000"/>
    <n v="0.1"/>
    <n v="28000"/>
    <n v="252000"/>
    <n v="175000"/>
    <n v="77000"/>
  </r>
  <r>
    <s v="SLS-06"/>
    <s v="TRX-2025-0556"/>
    <d v="2025-04-26T00:00:00"/>
    <x v="2"/>
    <x v="1"/>
    <s v="Makassar"/>
    <s v="Set Pisau Dapur Stainless"/>
    <s v="Peralatan Rumah"/>
    <n v="165000"/>
    <n v="105000"/>
    <n v="10"/>
    <n v="1650000"/>
    <n v="0.2"/>
    <n v="330000"/>
    <n v="1320000"/>
    <n v="1050000"/>
    <n v="270000"/>
  </r>
  <r>
    <s v="SLS-03"/>
    <s v="TRX-2025-0557"/>
    <d v="2025-05-31T00:00:00"/>
    <x v="5"/>
    <x v="0"/>
    <s v="Bandung"/>
    <s v="Sepatu Sneakers Pria/Wanita"/>
    <s v="Fashion"/>
    <n v="450000"/>
    <n v="290000"/>
    <n v="11"/>
    <n v="4950000"/>
    <n v="0"/>
    <n v="0"/>
    <n v="4950000"/>
    <n v="3190000"/>
    <n v="1760000"/>
  </r>
  <r>
    <s v="SLS-07"/>
    <s v="TRX-2025-0558"/>
    <d v="2025-07-13T00:00:00"/>
    <x v="7"/>
    <x v="2"/>
    <s v="Denpasar"/>
    <s v="Laptop Ultrabook 14&quot;"/>
    <s v="Elektronik"/>
    <n v="8500000"/>
    <n v="7200000"/>
    <n v="5"/>
    <n v="42500000"/>
    <n v="0.2"/>
    <n v="8500000"/>
    <n v="34000000"/>
    <n v="36000000"/>
    <n v="-2000000"/>
  </r>
  <r>
    <s v="SLS-05"/>
    <s v="TRX-2025-0559"/>
    <d v="2025-10-27T00:00:00"/>
    <x v="3"/>
    <x v="2"/>
    <s v="Semarang"/>
    <s v="Blender Multifungsi 2-in-1"/>
    <s v="Peralatan Rumah"/>
    <n v="340000"/>
    <n v="240000"/>
    <n v="1"/>
    <n v="340000"/>
    <n v="0.1"/>
    <n v="34000"/>
    <n v="306000"/>
    <n v="240000"/>
    <n v="66000"/>
  </r>
  <r>
    <s v="SLS-06"/>
    <s v="TRX-2025-0560"/>
    <d v="2025-01-21T00:00:00"/>
    <x v="2"/>
    <x v="1"/>
    <s v="Makassar"/>
    <s v="Mechanical Keyboard RGB"/>
    <s v="Elektronik"/>
    <n v="750000"/>
    <n v="520000"/>
    <n v="10"/>
    <n v="7500000"/>
    <n v="0"/>
    <n v="0"/>
    <n v="7500000"/>
    <n v="5200000"/>
    <n v="2300000"/>
  </r>
  <r>
    <s v="SLS-06"/>
    <s v="TRX-2025-0561"/>
    <d v="2025-02-07T00:00:00"/>
    <x v="2"/>
    <x v="1"/>
    <s v="Makassar"/>
    <s v="Wajan Anti Lengket 28cm"/>
    <s v="Peralatan Rumah"/>
    <n v="210000"/>
    <n v="140000"/>
    <n v="9"/>
    <n v="1890000"/>
    <n v="0.05"/>
    <n v="94500"/>
    <n v="1795500"/>
    <n v="1260000"/>
    <n v="535500"/>
  </r>
  <r>
    <s v="SLS-07"/>
    <s v="TRX-2025-0562"/>
    <d v="2025-09-16T00:00:00"/>
    <x v="7"/>
    <x v="2"/>
    <s v="Denpasar"/>
    <s v="Mechanical Keyboard RGB"/>
    <s v="Elektronik"/>
    <n v="750000"/>
    <n v="520000"/>
    <n v="9"/>
    <n v="6750000"/>
    <n v="0.2"/>
    <n v="1350000"/>
    <n v="5400000"/>
    <n v="4680000"/>
    <n v="720000"/>
  </r>
  <r>
    <s v="SLS-04"/>
    <s v="TRX-2025-0563"/>
    <d v="2025-04-24T00:00:00"/>
    <x v="4"/>
    <x v="0"/>
    <s v="Medan"/>
    <s v="Set Pisau Dapur Stainless"/>
    <s v="Peralatan Rumah"/>
    <n v="165000"/>
    <n v="105000"/>
    <n v="11"/>
    <n v="1815000"/>
    <n v="0.1"/>
    <n v="181500"/>
    <n v="1633500"/>
    <n v="1155000"/>
    <n v="478500"/>
  </r>
  <r>
    <s v="SLS-08"/>
    <s v="TRX-2025-0564"/>
    <d v="2025-04-22T00:00:00"/>
    <x v="6"/>
    <x v="2"/>
    <s v="Yogyakarta"/>
    <s v="Wajan Anti Lengket 28cm"/>
    <s v="Peralatan Rumah"/>
    <n v="210000"/>
    <n v="140000"/>
    <n v="9"/>
    <n v="1890000"/>
    <n v="0"/>
    <n v="0"/>
    <n v="1890000"/>
    <n v="1260000"/>
    <n v="630000"/>
  </r>
  <r>
    <s v="SLS-04"/>
    <s v="TRX-2025-0565"/>
    <d v="2025-08-17T00:00:00"/>
    <x v="4"/>
    <x v="0"/>
    <s v="Medan"/>
    <s v="Monitor 24&quot; FHD 144Hz"/>
    <s v="Elektronik"/>
    <n v="1950000"/>
    <n v="1500000"/>
    <n v="1"/>
    <n v="1950000"/>
    <n v="0.1"/>
    <n v="195000"/>
    <n v="1755000"/>
    <n v="1500000"/>
    <n v="255000"/>
  </r>
  <r>
    <s v="SLS-05"/>
    <s v="TRX-2025-0566"/>
    <d v="2025-05-12T00:00:00"/>
    <x v="3"/>
    <x v="2"/>
    <s v="Semarang"/>
    <s v="Kopi Arabika Gayo 250g"/>
    <s v="F&amp;B"/>
    <n v="85000"/>
    <n v="55000"/>
    <n v="19"/>
    <n v="1615000"/>
    <n v="0.1"/>
    <n v="161500"/>
    <n v="1453500"/>
    <n v="1045000"/>
    <n v="408500"/>
  </r>
  <r>
    <s v="SLS-04"/>
    <s v="TRX-2025-0567"/>
    <d v="2025-06-01T00:00:00"/>
    <x v="4"/>
    <x v="0"/>
    <s v="Medan"/>
    <s v="Set Pisau Dapur Stainless"/>
    <s v="Peralatan Rumah"/>
    <n v="165000"/>
    <n v="105000"/>
    <n v="6"/>
    <n v="990000"/>
    <n v="0.2"/>
    <n v="198000"/>
    <n v="792000"/>
    <n v="630000"/>
    <n v="162000"/>
  </r>
  <r>
    <s v="SLS-01"/>
    <s v="TRX-2025-0568"/>
    <d v="2025-10-03T00:00:00"/>
    <x v="0"/>
    <x v="0"/>
    <s v="Jakarta"/>
    <s v="Kopi Arabika Gayo 250g"/>
    <s v="F&amp;B"/>
    <n v="85000"/>
    <n v="55000"/>
    <n v="5"/>
    <n v="425000"/>
    <n v="0.05"/>
    <n v="21250"/>
    <n v="403750"/>
    <n v="275000"/>
    <n v="128750"/>
  </r>
  <r>
    <s v="SLS-07"/>
    <s v="TRX-2025-0569"/>
    <d v="2025-02-23T00:00:00"/>
    <x v="7"/>
    <x v="2"/>
    <s v="Denpasar"/>
    <s v="Monitor 24&quot; FHD 144Hz"/>
    <s v="Elektronik"/>
    <n v="1950000"/>
    <n v="1500000"/>
    <n v="11"/>
    <n v="21450000"/>
    <n v="0"/>
    <n v="0"/>
    <n v="21450000"/>
    <n v="16500000"/>
    <n v="4950000"/>
  </r>
  <r>
    <s v="SLS-02"/>
    <s v="TRX-2025-0570"/>
    <d v="2025-06-19T00:00:00"/>
    <x v="1"/>
    <x v="1"/>
    <s v="Surabaya"/>
    <s v="Laptop Ultrabook 14&quot;"/>
    <s v="Elektronik"/>
    <n v="8500000"/>
    <n v="7200000"/>
    <n v="2"/>
    <n v="17000000"/>
    <n v="0"/>
    <n v="0"/>
    <n v="17000000"/>
    <n v="14400000"/>
    <n v="2600000"/>
  </r>
  <r>
    <s v="SLS-04"/>
    <s v="TRX-2025-0571"/>
    <d v="2025-10-22T00:00:00"/>
    <x v="4"/>
    <x v="0"/>
    <s v="Medan"/>
    <s v="Blender Multifungsi 2-in-1"/>
    <s v="Peralatan Rumah"/>
    <n v="340000"/>
    <n v="240000"/>
    <n v="5"/>
    <n v="1700000"/>
    <n v="0.15"/>
    <n v="255000"/>
    <n v="1445000"/>
    <n v="1200000"/>
    <n v="245000"/>
  </r>
  <r>
    <s v="SLS-01"/>
    <s v="TRX-2025-0572"/>
    <d v="2025-08-10T00:00:00"/>
    <x v="0"/>
    <x v="0"/>
    <s v="Jakarta"/>
    <s v="Celana Chino Slim Fit"/>
    <s v="Fashion"/>
    <n v="280000"/>
    <n v="175000"/>
    <n v="7"/>
    <n v="1960000"/>
    <n v="0"/>
    <n v="0"/>
    <n v="1960000"/>
    <n v="1225000"/>
    <n v="735000"/>
  </r>
  <r>
    <s v="SLS-02"/>
    <s v="TRX-2025-0573"/>
    <d v="2025-10-27T00:00:00"/>
    <x v="1"/>
    <x v="1"/>
    <s v="Surabaya"/>
    <s v="Laptop Ultrabook 14&quot;"/>
    <s v="Elektronik"/>
    <n v="8500000"/>
    <n v="7200000"/>
    <n v="6"/>
    <n v="51000000"/>
    <n v="0.2"/>
    <n v="10200000"/>
    <n v="40800000"/>
    <n v="43200000"/>
    <n v="-2400000"/>
  </r>
  <r>
    <s v="SLS-05"/>
    <s v="TRX-2025-0574"/>
    <d v="2025-11-07T00:00:00"/>
    <x v="3"/>
    <x v="2"/>
    <s v="Semarang"/>
    <s v="Wireless Mouse Ergonomic"/>
    <s v="Elektronik"/>
    <n v="250000"/>
    <n v="160000"/>
    <n v="8"/>
    <n v="2000000"/>
    <n v="0.15"/>
    <n v="300000"/>
    <n v="1700000"/>
    <n v="1280000"/>
    <n v="420000"/>
  </r>
  <r>
    <s v="SLS-04"/>
    <s v="TRX-2025-0575"/>
    <d v="2025-08-31T00:00:00"/>
    <x v="4"/>
    <x v="0"/>
    <s v="Medan"/>
    <s v="Mechanical Keyboard RGB"/>
    <s v="Elektronik"/>
    <n v="750000"/>
    <n v="520000"/>
    <n v="3"/>
    <n v="2250000"/>
    <n v="0.15"/>
    <n v="337500"/>
    <n v="1912500"/>
    <n v="1560000"/>
    <n v="352500"/>
  </r>
  <r>
    <s v="SLS-06"/>
    <s v="TRX-2025-0576"/>
    <d v="2025-06-02T00:00:00"/>
    <x v="2"/>
    <x v="1"/>
    <s v="Makassar"/>
    <s v="Beras Premium 5kg"/>
    <s v="F&amp;B"/>
    <n v="74000"/>
    <n v="65000"/>
    <n v="20"/>
    <n v="1480000"/>
    <n v="0.2"/>
    <n v="296000"/>
    <n v="1184000"/>
    <n v="1300000"/>
    <n v="-116000"/>
  </r>
  <r>
    <s v="SLS-07"/>
    <s v="TRX-2025-0577"/>
    <d v="2025-01-03T00:00:00"/>
    <x v="7"/>
    <x v="2"/>
    <s v="Denpasar"/>
    <s v="Minyak Goreng Sawit 2L"/>
    <s v="F&amp;B"/>
    <n v="36000"/>
    <n v="31000"/>
    <n v="20"/>
    <n v="720000"/>
    <n v="0"/>
    <n v="0"/>
    <n v="720000"/>
    <n v="620000"/>
    <n v="100000"/>
  </r>
  <r>
    <s v="SLS-03"/>
    <s v="TRX-2025-0578"/>
    <d v="2025-04-19T00:00:00"/>
    <x v="5"/>
    <x v="0"/>
    <s v="Bandung"/>
    <s v="Jaket Hoodie Casual"/>
    <s v="Fashion"/>
    <n v="350000"/>
    <n v="220000"/>
    <n v="3"/>
    <n v="1050000"/>
    <n v="0.05"/>
    <n v="52500"/>
    <n v="997500"/>
    <n v="660000"/>
    <n v="337500"/>
  </r>
  <r>
    <s v="SLS-03"/>
    <s v="TRX-2025-0579"/>
    <d v="2025-04-10T00:00:00"/>
    <x v="5"/>
    <x v="0"/>
    <s v="Bandung"/>
    <s v="Wireless Mouse Ergonomic"/>
    <s v="Elektronik"/>
    <n v="250000"/>
    <n v="160000"/>
    <n v="11"/>
    <n v="2750000"/>
    <n v="0.2"/>
    <n v="550000"/>
    <n v="2200000"/>
    <n v="1760000"/>
    <n v="440000"/>
  </r>
  <r>
    <s v="SLS-02"/>
    <s v="TRX-2025-0580"/>
    <d v="2025-11-27T00:00:00"/>
    <x v="1"/>
    <x v="1"/>
    <s v="Surabaya"/>
    <s v="Kopi Arabika Gayo 250g"/>
    <s v="F&amp;B"/>
    <n v="85000"/>
    <n v="55000"/>
    <n v="24"/>
    <n v="2040000"/>
    <n v="0"/>
    <n v="0"/>
    <n v="2040000"/>
    <n v="1320000"/>
    <n v="720000"/>
  </r>
  <r>
    <s v="SLS-06"/>
    <s v="TRX-2025-0581"/>
    <d v="2025-10-25T00:00:00"/>
    <x v="2"/>
    <x v="1"/>
    <s v="Makassar"/>
    <s v="Sepatu Sneakers Pria/Wanita"/>
    <s v="Fashion"/>
    <n v="450000"/>
    <n v="290000"/>
    <n v="6"/>
    <n v="2700000"/>
    <n v="0.05"/>
    <n v="135000"/>
    <n v="2565000"/>
    <n v="1740000"/>
    <n v="825000"/>
  </r>
  <r>
    <s v="SLS-04"/>
    <s v="TRX-2025-0582"/>
    <d v="2025-11-14T00:00:00"/>
    <x v="4"/>
    <x v="0"/>
    <s v="Medan"/>
    <s v="Wireless Mouse Ergonomic"/>
    <s v="Elektronik"/>
    <n v="250000"/>
    <n v="160000"/>
    <n v="6"/>
    <n v="1500000"/>
    <n v="0.15"/>
    <n v="225000"/>
    <n v="1275000"/>
    <n v="960000"/>
    <n v="315000"/>
  </r>
  <r>
    <s v="SLS-03"/>
    <s v="TRX-2025-0583"/>
    <d v="2025-12-22T00:00:00"/>
    <x v="5"/>
    <x v="0"/>
    <s v="Bandung"/>
    <s v="Minyak Goreng Sawit 2L"/>
    <s v="F&amp;B"/>
    <n v="36000"/>
    <n v="31000"/>
    <n v="21"/>
    <n v="756000"/>
    <n v="0.1"/>
    <n v="75600"/>
    <n v="680400"/>
    <n v="651000"/>
    <n v="29400"/>
  </r>
  <r>
    <s v="SLS-04"/>
    <s v="TRX-2025-0584"/>
    <d v="2025-01-03T00:00:00"/>
    <x v="4"/>
    <x v="0"/>
    <s v="Medan"/>
    <s v="Celana Chino Slim Fit"/>
    <s v="Fashion"/>
    <n v="280000"/>
    <n v="175000"/>
    <n v="4"/>
    <n v="1120000"/>
    <n v="0.15"/>
    <n v="168000"/>
    <n v="952000"/>
    <n v="700000"/>
    <n v="252000"/>
  </r>
  <r>
    <s v="SLS-06"/>
    <s v="TRX-2025-0585"/>
    <d v="2025-12-14T00:00:00"/>
    <x v="2"/>
    <x v="1"/>
    <s v="Makassar"/>
    <s v="Susu UHT Full Cream 1L"/>
    <s v="F&amp;B"/>
    <n v="22000"/>
    <n v="18000"/>
    <n v="17"/>
    <n v="374000"/>
    <n v="0.15"/>
    <n v="56100"/>
    <n v="317900"/>
    <n v="306000"/>
    <n v="11900"/>
  </r>
  <r>
    <s v="SLS-03"/>
    <s v="TRX-2025-0586"/>
    <d v="2025-10-10T00:00:00"/>
    <x v="5"/>
    <x v="0"/>
    <s v="Bandung"/>
    <s v="Wireless Mouse Ergonomic"/>
    <s v="Elektronik"/>
    <n v="250000"/>
    <n v="160000"/>
    <n v="11"/>
    <n v="2750000"/>
    <n v="0.2"/>
    <n v="550000"/>
    <n v="2200000"/>
    <n v="1760000"/>
    <n v="440000"/>
  </r>
  <r>
    <s v="SLS-05"/>
    <s v="TRX-2025-0587"/>
    <d v="2025-10-03T00:00:00"/>
    <x v="3"/>
    <x v="2"/>
    <s v="Semarang"/>
    <s v="Monitor 24&quot; FHD 144Hz"/>
    <s v="Elektronik"/>
    <n v="1950000"/>
    <n v="1500000"/>
    <n v="12"/>
    <n v="23400000"/>
    <n v="0"/>
    <n v="0"/>
    <n v="23400000"/>
    <n v="18000000"/>
    <n v="5400000"/>
  </r>
  <r>
    <s v="SLS-07"/>
    <s v="TRX-2025-0588"/>
    <d v="2025-10-25T00:00:00"/>
    <x v="7"/>
    <x v="2"/>
    <s v="Denpasar"/>
    <s v="Minyak Goreng Sawit 2L"/>
    <s v="F&amp;B"/>
    <n v="36000"/>
    <n v="31000"/>
    <n v="9"/>
    <n v="324000"/>
    <n v="0"/>
    <n v="0"/>
    <n v="324000"/>
    <n v="279000"/>
    <n v="45000"/>
  </r>
  <r>
    <s v="SLS-03"/>
    <s v="TRX-2025-0589"/>
    <d v="2025-12-01T00:00:00"/>
    <x v="5"/>
    <x v="0"/>
    <s v="Bandung"/>
    <s v="Wajan Anti Lengket 28cm"/>
    <s v="Peralatan Rumah"/>
    <n v="210000"/>
    <n v="140000"/>
    <n v="6"/>
    <n v="1260000"/>
    <n v="0.15"/>
    <n v="189000"/>
    <n v="1071000"/>
    <n v="840000"/>
    <n v="231000"/>
  </r>
  <r>
    <s v="SLS-02"/>
    <s v="TRX-2025-0590"/>
    <d v="2025-03-10T00:00:00"/>
    <x v="1"/>
    <x v="1"/>
    <s v="Surabaya"/>
    <s v="Sepatu Sneakers Pria/Wanita"/>
    <s v="Fashion"/>
    <n v="450000"/>
    <n v="290000"/>
    <n v="7"/>
    <n v="3150000"/>
    <n v="0.1"/>
    <n v="315000"/>
    <n v="2835000"/>
    <n v="2030000"/>
    <n v="805000"/>
  </r>
  <r>
    <s v="SLS-03"/>
    <s v="TRX-2025-0591"/>
    <d v="2025-11-11T00:00:00"/>
    <x v="5"/>
    <x v="0"/>
    <s v="Bandung"/>
    <s v="Beras Premium 5kg"/>
    <s v="F&amp;B"/>
    <n v="74000"/>
    <n v="65000"/>
    <n v="7"/>
    <n v="518000"/>
    <n v="0.15"/>
    <n v="77700"/>
    <n v="440300"/>
    <n v="455000"/>
    <n v="-14700"/>
  </r>
  <r>
    <s v="SLS-01"/>
    <s v="TRX-2025-0592"/>
    <d v="2025-09-05T00:00:00"/>
    <x v="0"/>
    <x v="0"/>
    <s v="Jakarta"/>
    <s v="Celana Chino Slim Fit"/>
    <s v="Fashion"/>
    <n v="280000"/>
    <n v="175000"/>
    <n v="4"/>
    <n v="1120000"/>
    <n v="0.15"/>
    <n v="168000"/>
    <n v="952000"/>
    <n v="700000"/>
    <n v="252000"/>
  </r>
  <r>
    <s v="SLS-01"/>
    <s v="TRX-2025-0593"/>
    <d v="2025-07-09T00:00:00"/>
    <x v="0"/>
    <x v="0"/>
    <s v="Jakarta"/>
    <s v="Monitor 24&quot; FHD 144Hz"/>
    <s v="Elektronik"/>
    <n v="1950000"/>
    <n v="1500000"/>
    <n v="11"/>
    <n v="21450000"/>
    <n v="0.05"/>
    <n v="1072500"/>
    <n v="20377500"/>
    <n v="16500000"/>
    <n v="3877500"/>
  </r>
  <r>
    <s v="SLS-01"/>
    <s v="TRX-2025-0594"/>
    <d v="2025-08-21T00:00:00"/>
    <x v="0"/>
    <x v="0"/>
    <s v="Jakarta"/>
    <s v="Set Pisau Dapur Stainless"/>
    <s v="Peralatan Rumah"/>
    <n v="165000"/>
    <n v="105000"/>
    <n v="1"/>
    <n v="165000"/>
    <n v="0.1"/>
    <n v="16500"/>
    <n v="148500"/>
    <n v="105000"/>
    <n v="43500"/>
  </r>
  <r>
    <s v="SLS-03"/>
    <s v="TRX-2025-0595"/>
    <d v="2025-05-15T00:00:00"/>
    <x v="5"/>
    <x v="0"/>
    <s v="Bandung"/>
    <s v="Minyak Goreng Sawit 2L"/>
    <s v="F&amp;B"/>
    <n v="36000"/>
    <n v="31000"/>
    <n v="23"/>
    <n v="828000"/>
    <n v="0.15"/>
    <n v="124200"/>
    <n v="703800"/>
    <n v="713000"/>
    <n v="-9200"/>
  </r>
  <r>
    <s v="SLS-07"/>
    <s v="TRX-2025-0596"/>
    <d v="2025-09-22T00:00:00"/>
    <x v="7"/>
    <x v="2"/>
    <s v="Denpasar"/>
    <s v="Kemeja Batik Katun Premium"/>
    <s v="Fashion"/>
    <n v="320000"/>
    <n v="190000"/>
    <n v="4"/>
    <n v="1280000"/>
    <n v="0.2"/>
    <n v="256000"/>
    <n v="1024000"/>
    <n v="760000"/>
    <n v="264000"/>
  </r>
  <r>
    <s v="SLS-08"/>
    <s v="TRX-2025-0597"/>
    <d v="2025-09-07T00:00:00"/>
    <x v="6"/>
    <x v="2"/>
    <s v="Yogyakarta"/>
    <s v="Wajan Anti Lengket 28cm"/>
    <s v="Peralatan Rumah"/>
    <n v="210000"/>
    <n v="140000"/>
    <n v="10"/>
    <n v="2100000"/>
    <n v="0"/>
    <n v="0"/>
    <n v="2100000"/>
    <n v="1400000"/>
    <n v="700000"/>
  </r>
  <r>
    <s v="SLS-05"/>
    <s v="TRX-2025-0598"/>
    <d v="2025-04-28T00:00:00"/>
    <x v="3"/>
    <x v="2"/>
    <s v="Semarang"/>
    <s v="Wireless Mouse Ergonomic"/>
    <s v="Elektronik"/>
    <n v="250000"/>
    <n v="160000"/>
    <n v="4"/>
    <n v="1000000"/>
    <n v="0.05"/>
    <n v="50000"/>
    <n v="950000"/>
    <n v="640000"/>
    <n v="310000"/>
  </r>
  <r>
    <s v="SLS-02"/>
    <s v="TRX-2025-0599"/>
    <d v="2025-11-05T00:00:00"/>
    <x v="1"/>
    <x v="1"/>
    <s v="Surabaya"/>
    <s v="Susu UHT Full Cream 1L"/>
    <s v="F&amp;B"/>
    <n v="22000"/>
    <n v="18000"/>
    <n v="10"/>
    <n v="220000"/>
    <n v="0.15"/>
    <n v="33000"/>
    <n v="187000"/>
    <n v="180000"/>
    <n v="7000"/>
  </r>
  <r>
    <s v="SLS-08"/>
    <s v="TRX-2025-0600"/>
    <d v="2025-09-04T00:00:00"/>
    <x v="6"/>
    <x v="2"/>
    <s v="Yogyakarta"/>
    <s v="Beras Premium 5kg"/>
    <s v="F&amp;B"/>
    <n v="74000"/>
    <n v="65000"/>
    <n v="9"/>
    <n v="666000"/>
    <n v="0.2"/>
    <n v="133200"/>
    <n v="532800"/>
    <n v="585000"/>
    <n v="-52200"/>
  </r>
  <r>
    <s v="SLS-01"/>
    <s v="TRX-2025-0601"/>
    <d v="2025-01-12T00:00:00"/>
    <x v="0"/>
    <x v="0"/>
    <s v="Jakarta"/>
    <s v="Monitor 24&quot; FHD 144Hz"/>
    <s v="Elektronik"/>
    <n v="1950000"/>
    <n v="1500000"/>
    <n v="3"/>
    <n v="5850000"/>
    <n v="0.2"/>
    <n v="1170000"/>
    <n v="4680000"/>
    <n v="4500000"/>
    <n v="180000"/>
  </r>
  <r>
    <s v="SLS-01"/>
    <s v="TRX-2025-0602"/>
    <d v="2025-10-21T00:00:00"/>
    <x v="0"/>
    <x v="0"/>
    <s v="Jakarta"/>
    <s v="Mechanical Keyboard RGB"/>
    <s v="Elektronik"/>
    <n v="750000"/>
    <n v="520000"/>
    <n v="3"/>
    <n v="2250000"/>
    <n v="0.1"/>
    <n v="225000"/>
    <n v="2025000"/>
    <n v="1560000"/>
    <n v="465000"/>
  </r>
  <r>
    <s v="SLS-01"/>
    <s v="TRX-2025-0603"/>
    <d v="2025-11-03T00:00:00"/>
    <x v="0"/>
    <x v="0"/>
    <s v="Jakarta"/>
    <s v="Minyak Goreng Sawit 2L"/>
    <s v="F&amp;B"/>
    <n v="36000"/>
    <n v="31000"/>
    <n v="26"/>
    <n v="936000"/>
    <n v="0.1"/>
    <n v="93600"/>
    <n v="842400"/>
    <n v="806000"/>
    <n v="36400"/>
  </r>
  <r>
    <s v="SLS-08"/>
    <s v="TRX-2025-0604"/>
    <d v="2025-11-07T00:00:00"/>
    <x v="6"/>
    <x v="2"/>
    <s v="Yogyakarta"/>
    <s v="Sepatu Sneakers Pria/Wanita"/>
    <s v="Fashion"/>
    <n v="450000"/>
    <n v="290000"/>
    <n v="3"/>
    <n v="1350000"/>
    <n v="0.05"/>
    <n v="67500"/>
    <n v="1282500"/>
    <n v="870000"/>
    <n v="412500"/>
  </r>
  <r>
    <s v="SLS-03"/>
    <s v="TRX-2025-0605"/>
    <d v="2025-10-26T00:00:00"/>
    <x v="5"/>
    <x v="0"/>
    <s v="Bandung"/>
    <s v="Blender Multifungsi 2-in-1"/>
    <s v="Peralatan Rumah"/>
    <n v="340000"/>
    <n v="240000"/>
    <n v="10"/>
    <n v="3400000"/>
    <n v="0.2"/>
    <n v="680000"/>
    <n v="2720000"/>
    <n v="2400000"/>
    <n v="320000"/>
  </r>
  <r>
    <s v="SLS-02"/>
    <s v="TRX-2025-0606"/>
    <d v="2025-08-21T00:00:00"/>
    <x v="1"/>
    <x v="1"/>
    <s v="Surabaya"/>
    <s v="Minyak Goreng Sawit 2L"/>
    <s v="F&amp;B"/>
    <n v="36000"/>
    <n v="31000"/>
    <n v="15"/>
    <n v="540000"/>
    <n v="0.15"/>
    <n v="81000"/>
    <n v="459000"/>
    <n v="465000"/>
    <n v="-6000"/>
  </r>
  <r>
    <s v="SLS-07"/>
    <s v="TRX-2025-0607"/>
    <d v="2025-04-14T00:00:00"/>
    <x v="7"/>
    <x v="2"/>
    <s v="Denpasar"/>
    <s v="Kopi Arabika Gayo 250g"/>
    <s v="F&amp;B"/>
    <n v="85000"/>
    <n v="55000"/>
    <n v="22"/>
    <n v="1870000"/>
    <n v="0"/>
    <n v="0"/>
    <n v="1870000"/>
    <n v="1210000"/>
    <n v="660000"/>
  </r>
  <r>
    <s v="SLS-02"/>
    <s v="TRX-2025-0608"/>
    <d v="2025-09-30T00:00:00"/>
    <x v="1"/>
    <x v="1"/>
    <s v="Surabaya"/>
    <s v="Kopi Arabika Gayo 250g"/>
    <s v="F&amp;B"/>
    <n v="85000"/>
    <n v="55000"/>
    <n v="18"/>
    <n v="1530000"/>
    <n v="0.05"/>
    <n v="76500"/>
    <n v="1453500"/>
    <n v="990000"/>
    <n v="463500"/>
  </r>
  <r>
    <s v="SLS-06"/>
    <s v="TRX-2025-0609"/>
    <d v="2025-09-25T00:00:00"/>
    <x v="2"/>
    <x v="1"/>
    <s v="Makassar"/>
    <s v="Jaket Hoodie Casual"/>
    <s v="Fashion"/>
    <n v="350000"/>
    <n v="220000"/>
    <n v="1"/>
    <n v="350000"/>
    <n v="0.2"/>
    <n v="70000"/>
    <n v="280000"/>
    <n v="220000"/>
    <n v="60000"/>
  </r>
  <r>
    <s v="SLS-02"/>
    <s v="TRX-2025-0610"/>
    <d v="2025-07-15T00:00:00"/>
    <x v="1"/>
    <x v="1"/>
    <s v="Surabaya"/>
    <s v="Celana Chino Slim Fit"/>
    <s v="Fashion"/>
    <n v="280000"/>
    <n v="175000"/>
    <n v="7"/>
    <n v="1960000"/>
    <n v="0.05"/>
    <n v="98000"/>
    <n v="1862000"/>
    <n v="1225000"/>
    <n v="637000"/>
  </r>
  <r>
    <s v="SLS-07"/>
    <s v="TRX-2025-0611"/>
    <d v="2025-02-12T00:00:00"/>
    <x v="7"/>
    <x v="2"/>
    <s v="Denpasar"/>
    <s v="Kemeja Batik Katun Premium"/>
    <s v="Fashion"/>
    <n v="320000"/>
    <n v="190000"/>
    <n v="5"/>
    <n v="1600000"/>
    <n v="0.05"/>
    <n v="80000"/>
    <n v="1520000"/>
    <n v="950000"/>
    <n v="570000"/>
  </r>
  <r>
    <s v="SLS-02"/>
    <s v="TRX-2025-0612"/>
    <d v="2025-10-23T00:00:00"/>
    <x v="1"/>
    <x v="1"/>
    <s v="Surabaya"/>
    <s v="Kopi Arabika Gayo 250g"/>
    <s v="F&amp;B"/>
    <n v="85000"/>
    <n v="55000"/>
    <n v="3"/>
    <n v="255000"/>
    <n v="0.15"/>
    <n v="38250"/>
    <n v="216750"/>
    <n v="165000"/>
    <n v="51750"/>
  </r>
  <r>
    <s v="SLS-02"/>
    <s v="TRX-2025-0613"/>
    <d v="2025-07-29T00:00:00"/>
    <x v="1"/>
    <x v="1"/>
    <s v="Surabaya"/>
    <s v="Celana Chino Slim Fit"/>
    <s v="Fashion"/>
    <n v="280000"/>
    <n v="175000"/>
    <n v="3"/>
    <n v="840000"/>
    <n v="0.15"/>
    <n v="126000"/>
    <n v="714000"/>
    <n v="525000"/>
    <n v="189000"/>
  </r>
  <r>
    <s v="SLS-05"/>
    <s v="TRX-2025-0614"/>
    <d v="2025-10-17T00:00:00"/>
    <x v="3"/>
    <x v="2"/>
    <s v="Semarang"/>
    <s v="Celana Chino Slim Fit"/>
    <s v="Fashion"/>
    <n v="280000"/>
    <n v="175000"/>
    <n v="11"/>
    <n v="3080000"/>
    <n v="0.15"/>
    <n v="462000"/>
    <n v="2618000"/>
    <n v="1925000"/>
    <n v="693000"/>
  </r>
  <r>
    <s v="SLS-08"/>
    <s v="TRX-2025-0615"/>
    <d v="2025-04-02T00:00:00"/>
    <x v="6"/>
    <x v="2"/>
    <s v="Yogyakarta"/>
    <s v="Celana Chino Slim Fit"/>
    <s v="Fashion"/>
    <n v="280000"/>
    <n v="175000"/>
    <n v="5"/>
    <n v="1400000"/>
    <n v="0.1"/>
    <n v="140000"/>
    <n v="1260000"/>
    <n v="875000"/>
    <n v="385000"/>
  </r>
  <r>
    <s v="SLS-02"/>
    <s v="TRX-2025-0616"/>
    <d v="2025-03-12T00:00:00"/>
    <x v="1"/>
    <x v="1"/>
    <s v="Surabaya"/>
    <s v="Blender Multifungsi 2-in-1"/>
    <s v="Peralatan Rumah"/>
    <n v="340000"/>
    <n v="240000"/>
    <n v="12"/>
    <n v="4080000"/>
    <n v="0.05"/>
    <n v="204000"/>
    <n v="3876000"/>
    <n v="2880000"/>
    <n v="996000"/>
  </r>
  <r>
    <s v="SLS-07"/>
    <s v="TRX-2025-0617"/>
    <d v="2025-02-21T00:00:00"/>
    <x v="7"/>
    <x v="2"/>
    <s v="Denpasar"/>
    <s v="Monitor 24&quot; FHD 144Hz"/>
    <s v="Elektronik"/>
    <n v="1950000"/>
    <n v="1500000"/>
    <n v="6"/>
    <n v="11700000"/>
    <n v="0.2"/>
    <n v="2340000"/>
    <n v="9360000"/>
    <n v="9000000"/>
    <n v="360000"/>
  </r>
  <r>
    <s v="SLS-02"/>
    <s v="TRX-2025-0618"/>
    <d v="2025-11-22T00:00:00"/>
    <x v="1"/>
    <x v="1"/>
    <s v="Surabaya"/>
    <s v="Laptop Ultrabook 14&quot;"/>
    <s v="Elektronik"/>
    <n v="8500000"/>
    <n v="7200000"/>
    <n v="3"/>
    <n v="25500000"/>
    <n v="0.15"/>
    <n v="3825000"/>
    <n v="21675000"/>
    <n v="21600000"/>
    <n v="75000"/>
  </r>
  <r>
    <s v="SLS-06"/>
    <s v="TRX-2025-0619"/>
    <d v="2025-05-15T00:00:00"/>
    <x v="2"/>
    <x v="1"/>
    <s v="Makassar"/>
    <s v="Monitor 24&quot; FHD 144Hz"/>
    <s v="Elektronik"/>
    <n v="1950000"/>
    <n v="1500000"/>
    <n v="2"/>
    <n v="3900000"/>
    <n v="0.2"/>
    <n v="780000"/>
    <n v="3120000"/>
    <n v="3000000"/>
    <n v="120000"/>
  </r>
  <r>
    <s v="SLS-05"/>
    <s v="TRX-2025-0620"/>
    <d v="2025-07-25T00:00:00"/>
    <x v="3"/>
    <x v="2"/>
    <s v="Semarang"/>
    <s v="Minyak Goreng Sawit 2L"/>
    <s v="F&amp;B"/>
    <n v="36000"/>
    <n v="31000"/>
    <n v="22"/>
    <n v="792000"/>
    <n v="0"/>
    <n v="0"/>
    <n v="792000"/>
    <n v="682000"/>
    <n v="110000"/>
  </r>
  <r>
    <s v="SLS-04"/>
    <s v="TRX-2025-0621"/>
    <d v="2025-08-13T00:00:00"/>
    <x v="4"/>
    <x v="0"/>
    <s v="Medan"/>
    <s v="Laptop Ultrabook 14&quot;"/>
    <s v="Elektronik"/>
    <n v="8500000"/>
    <n v="7200000"/>
    <n v="11"/>
    <n v="93500000"/>
    <n v="0.2"/>
    <n v="18700000"/>
    <n v="74800000"/>
    <n v="79200000"/>
    <n v="-4400000"/>
  </r>
  <r>
    <s v="SLS-04"/>
    <s v="TRX-2025-0622"/>
    <d v="2025-11-03T00:00:00"/>
    <x v="4"/>
    <x v="0"/>
    <s v="Medan"/>
    <s v="Kopi Arabika Gayo 250g"/>
    <s v="F&amp;B"/>
    <n v="85000"/>
    <n v="55000"/>
    <n v="8"/>
    <n v="680000"/>
    <n v="0"/>
    <n v="0"/>
    <n v="680000"/>
    <n v="440000"/>
    <n v="240000"/>
  </r>
  <r>
    <s v="SLS-05"/>
    <s v="TRX-2025-0623"/>
    <d v="2025-03-22T00:00:00"/>
    <x v="3"/>
    <x v="2"/>
    <s v="Semarang"/>
    <s v="Wireless Mouse Ergonomic"/>
    <s v="Elektronik"/>
    <n v="250000"/>
    <n v="160000"/>
    <n v="7"/>
    <n v="1750000"/>
    <n v="0.1"/>
    <n v="175000"/>
    <n v="1575000"/>
    <n v="1120000"/>
    <n v="455000"/>
  </r>
  <r>
    <s v="SLS-02"/>
    <s v="TRX-2025-0624"/>
    <d v="2025-09-23T00:00:00"/>
    <x v="1"/>
    <x v="1"/>
    <s v="Surabaya"/>
    <s v="Laptop Ultrabook 14&quot;"/>
    <s v="Elektronik"/>
    <n v="8500000"/>
    <n v="7200000"/>
    <n v="2"/>
    <n v="17000000"/>
    <n v="0.2"/>
    <n v="3400000"/>
    <n v="13600000"/>
    <n v="14400000"/>
    <n v="-800000"/>
  </r>
  <r>
    <s v="SLS-05"/>
    <s v="TRX-2025-0625"/>
    <d v="2025-06-27T00:00:00"/>
    <x v="3"/>
    <x v="2"/>
    <s v="Semarang"/>
    <s v="Blender Multifungsi 2-in-1"/>
    <s v="Peralatan Rumah"/>
    <n v="340000"/>
    <n v="240000"/>
    <n v="4"/>
    <n v="1360000"/>
    <n v="0.2"/>
    <n v="272000"/>
    <n v="1088000"/>
    <n v="960000"/>
    <n v="128000"/>
  </r>
  <r>
    <s v="SLS-05"/>
    <s v="TRX-2025-0626"/>
    <d v="2025-10-22T00:00:00"/>
    <x v="3"/>
    <x v="2"/>
    <s v="Semarang"/>
    <s v="Laptop Ultrabook 14&quot;"/>
    <s v="Elektronik"/>
    <n v="8500000"/>
    <n v="7200000"/>
    <n v="3"/>
    <n v="25500000"/>
    <n v="0.15"/>
    <n v="3825000"/>
    <n v="21675000"/>
    <n v="21600000"/>
    <n v="75000"/>
  </r>
  <r>
    <s v="SLS-06"/>
    <s v="TRX-2025-0627"/>
    <d v="2025-09-15T00:00:00"/>
    <x v="2"/>
    <x v="1"/>
    <s v="Makassar"/>
    <s v="Kemeja Batik Katun Premium"/>
    <s v="Fashion"/>
    <n v="320000"/>
    <n v="190000"/>
    <n v="2"/>
    <n v="640000"/>
    <n v="0.2"/>
    <n v="128000"/>
    <n v="512000"/>
    <n v="380000"/>
    <n v="132000"/>
  </r>
  <r>
    <s v="SLS-07"/>
    <s v="TRX-2025-0628"/>
    <d v="2025-12-22T00:00:00"/>
    <x v="7"/>
    <x v="2"/>
    <s v="Denpasar"/>
    <s v="Sepatu Sneakers Pria/Wanita"/>
    <s v="Fashion"/>
    <n v="450000"/>
    <n v="290000"/>
    <n v="10"/>
    <n v="4500000"/>
    <n v="0.15"/>
    <n v="675000"/>
    <n v="3825000"/>
    <n v="2900000"/>
    <n v="925000"/>
  </r>
  <r>
    <s v="SLS-01"/>
    <s v="TRX-2025-0629"/>
    <d v="2025-12-15T00:00:00"/>
    <x v="0"/>
    <x v="0"/>
    <s v="Jakarta"/>
    <s v="Sepatu Sneakers Pria/Wanita"/>
    <s v="Fashion"/>
    <n v="450000"/>
    <n v="290000"/>
    <n v="8"/>
    <n v="3600000"/>
    <n v="0"/>
    <n v="0"/>
    <n v="3600000"/>
    <n v="2320000"/>
    <n v="1280000"/>
  </r>
  <r>
    <s v="SLS-04"/>
    <s v="TRX-2025-0630"/>
    <d v="2025-11-21T00:00:00"/>
    <x v="4"/>
    <x v="0"/>
    <s v="Medan"/>
    <s v="Wajan Anti Lengket 28cm"/>
    <s v="Peralatan Rumah"/>
    <n v="210000"/>
    <n v="140000"/>
    <n v="11"/>
    <n v="2310000"/>
    <n v="0.05"/>
    <n v="115500"/>
    <n v="2194500"/>
    <n v="1540000"/>
    <n v="654500"/>
  </r>
  <r>
    <s v="SLS-01"/>
    <s v="TRX-2025-0631"/>
    <d v="2025-09-22T00:00:00"/>
    <x v="0"/>
    <x v="0"/>
    <s v="Jakarta"/>
    <s v="Kopi Arabika Gayo 250g"/>
    <s v="F&amp;B"/>
    <n v="85000"/>
    <n v="55000"/>
    <n v="29"/>
    <n v="2465000"/>
    <n v="0.1"/>
    <n v="246500"/>
    <n v="2218500"/>
    <n v="1595000"/>
    <n v="623500"/>
  </r>
  <r>
    <s v="SLS-06"/>
    <s v="TRX-2025-0632"/>
    <d v="2025-07-24T00:00:00"/>
    <x v="2"/>
    <x v="1"/>
    <s v="Makassar"/>
    <s v="Beras Premium 5kg"/>
    <s v="F&amp;B"/>
    <n v="74000"/>
    <n v="65000"/>
    <n v="20"/>
    <n v="1480000"/>
    <n v="0.05"/>
    <n v="74000"/>
    <n v="1406000"/>
    <n v="1300000"/>
    <n v="106000"/>
  </r>
  <r>
    <s v="SLS-05"/>
    <s v="TRX-2025-0633"/>
    <d v="2025-04-22T00:00:00"/>
    <x v="3"/>
    <x v="2"/>
    <s v="Semarang"/>
    <s v="Set Pisau Dapur Stainless"/>
    <s v="Peralatan Rumah"/>
    <n v="165000"/>
    <n v="105000"/>
    <n v="3"/>
    <n v="495000"/>
    <n v="0.05"/>
    <n v="24750"/>
    <n v="470250"/>
    <n v="315000"/>
    <n v="155250"/>
  </r>
  <r>
    <s v="SLS-04"/>
    <s v="TRX-2025-0634"/>
    <d v="2025-05-01T00:00:00"/>
    <x v="4"/>
    <x v="0"/>
    <s v="Medan"/>
    <s v="Susu UHT Full Cream 1L"/>
    <s v="F&amp;B"/>
    <n v="22000"/>
    <n v="18000"/>
    <n v="9"/>
    <n v="198000"/>
    <n v="0.05"/>
    <n v="9900"/>
    <n v="188100"/>
    <n v="162000"/>
    <n v="26100"/>
  </r>
  <r>
    <s v="SLS-02"/>
    <s v="TRX-2025-0635"/>
    <d v="2025-03-21T00:00:00"/>
    <x v="1"/>
    <x v="1"/>
    <s v="Surabaya"/>
    <s v="Wajan Anti Lengket 28cm"/>
    <s v="Peralatan Rumah"/>
    <n v="210000"/>
    <n v="140000"/>
    <n v="2"/>
    <n v="420000"/>
    <n v="0"/>
    <n v="0"/>
    <n v="420000"/>
    <n v="280000"/>
    <n v="140000"/>
  </r>
  <r>
    <s v="SLS-08"/>
    <s v="TRX-2025-0636"/>
    <d v="2025-10-05T00:00:00"/>
    <x v="6"/>
    <x v="2"/>
    <s v="Yogyakarta"/>
    <s v="Laptop Ultrabook 14&quot;"/>
    <s v="Elektronik"/>
    <n v="8500000"/>
    <n v="7200000"/>
    <n v="6"/>
    <n v="51000000"/>
    <n v="0.2"/>
    <n v="10200000"/>
    <n v="40800000"/>
    <n v="43200000"/>
    <n v="-2400000"/>
  </r>
  <r>
    <s v="SLS-05"/>
    <s v="TRX-2025-0637"/>
    <d v="2025-09-09T00:00:00"/>
    <x v="3"/>
    <x v="2"/>
    <s v="Semarang"/>
    <s v="Mechanical Keyboard RGB"/>
    <s v="Elektronik"/>
    <n v="750000"/>
    <n v="520000"/>
    <n v="7"/>
    <n v="5250000"/>
    <n v="0.05"/>
    <n v="262500"/>
    <n v="4987500"/>
    <n v="3640000"/>
    <n v="1347500"/>
  </r>
  <r>
    <s v="SLS-01"/>
    <s v="TRX-2025-0638"/>
    <d v="2025-09-02T00:00:00"/>
    <x v="0"/>
    <x v="0"/>
    <s v="Jakarta"/>
    <s v="Kopi Arabika Gayo 250g"/>
    <s v="F&amp;B"/>
    <n v="85000"/>
    <n v="55000"/>
    <n v="14"/>
    <n v="1190000"/>
    <n v="0.15"/>
    <n v="178500"/>
    <n v="1011500"/>
    <n v="770000"/>
    <n v="241500"/>
  </r>
  <r>
    <s v="SLS-08"/>
    <s v="TRX-2025-0639"/>
    <d v="2025-12-24T00:00:00"/>
    <x v="6"/>
    <x v="2"/>
    <s v="Yogyakarta"/>
    <s v="Kopi Arabika Gayo 250g"/>
    <s v="F&amp;B"/>
    <n v="85000"/>
    <n v="55000"/>
    <n v="25"/>
    <n v="2125000"/>
    <n v="0"/>
    <n v="0"/>
    <n v="2125000"/>
    <n v="1375000"/>
    <n v="750000"/>
  </r>
  <r>
    <s v="SLS-02"/>
    <s v="TRX-2025-0640"/>
    <d v="2025-07-14T00:00:00"/>
    <x v="1"/>
    <x v="1"/>
    <s v="Surabaya"/>
    <s v="Minyak Goreng Sawit 2L"/>
    <s v="F&amp;B"/>
    <n v="36000"/>
    <n v="31000"/>
    <n v="14"/>
    <n v="504000"/>
    <n v="0.2"/>
    <n v="100800"/>
    <n v="403200"/>
    <n v="434000"/>
    <n v="-30800"/>
  </r>
  <r>
    <s v="SLS-08"/>
    <s v="TRX-2025-0641"/>
    <d v="2025-05-02T00:00:00"/>
    <x v="6"/>
    <x v="2"/>
    <s v="Yogyakarta"/>
    <s v="Kemeja Batik Katun Premium"/>
    <s v="Fashion"/>
    <n v="320000"/>
    <n v="190000"/>
    <n v="10"/>
    <n v="3200000"/>
    <n v="0.1"/>
    <n v="320000"/>
    <n v="2880000"/>
    <n v="1900000"/>
    <n v="980000"/>
  </r>
  <r>
    <s v="SLS-07"/>
    <s v="TRX-2025-0642"/>
    <d v="2025-08-06T00:00:00"/>
    <x v="7"/>
    <x v="2"/>
    <s v="Denpasar"/>
    <s v="Monitor 24&quot; FHD 144Hz"/>
    <s v="Elektronik"/>
    <n v="1950000"/>
    <n v="1500000"/>
    <n v="12"/>
    <n v="23400000"/>
    <n v="0.1"/>
    <n v="2340000"/>
    <n v="21060000"/>
    <n v="18000000"/>
    <n v="3060000"/>
  </r>
  <r>
    <s v="SLS-03"/>
    <s v="TRX-2025-0643"/>
    <d v="2025-08-19T00:00:00"/>
    <x v="5"/>
    <x v="0"/>
    <s v="Bandung"/>
    <s v="Mechanical Keyboard RGB"/>
    <s v="Elektronik"/>
    <n v="750000"/>
    <n v="520000"/>
    <n v="10"/>
    <n v="7500000"/>
    <n v="0.05"/>
    <n v="375000"/>
    <n v="7125000"/>
    <n v="5200000"/>
    <n v="1925000"/>
  </r>
  <r>
    <s v="SLS-07"/>
    <s v="TRX-2025-0644"/>
    <d v="2025-05-01T00:00:00"/>
    <x v="7"/>
    <x v="2"/>
    <s v="Denpasar"/>
    <s v="Kopi Arabika Gayo 250g"/>
    <s v="F&amp;B"/>
    <n v="85000"/>
    <n v="55000"/>
    <n v="9"/>
    <n v="765000"/>
    <n v="0.05"/>
    <n v="38250"/>
    <n v="726750"/>
    <n v="495000"/>
    <n v="231750"/>
  </r>
  <r>
    <s v="SLS-08"/>
    <s v="TRX-2025-0645"/>
    <d v="2025-04-01T00:00:00"/>
    <x v="6"/>
    <x v="2"/>
    <s v="Yogyakarta"/>
    <s v="Jaket Hoodie Casual"/>
    <s v="Fashion"/>
    <n v="350000"/>
    <n v="220000"/>
    <n v="3"/>
    <n v="1050000"/>
    <n v="0.2"/>
    <n v="210000"/>
    <n v="840000"/>
    <n v="660000"/>
    <n v="180000"/>
  </r>
  <r>
    <s v="SLS-01"/>
    <s v="TRX-2025-0646"/>
    <d v="2025-05-09T00:00:00"/>
    <x v="0"/>
    <x v="0"/>
    <s v="Jakarta"/>
    <s v="Kopi Arabika Gayo 250g"/>
    <s v="F&amp;B"/>
    <n v="85000"/>
    <n v="55000"/>
    <n v="6"/>
    <n v="510000"/>
    <n v="0.05"/>
    <n v="25500"/>
    <n v="484500"/>
    <n v="330000"/>
    <n v="154500"/>
  </r>
  <r>
    <s v="SLS-02"/>
    <s v="TRX-2025-0647"/>
    <d v="2025-09-01T00:00:00"/>
    <x v="1"/>
    <x v="1"/>
    <s v="Surabaya"/>
    <s v="Blender Multifungsi 2-in-1"/>
    <s v="Peralatan Rumah"/>
    <n v="340000"/>
    <n v="240000"/>
    <n v="8"/>
    <n v="2720000"/>
    <n v="0.1"/>
    <n v="272000"/>
    <n v="2448000"/>
    <n v="1920000"/>
    <n v="528000"/>
  </r>
  <r>
    <s v="SLS-05"/>
    <s v="TRX-2025-0648"/>
    <d v="2025-10-14T00:00:00"/>
    <x v="3"/>
    <x v="2"/>
    <s v="Semarang"/>
    <s v="Kopi Arabika Gayo 250g"/>
    <s v="F&amp;B"/>
    <n v="85000"/>
    <n v="55000"/>
    <n v="3"/>
    <n v="255000"/>
    <n v="0.15"/>
    <n v="38250"/>
    <n v="216750"/>
    <n v="165000"/>
    <n v="51750"/>
  </r>
  <r>
    <s v="SLS-03"/>
    <s v="TRX-2025-0649"/>
    <d v="2025-10-23T00:00:00"/>
    <x v="5"/>
    <x v="0"/>
    <s v="Bandung"/>
    <s v="Minyak Goreng Sawit 2L"/>
    <s v="F&amp;B"/>
    <n v="36000"/>
    <n v="31000"/>
    <n v="14"/>
    <n v="504000"/>
    <n v="0.1"/>
    <n v="50400"/>
    <n v="453600"/>
    <n v="434000"/>
    <n v="19600"/>
  </r>
  <r>
    <s v="SLS-05"/>
    <s v="TRX-2025-0650"/>
    <d v="2025-02-10T00:00:00"/>
    <x v="3"/>
    <x v="2"/>
    <s v="Semarang"/>
    <s v="Jaket Hoodie Casual"/>
    <s v="Fashion"/>
    <n v="350000"/>
    <n v="220000"/>
    <n v="8"/>
    <n v="2800000"/>
    <n v="0.05"/>
    <n v="140000"/>
    <n v="2660000"/>
    <n v="1760000"/>
    <n v="900000"/>
  </r>
  <r>
    <s v="SLS-07"/>
    <s v="TRX-2025-0651"/>
    <d v="2025-08-04T00:00:00"/>
    <x v="7"/>
    <x v="2"/>
    <s v="Denpasar"/>
    <s v="Beras Premium 5kg"/>
    <s v="F&amp;B"/>
    <n v="74000"/>
    <n v="65000"/>
    <n v="5"/>
    <n v="370000"/>
    <n v="0.05"/>
    <n v="18500"/>
    <n v="351500"/>
    <n v="325000"/>
    <n v="26500"/>
  </r>
  <r>
    <s v="SLS-05"/>
    <s v="TRX-2025-0652"/>
    <d v="2025-06-12T00:00:00"/>
    <x v="3"/>
    <x v="2"/>
    <s v="Semarang"/>
    <s v="Beras Premium 5kg"/>
    <s v="F&amp;B"/>
    <n v="74000"/>
    <n v="65000"/>
    <n v="11"/>
    <n v="814000"/>
    <n v="0.2"/>
    <n v="162800"/>
    <n v="651200"/>
    <n v="715000"/>
    <n v="-63800"/>
  </r>
  <r>
    <s v="SLS-08"/>
    <s v="TRX-2025-0653"/>
    <d v="2025-07-05T00:00:00"/>
    <x v="6"/>
    <x v="2"/>
    <s v="Yogyakarta"/>
    <s v="Susu UHT Full Cream 1L"/>
    <s v="F&amp;B"/>
    <n v="22000"/>
    <n v="18000"/>
    <n v="8"/>
    <n v="176000"/>
    <n v="0.05"/>
    <n v="8800"/>
    <n v="167200"/>
    <n v="144000"/>
    <n v="23200"/>
  </r>
  <r>
    <s v="SLS-02"/>
    <s v="TRX-2025-0654"/>
    <d v="2025-12-05T00:00:00"/>
    <x v="1"/>
    <x v="1"/>
    <s v="Surabaya"/>
    <s v="Kemeja Batik Katun Premium"/>
    <s v="Fashion"/>
    <n v="320000"/>
    <n v="190000"/>
    <n v="4"/>
    <n v="1280000"/>
    <n v="0.05"/>
    <n v="64000"/>
    <n v="1216000"/>
    <n v="760000"/>
    <n v="456000"/>
  </r>
  <r>
    <s v="SLS-08"/>
    <s v="TRX-2025-0655"/>
    <d v="2025-02-02T00:00:00"/>
    <x v="6"/>
    <x v="2"/>
    <s v="Yogyakarta"/>
    <s v="Set Pisau Dapur Stainless"/>
    <s v="Peralatan Rumah"/>
    <n v="165000"/>
    <n v="105000"/>
    <n v="9"/>
    <n v="1485000"/>
    <n v="0"/>
    <n v="0"/>
    <n v="1485000"/>
    <n v="945000"/>
    <n v="540000"/>
  </r>
  <r>
    <s v="SLS-03"/>
    <s v="TRX-2025-0656"/>
    <d v="2025-02-23T00:00:00"/>
    <x v="5"/>
    <x v="0"/>
    <s v="Bandung"/>
    <s v="Kemeja Batik Katun Premium"/>
    <s v="Fashion"/>
    <n v="320000"/>
    <n v="190000"/>
    <n v="2"/>
    <n v="640000"/>
    <n v="0.15"/>
    <n v="96000"/>
    <n v="544000"/>
    <n v="380000"/>
    <n v="164000"/>
  </r>
  <r>
    <s v="SLS-03"/>
    <s v="TRX-2025-0657"/>
    <d v="2025-05-26T00:00:00"/>
    <x v="5"/>
    <x v="0"/>
    <s v="Bandung"/>
    <s v="Sepatu Sneakers Pria/Wanita"/>
    <s v="Fashion"/>
    <n v="450000"/>
    <n v="290000"/>
    <n v="3"/>
    <n v="1350000"/>
    <n v="0.2"/>
    <n v="270000"/>
    <n v="1080000"/>
    <n v="870000"/>
    <n v="210000"/>
  </r>
  <r>
    <s v="SLS-06"/>
    <s v="TRX-2025-0658"/>
    <d v="2025-12-06T00:00:00"/>
    <x v="2"/>
    <x v="1"/>
    <s v="Makassar"/>
    <s v="Celana Chino Slim Fit"/>
    <s v="Fashion"/>
    <n v="280000"/>
    <n v="175000"/>
    <n v="8"/>
    <n v="2240000"/>
    <n v="0.15"/>
    <n v="336000"/>
    <n v="1904000"/>
    <n v="1400000"/>
    <n v="504000"/>
  </r>
  <r>
    <s v="SLS-03"/>
    <s v="TRX-2025-0659"/>
    <d v="2025-03-11T00:00:00"/>
    <x v="5"/>
    <x v="0"/>
    <s v="Bandung"/>
    <s v="Susu UHT Full Cream 1L"/>
    <s v="F&amp;B"/>
    <n v="22000"/>
    <n v="18000"/>
    <n v="22"/>
    <n v="484000"/>
    <n v="0.15"/>
    <n v="72600"/>
    <n v="411400"/>
    <n v="396000"/>
    <n v="15400"/>
  </r>
  <r>
    <s v="SLS-04"/>
    <s v="TRX-2025-0660"/>
    <d v="2025-06-27T00:00:00"/>
    <x v="4"/>
    <x v="0"/>
    <s v="Medan"/>
    <s v="Sepatu Sneakers Pria/Wanita"/>
    <s v="Fashion"/>
    <n v="450000"/>
    <n v="290000"/>
    <n v="2"/>
    <n v="900000"/>
    <n v="0.15"/>
    <n v="135000"/>
    <n v="765000"/>
    <n v="580000"/>
    <n v="185000"/>
  </r>
  <r>
    <s v="SLS-05"/>
    <s v="TRX-2025-0661"/>
    <d v="2025-05-14T00:00:00"/>
    <x v="3"/>
    <x v="2"/>
    <s v="Semarang"/>
    <s v="Mechanical Keyboard RGB"/>
    <s v="Elektronik"/>
    <n v="750000"/>
    <n v="520000"/>
    <n v="1"/>
    <n v="750000"/>
    <n v="0"/>
    <n v="0"/>
    <n v="750000"/>
    <n v="520000"/>
    <n v="230000"/>
  </r>
  <r>
    <s v="SLS-01"/>
    <s v="TRX-2025-0662"/>
    <d v="2025-08-29T00:00:00"/>
    <x v="0"/>
    <x v="0"/>
    <s v="Jakarta"/>
    <s v="Kopi Arabika Gayo 250g"/>
    <s v="F&amp;B"/>
    <n v="85000"/>
    <n v="55000"/>
    <n v="18"/>
    <n v="1530000"/>
    <n v="0.15"/>
    <n v="229500"/>
    <n v="1300500"/>
    <n v="990000"/>
    <n v="310500"/>
  </r>
  <r>
    <s v="SLS-04"/>
    <s v="TRX-2025-0663"/>
    <d v="2025-05-30T00:00:00"/>
    <x v="4"/>
    <x v="0"/>
    <s v="Medan"/>
    <s v="Minyak Goreng Sawit 2L"/>
    <s v="F&amp;B"/>
    <n v="36000"/>
    <n v="31000"/>
    <n v="20"/>
    <n v="720000"/>
    <n v="0.1"/>
    <n v="72000"/>
    <n v="648000"/>
    <n v="620000"/>
    <n v="28000"/>
  </r>
  <r>
    <s v="SLS-03"/>
    <s v="TRX-2025-0664"/>
    <d v="2025-07-22T00:00:00"/>
    <x v="5"/>
    <x v="0"/>
    <s v="Bandung"/>
    <s v="Monitor 24&quot; FHD 144Hz"/>
    <s v="Elektronik"/>
    <n v="1950000"/>
    <n v="1500000"/>
    <n v="12"/>
    <n v="23400000"/>
    <n v="0.15"/>
    <n v="3510000"/>
    <n v="19890000"/>
    <n v="18000000"/>
    <n v="1890000"/>
  </r>
  <r>
    <s v="SLS-04"/>
    <s v="TRX-2025-0665"/>
    <d v="2025-02-10T00:00:00"/>
    <x v="4"/>
    <x v="0"/>
    <s v="Medan"/>
    <s v="Jaket Hoodie Casual"/>
    <s v="Fashion"/>
    <n v="350000"/>
    <n v="220000"/>
    <n v="9"/>
    <n v="3150000"/>
    <n v="0.2"/>
    <n v="630000"/>
    <n v="2520000"/>
    <n v="1980000"/>
    <n v="540000"/>
  </r>
  <r>
    <s v="SLS-02"/>
    <s v="TRX-2025-0666"/>
    <d v="2025-07-31T00:00:00"/>
    <x v="1"/>
    <x v="1"/>
    <s v="Surabaya"/>
    <s v="Monitor 24&quot; FHD 144Hz"/>
    <s v="Elektronik"/>
    <n v="1950000"/>
    <n v="1500000"/>
    <n v="3"/>
    <n v="5850000"/>
    <n v="0.05"/>
    <n v="292500"/>
    <n v="5557500"/>
    <n v="4500000"/>
    <n v="1057500"/>
  </r>
  <r>
    <s v="SLS-05"/>
    <s v="TRX-2025-0667"/>
    <d v="2025-11-13T00:00:00"/>
    <x v="3"/>
    <x v="2"/>
    <s v="Semarang"/>
    <s v="Sepatu Sneakers Pria/Wanita"/>
    <s v="Fashion"/>
    <n v="450000"/>
    <n v="290000"/>
    <n v="12"/>
    <n v="5400000"/>
    <n v="0.2"/>
    <n v="1080000"/>
    <n v="4320000"/>
    <n v="3480000"/>
    <n v="840000"/>
  </r>
  <r>
    <s v="SLS-01"/>
    <s v="TRX-2025-0668"/>
    <d v="2025-01-10T00:00:00"/>
    <x v="0"/>
    <x v="0"/>
    <s v="Jakarta"/>
    <s v="Mechanical Keyboard RGB"/>
    <s v="Elektronik"/>
    <n v="750000"/>
    <n v="520000"/>
    <n v="9"/>
    <n v="6750000"/>
    <n v="0"/>
    <n v="0"/>
    <n v="6750000"/>
    <n v="4680000"/>
    <n v="2070000"/>
  </r>
  <r>
    <s v="SLS-08"/>
    <s v="TRX-2025-0669"/>
    <d v="2025-05-18T00:00:00"/>
    <x v="6"/>
    <x v="2"/>
    <s v="Yogyakarta"/>
    <s v="Mechanical Keyboard RGB"/>
    <s v="Elektronik"/>
    <n v="750000"/>
    <n v="520000"/>
    <n v="12"/>
    <n v="9000000"/>
    <n v="0"/>
    <n v="0"/>
    <n v="9000000"/>
    <n v="6240000"/>
    <n v="2760000"/>
  </r>
  <r>
    <s v="SLS-04"/>
    <s v="TRX-2025-0670"/>
    <d v="2025-01-08T00:00:00"/>
    <x v="4"/>
    <x v="0"/>
    <s v="Medan"/>
    <s v="Sepatu Sneakers Pria/Wanita"/>
    <s v="Fashion"/>
    <n v="450000"/>
    <n v="290000"/>
    <n v="6"/>
    <n v="2700000"/>
    <n v="0.15"/>
    <n v="405000"/>
    <n v="2295000"/>
    <n v="1740000"/>
    <n v="555000"/>
  </r>
  <r>
    <s v="SLS-01"/>
    <s v="TRX-2025-0671"/>
    <d v="2025-08-26T00:00:00"/>
    <x v="0"/>
    <x v="0"/>
    <s v="Jakarta"/>
    <s v="Susu UHT Full Cream 1L"/>
    <s v="F&amp;B"/>
    <n v="22000"/>
    <n v="18000"/>
    <n v="5"/>
    <n v="110000"/>
    <n v="0.05"/>
    <n v="5500"/>
    <n v="104500"/>
    <n v="90000"/>
    <n v="14500"/>
  </r>
  <r>
    <s v="SLS-08"/>
    <s v="TRX-2025-0672"/>
    <d v="2025-02-06T00:00:00"/>
    <x v="6"/>
    <x v="2"/>
    <s v="Yogyakarta"/>
    <s v="Kopi Arabika Gayo 250g"/>
    <s v="F&amp;B"/>
    <n v="85000"/>
    <n v="55000"/>
    <n v="9"/>
    <n v="765000"/>
    <n v="0.1"/>
    <n v="76500"/>
    <n v="688500"/>
    <n v="495000"/>
    <n v="193500"/>
  </r>
  <r>
    <s v="SLS-08"/>
    <s v="TRX-2025-0673"/>
    <d v="2025-05-08T00:00:00"/>
    <x v="6"/>
    <x v="2"/>
    <s v="Yogyakarta"/>
    <s v="Jaket Hoodie Casual"/>
    <s v="Fashion"/>
    <n v="350000"/>
    <n v="220000"/>
    <n v="4"/>
    <n v="1400000"/>
    <n v="0"/>
    <n v="0"/>
    <n v="1400000"/>
    <n v="880000"/>
    <n v="520000"/>
  </r>
  <r>
    <s v="SLS-04"/>
    <s v="TRX-2025-0674"/>
    <d v="2025-09-24T00:00:00"/>
    <x v="4"/>
    <x v="0"/>
    <s v="Medan"/>
    <s v="Beras Premium 5kg"/>
    <s v="F&amp;B"/>
    <n v="74000"/>
    <n v="65000"/>
    <n v="15"/>
    <n v="1110000"/>
    <n v="0.1"/>
    <n v="111000"/>
    <n v="999000"/>
    <n v="975000"/>
    <n v="24000"/>
  </r>
  <r>
    <s v="SLS-02"/>
    <s v="TRX-2025-0675"/>
    <d v="2025-10-09T00:00:00"/>
    <x v="1"/>
    <x v="1"/>
    <s v="Surabaya"/>
    <s v="Kopi Arabika Gayo 250g"/>
    <s v="F&amp;B"/>
    <n v="85000"/>
    <n v="55000"/>
    <n v="18"/>
    <n v="1530000"/>
    <n v="0.1"/>
    <n v="153000"/>
    <n v="1377000"/>
    <n v="990000"/>
    <n v="387000"/>
  </r>
  <r>
    <s v="SLS-02"/>
    <s v="TRX-2025-0676"/>
    <d v="2025-12-08T00:00:00"/>
    <x v="1"/>
    <x v="1"/>
    <s v="Surabaya"/>
    <s v="Monitor 24&quot; FHD 144Hz"/>
    <s v="Elektronik"/>
    <n v="1950000"/>
    <n v="1500000"/>
    <n v="4"/>
    <n v="7800000"/>
    <n v="0.15"/>
    <n v="1170000"/>
    <n v="6630000"/>
    <n v="6000000"/>
    <n v="630000"/>
  </r>
  <r>
    <s v="SLS-02"/>
    <s v="TRX-2025-0677"/>
    <d v="2025-05-22T00:00:00"/>
    <x v="1"/>
    <x v="1"/>
    <s v="Surabaya"/>
    <s v="Minyak Goreng Sawit 2L"/>
    <s v="F&amp;B"/>
    <n v="36000"/>
    <n v="31000"/>
    <n v="28"/>
    <n v="1008000"/>
    <n v="0.05"/>
    <n v="50400"/>
    <n v="957600"/>
    <n v="868000"/>
    <n v="89600"/>
  </r>
  <r>
    <s v="SLS-03"/>
    <s v="TRX-2025-0678"/>
    <d v="2025-12-19T00:00:00"/>
    <x v="5"/>
    <x v="0"/>
    <s v="Bandung"/>
    <s v="Minyak Goreng Sawit 2L"/>
    <s v="F&amp;B"/>
    <n v="36000"/>
    <n v="31000"/>
    <n v="27"/>
    <n v="972000"/>
    <n v="0"/>
    <n v="0"/>
    <n v="972000"/>
    <n v="837000"/>
    <n v="135000"/>
  </r>
  <r>
    <s v="SLS-06"/>
    <s v="TRX-2025-0679"/>
    <d v="2025-02-16T00:00:00"/>
    <x v="2"/>
    <x v="1"/>
    <s v="Makassar"/>
    <s v="Beras Premium 5kg"/>
    <s v="F&amp;B"/>
    <n v="74000"/>
    <n v="65000"/>
    <n v="4"/>
    <n v="296000"/>
    <n v="0"/>
    <n v="0"/>
    <n v="296000"/>
    <n v="260000"/>
    <n v="36000"/>
  </r>
  <r>
    <s v="SLS-02"/>
    <s v="TRX-2025-0680"/>
    <d v="2025-12-26T00:00:00"/>
    <x v="1"/>
    <x v="1"/>
    <s v="Surabaya"/>
    <s v="Kopi Arabika Gayo 250g"/>
    <s v="F&amp;B"/>
    <n v="85000"/>
    <n v="55000"/>
    <n v="18"/>
    <n v="1530000"/>
    <n v="0.05"/>
    <n v="76500"/>
    <n v="1453500"/>
    <n v="990000"/>
    <n v="463500"/>
  </r>
  <r>
    <s v="SLS-04"/>
    <s v="TRX-2025-0681"/>
    <d v="2025-08-13T00:00:00"/>
    <x v="4"/>
    <x v="0"/>
    <s v="Medan"/>
    <s v="Susu UHT Full Cream 1L"/>
    <s v="F&amp;B"/>
    <n v="22000"/>
    <n v="18000"/>
    <n v="25"/>
    <n v="550000"/>
    <n v="0.15"/>
    <n v="82500"/>
    <n v="467500"/>
    <n v="450000"/>
    <n v="17500"/>
  </r>
  <r>
    <s v="SLS-01"/>
    <s v="TRX-2025-0682"/>
    <d v="2025-05-09T00:00:00"/>
    <x v="0"/>
    <x v="0"/>
    <s v="Jakarta"/>
    <s v="Set Pisau Dapur Stainless"/>
    <s v="Peralatan Rumah"/>
    <n v="165000"/>
    <n v="105000"/>
    <n v="8"/>
    <n v="1320000"/>
    <n v="0.15"/>
    <n v="198000"/>
    <n v="1122000"/>
    <n v="840000"/>
    <n v="282000"/>
  </r>
  <r>
    <s v="SLS-03"/>
    <s v="TRX-2025-0683"/>
    <d v="2025-04-08T00:00:00"/>
    <x v="5"/>
    <x v="0"/>
    <s v="Bandung"/>
    <s v="Minyak Goreng Sawit 2L"/>
    <s v="F&amp;B"/>
    <n v="36000"/>
    <n v="31000"/>
    <n v="14"/>
    <n v="504000"/>
    <n v="0.1"/>
    <n v="50400"/>
    <n v="453600"/>
    <n v="434000"/>
    <n v="19600"/>
  </r>
  <r>
    <s v="SLS-03"/>
    <s v="TRX-2025-0684"/>
    <d v="2025-02-05T00:00:00"/>
    <x v="5"/>
    <x v="0"/>
    <s v="Bandung"/>
    <s v="Kopi Arabika Gayo 250g"/>
    <s v="F&amp;B"/>
    <n v="85000"/>
    <n v="55000"/>
    <n v="12"/>
    <n v="1020000"/>
    <n v="0.1"/>
    <n v="102000"/>
    <n v="918000"/>
    <n v="660000"/>
    <n v="258000"/>
  </r>
  <r>
    <s v="SLS-07"/>
    <s v="TRX-2025-0685"/>
    <d v="2025-11-23T00:00:00"/>
    <x v="7"/>
    <x v="2"/>
    <s v="Denpasar"/>
    <s v="Kopi Arabika Gayo 250g"/>
    <s v="F&amp;B"/>
    <n v="85000"/>
    <n v="55000"/>
    <n v="8"/>
    <n v="680000"/>
    <n v="0"/>
    <n v="0"/>
    <n v="680000"/>
    <n v="440000"/>
    <n v="240000"/>
  </r>
  <r>
    <s v="SLS-02"/>
    <s v="TRX-2025-0686"/>
    <d v="2025-06-14T00:00:00"/>
    <x v="1"/>
    <x v="1"/>
    <s v="Surabaya"/>
    <s v="Susu UHT Full Cream 1L"/>
    <s v="F&amp;B"/>
    <n v="22000"/>
    <n v="18000"/>
    <n v="20"/>
    <n v="440000"/>
    <n v="0.15"/>
    <n v="66000"/>
    <n v="374000"/>
    <n v="360000"/>
    <n v="14000"/>
  </r>
  <r>
    <s v="SLS-05"/>
    <s v="TRX-2025-0687"/>
    <d v="2025-10-10T00:00:00"/>
    <x v="3"/>
    <x v="2"/>
    <s v="Semarang"/>
    <s v="Mechanical Keyboard RGB"/>
    <s v="Elektronik"/>
    <n v="750000"/>
    <n v="520000"/>
    <n v="6"/>
    <n v="4500000"/>
    <n v="0.15"/>
    <n v="675000"/>
    <n v="3825000"/>
    <n v="3120000"/>
    <n v="705000"/>
  </r>
  <r>
    <s v="SLS-02"/>
    <s v="TRX-2025-0688"/>
    <d v="2025-09-25T00:00:00"/>
    <x v="1"/>
    <x v="1"/>
    <s v="Surabaya"/>
    <s v="Beras Premium 5kg"/>
    <s v="F&amp;B"/>
    <n v="74000"/>
    <n v="65000"/>
    <n v="29"/>
    <n v="2146000"/>
    <n v="0.05"/>
    <n v="107300"/>
    <n v="2038700"/>
    <n v="1885000"/>
    <n v="153700"/>
  </r>
  <r>
    <s v="SLS-04"/>
    <s v="TRX-2025-0689"/>
    <d v="2025-02-24T00:00:00"/>
    <x v="4"/>
    <x v="0"/>
    <s v="Medan"/>
    <s v="Sepatu Sneakers Pria/Wanita"/>
    <s v="Fashion"/>
    <n v="450000"/>
    <n v="290000"/>
    <n v="2"/>
    <n v="900000"/>
    <n v="0"/>
    <n v="0"/>
    <n v="900000"/>
    <n v="580000"/>
    <n v="320000"/>
  </r>
  <r>
    <s v="SLS-05"/>
    <s v="TRX-2025-0690"/>
    <d v="2025-09-27T00:00:00"/>
    <x v="3"/>
    <x v="2"/>
    <s v="Semarang"/>
    <s v="Minyak Goreng Sawit 2L"/>
    <s v="F&amp;B"/>
    <n v="36000"/>
    <n v="31000"/>
    <n v="14"/>
    <n v="504000"/>
    <n v="0.05"/>
    <n v="25200"/>
    <n v="478800"/>
    <n v="434000"/>
    <n v="44800"/>
  </r>
  <r>
    <s v="SLS-02"/>
    <s v="TRX-2025-0691"/>
    <d v="2025-12-02T00:00:00"/>
    <x v="1"/>
    <x v="1"/>
    <s v="Surabaya"/>
    <s v="Sepatu Sneakers Pria/Wanita"/>
    <s v="Fashion"/>
    <n v="450000"/>
    <n v="290000"/>
    <n v="8"/>
    <n v="3600000"/>
    <n v="0"/>
    <n v="0"/>
    <n v="3600000"/>
    <n v="2320000"/>
    <n v="1280000"/>
  </r>
  <r>
    <s v="SLS-01"/>
    <s v="TRX-2025-0692"/>
    <d v="2025-07-08T00:00:00"/>
    <x v="0"/>
    <x v="0"/>
    <s v="Jakarta"/>
    <s v="Wajan Anti Lengket 28cm"/>
    <s v="Peralatan Rumah"/>
    <n v="210000"/>
    <n v="140000"/>
    <n v="10"/>
    <n v="2100000"/>
    <n v="0.1"/>
    <n v="210000"/>
    <n v="1890000"/>
    <n v="1400000"/>
    <n v="490000"/>
  </r>
  <r>
    <s v="SLS-04"/>
    <s v="TRX-2025-0693"/>
    <d v="2025-06-05T00:00:00"/>
    <x v="4"/>
    <x v="0"/>
    <s v="Medan"/>
    <s v="Wireless Mouse Ergonomic"/>
    <s v="Elektronik"/>
    <n v="250000"/>
    <n v="160000"/>
    <n v="9"/>
    <n v="2250000"/>
    <n v="0"/>
    <n v="0"/>
    <n v="2250000"/>
    <n v="1440000"/>
    <n v="810000"/>
  </r>
  <r>
    <s v="SLS-04"/>
    <s v="TRX-2025-0694"/>
    <d v="2025-09-30T00:00:00"/>
    <x v="4"/>
    <x v="0"/>
    <s v="Medan"/>
    <s v="Jaket Hoodie Casual"/>
    <s v="Fashion"/>
    <n v="350000"/>
    <n v="220000"/>
    <n v="4"/>
    <n v="1400000"/>
    <n v="0.2"/>
    <n v="280000"/>
    <n v="1120000"/>
    <n v="880000"/>
    <n v="240000"/>
  </r>
  <r>
    <s v="SLS-07"/>
    <s v="TRX-2025-0695"/>
    <d v="2025-10-13T00:00:00"/>
    <x v="7"/>
    <x v="2"/>
    <s v="Denpasar"/>
    <s v="Susu UHT Full Cream 1L"/>
    <s v="F&amp;B"/>
    <n v="22000"/>
    <n v="18000"/>
    <n v="6"/>
    <n v="132000"/>
    <n v="0.2"/>
    <n v="26400"/>
    <n v="105600"/>
    <n v="108000"/>
    <n v="-2400"/>
  </r>
  <r>
    <s v="SLS-07"/>
    <s v="TRX-2025-0696"/>
    <d v="2025-12-26T00:00:00"/>
    <x v="7"/>
    <x v="2"/>
    <s v="Denpasar"/>
    <s v="Beras Premium 5kg"/>
    <s v="F&amp;B"/>
    <n v="74000"/>
    <n v="65000"/>
    <n v="8"/>
    <n v="592000"/>
    <n v="0.05"/>
    <n v="29600"/>
    <n v="562400"/>
    <n v="520000"/>
    <n v="42400"/>
  </r>
  <r>
    <s v="SLS-08"/>
    <s v="TRX-2025-0697"/>
    <d v="2025-12-03T00:00:00"/>
    <x v="6"/>
    <x v="2"/>
    <s v="Yogyakarta"/>
    <s v="Mechanical Keyboard RGB"/>
    <s v="Elektronik"/>
    <n v="750000"/>
    <n v="520000"/>
    <n v="6"/>
    <n v="4500000"/>
    <n v="0.1"/>
    <n v="450000"/>
    <n v="4050000"/>
    <n v="3120000"/>
    <n v="930000"/>
  </r>
  <r>
    <s v="SLS-06"/>
    <s v="TRX-2025-0698"/>
    <d v="2025-11-21T00:00:00"/>
    <x v="2"/>
    <x v="1"/>
    <s v="Makassar"/>
    <s v="Jaket Hoodie Casual"/>
    <s v="Fashion"/>
    <n v="350000"/>
    <n v="220000"/>
    <n v="10"/>
    <n v="3500000"/>
    <n v="0.05"/>
    <n v="175000"/>
    <n v="3325000"/>
    <n v="2200000"/>
    <n v="1125000"/>
  </r>
  <r>
    <s v="SLS-08"/>
    <s v="TRX-2025-0699"/>
    <d v="2025-07-04T00:00:00"/>
    <x v="6"/>
    <x v="2"/>
    <s v="Yogyakarta"/>
    <s v="Sepatu Sneakers Pria/Wanita"/>
    <s v="Fashion"/>
    <n v="450000"/>
    <n v="290000"/>
    <n v="7"/>
    <n v="3150000"/>
    <n v="0"/>
    <n v="0"/>
    <n v="3150000"/>
    <n v="2030000"/>
    <n v="1120000"/>
  </r>
  <r>
    <s v="SLS-05"/>
    <s v="TRX-2025-0700"/>
    <d v="2025-09-23T00:00:00"/>
    <x v="3"/>
    <x v="2"/>
    <s v="Semarang"/>
    <s v="Mechanical Keyboard RGB"/>
    <s v="Elektronik"/>
    <n v="750000"/>
    <n v="520000"/>
    <n v="1"/>
    <n v="750000"/>
    <n v="0.1"/>
    <n v="75000"/>
    <n v="675000"/>
    <n v="520000"/>
    <n v="155000"/>
  </r>
  <r>
    <s v="SLS-05"/>
    <s v="TRX-2025-0701"/>
    <d v="2025-01-12T00:00:00"/>
    <x v="3"/>
    <x v="2"/>
    <s v="Semarang"/>
    <s v="Wajan Anti Lengket 28cm"/>
    <s v="Peralatan Rumah"/>
    <n v="210000"/>
    <n v="140000"/>
    <n v="9"/>
    <n v="1890000"/>
    <n v="0.2"/>
    <n v="378000"/>
    <n v="1512000"/>
    <n v="1260000"/>
    <n v="252000"/>
  </r>
  <r>
    <s v="SLS-03"/>
    <s v="TRX-2025-0702"/>
    <d v="2025-08-24T00:00:00"/>
    <x v="5"/>
    <x v="0"/>
    <s v="Bandung"/>
    <s v="Celana Chino Slim Fit"/>
    <s v="Fashion"/>
    <n v="280000"/>
    <n v="175000"/>
    <n v="3"/>
    <n v="840000"/>
    <n v="0.1"/>
    <n v="84000"/>
    <n v="756000"/>
    <n v="525000"/>
    <n v="231000"/>
  </r>
  <r>
    <s v="SLS-05"/>
    <s v="TRX-2025-0703"/>
    <d v="2025-04-30T00:00:00"/>
    <x v="3"/>
    <x v="2"/>
    <s v="Semarang"/>
    <s v="Kemeja Batik Katun Premium"/>
    <s v="Fashion"/>
    <n v="320000"/>
    <n v="190000"/>
    <n v="2"/>
    <n v="640000"/>
    <n v="0.2"/>
    <n v="128000"/>
    <n v="512000"/>
    <n v="380000"/>
    <n v="132000"/>
  </r>
  <r>
    <s v="SLS-06"/>
    <s v="TRX-2025-0704"/>
    <d v="2025-02-09T00:00:00"/>
    <x v="2"/>
    <x v="1"/>
    <s v="Makassar"/>
    <s v="Susu UHT Full Cream 1L"/>
    <s v="F&amp;B"/>
    <n v="22000"/>
    <n v="18000"/>
    <n v="8"/>
    <n v="176000"/>
    <n v="0.15"/>
    <n v="26400"/>
    <n v="149600"/>
    <n v="144000"/>
    <n v="5600"/>
  </r>
  <r>
    <s v="SLS-07"/>
    <s v="TRX-2025-0705"/>
    <d v="2025-01-20T00:00:00"/>
    <x v="7"/>
    <x v="2"/>
    <s v="Denpasar"/>
    <s v="Susu UHT Full Cream 1L"/>
    <s v="F&amp;B"/>
    <n v="22000"/>
    <n v="18000"/>
    <n v="27"/>
    <n v="594000"/>
    <n v="0"/>
    <n v="0"/>
    <n v="594000"/>
    <n v="486000"/>
    <n v="108000"/>
  </r>
  <r>
    <s v="SLS-02"/>
    <s v="TRX-2025-0706"/>
    <d v="2025-08-02T00:00:00"/>
    <x v="1"/>
    <x v="1"/>
    <s v="Surabaya"/>
    <s v="Set Pisau Dapur Stainless"/>
    <s v="Peralatan Rumah"/>
    <n v="165000"/>
    <n v="105000"/>
    <n v="4"/>
    <n v="660000"/>
    <n v="0.2"/>
    <n v="132000"/>
    <n v="528000"/>
    <n v="420000"/>
    <n v="108000"/>
  </r>
  <r>
    <s v="SLS-01"/>
    <s v="TRX-2025-0707"/>
    <d v="2025-01-28T00:00:00"/>
    <x v="0"/>
    <x v="0"/>
    <s v="Jakarta"/>
    <s v="Kemeja Batik Katun Premium"/>
    <s v="Fashion"/>
    <n v="320000"/>
    <n v="190000"/>
    <n v="6"/>
    <n v="1920000"/>
    <n v="0.2"/>
    <n v="384000"/>
    <n v="1536000"/>
    <n v="1140000"/>
    <n v="396000"/>
  </r>
  <r>
    <s v="SLS-07"/>
    <s v="TRX-2025-0708"/>
    <d v="2025-03-20T00:00:00"/>
    <x v="7"/>
    <x v="2"/>
    <s v="Denpasar"/>
    <s v="Laptop Ultrabook 14&quot;"/>
    <s v="Elektronik"/>
    <n v="8500000"/>
    <n v="7200000"/>
    <n v="8"/>
    <n v="68000000"/>
    <n v="0.2"/>
    <n v="13600000"/>
    <n v="54400000"/>
    <n v="57600000"/>
    <n v="-3200000"/>
  </r>
  <r>
    <s v="SLS-07"/>
    <s v="TRX-2025-0709"/>
    <d v="2025-05-29T00:00:00"/>
    <x v="7"/>
    <x v="2"/>
    <s v="Denpasar"/>
    <s v="Wajan Anti Lengket 28cm"/>
    <s v="Peralatan Rumah"/>
    <n v="210000"/>
    <n v="140000"/>
    <n v="3"/>
    <n v="630000"/>
    <n v="0.05"/>
    <n v="31500"/>
    <n v="598500"/>
    <n v="420000"/>
    <n v="178500"/>
  </r>
  <r>
    <s v="SLS-01"/>
    <s v="TRX-2025-0710"/>
    <d v="2025-10-20T00:00:00"/>
    <x v="0"/>
    <x v="0"/>
    <s v="Jakarta"/>
    <s v="Susu UHT Full Cream 1L"/>
    <s v="F&amp;B"/>
    <n v="22000"/>
    <n v="18000"/>
    <n v="15"/>
    <n v="330000"/>
    <n v="0.1"/>
    <n v="33000"/>
    <n v="297000"/>
    <n v="270000"/>
    <n v="27000"/>
  </r>
  <r>
    <s v="SLS-03"/>
    <s v="TRX-2025-0711"/>
    <d v="2025-12-24T00:00:00"/>
    <x v="5"/>
    <x v="0"/>
    <s v="Bandung"/>
    <s v="Mechanical Keyboard RGB"/>
    <s v="Elektronik"/>
    <n v="750000"/>
    <n v="520000"/>
    <n v="8"/>
    <n v="6000000"/>
    <n v="0.2"/>
    <n v="1200000"/>
    <n v="4800000"/>
    <n v="4160000"/>
    <n v="640000"/>
  </r>
  <r>
    <s v="SLS-04"/>
    <s v="TRX-2025-0712"/>
    <d v="2025-11-30T00:00:00"/>
    <x v="4"/>
    <x v="0"/>
    <s v="Medan"/>
    <s v="Minyak Goreng Sawit 2L"/>
    <s v="F&amp;B"/>
    <n v="36000"/>
    <n v="31000"/>
    <n v="22"/>
    <n v="792000"/>
    <n v="0.2"/>
    <n v="158400"/>
    <n v="633600"/>
    <n v="682000"/>
    <n v="-48400"/>
  </r>
  <r>
    <s v="SLS-07"/>
    <s v="TRX-2025-0713"/>
    <d v="2025-05-17T00:00:00"/>
    <x v="7"/>
    <x v="2"/>
    <s v="Denpasar"/>
    <s v="Wajan Anti Lengket 28cm"/>
    <s v="Peralatan Rumah"/>
    <n v="210000"/>
    <n v="140000"/>
    <n v="6"/>
    <n v="1260000"/>
    <n v="0.2"/>
    <n v="252000"/>
    <n v="1008000"/>
    <n v="840000"/>
    <n v="168000"/>
  </r>
  <r>
    <s v="SLS-06"/>
    <s v="TRX-2025-0714"/>
    <d v="2025-08-05T00:00:00"/>
    <x v="2"/>
    <x v="1"/>
    <s v="Makassar"/>
    <s v="Celana Chino Slim Fit"/>
    <s v="Fashion"/>
    <n v="280000"/>
    <n v="175000"/>
    <n v="4"/>
    <n v="1120000"/>
    <n v="0.1"/>
    <n v="112000"/>
    <n v="1008000"/>
    <n v="700000"/>
    <n v="308000"/>
  </r>
  <r>
    <s v="SLS-06"/>
    <s v="TRX-2025-0715"/>
    <d v="2025-06-06T00:00:00"/>
    <x v="2"/>
    <x v="1"/>
    <s v="Makassar"/>
    <s v="Mechanical Keyboard RGB"/>
    <s v="Elektronik"/>
    <n v="750000"/>
    <n v="520000"/>
    <n v="10"/>
    <n v="7500000"/>
    <n v="0.15"/>
    <n v="1125000"/>
    <n v="6375000"/>
    <n v="5200000"/>
    <n v="1175000"/>
  </r>
  <r>
    <s v="SLS-06"/>
    <s v="TRX-2025-0716"/>
    <d v="2025-04-30T00:00:00"/>
    <x v="2"/>
    <x v="1"/>
    <s v="Makassar"/>
    <s v="Monitor 24&quot; FHD 144Hz"/>
    <s v="Elektronik"/>
    <n v="1950000"/>
    <n v="1500000"/>
    <n v="3"/>
    <n v="5850000"/>
    <n v="0"/>
    <n v="0"/>
    <n v="5850000"/>
    <n v="4500000"/>
    <n v="1350000"/>
  </r>
  <r>
    <s v="SLS-03"/>
    <s v="TRX-2025-0717"/>
    <d v="2025-05-05T00:00:00"/>
    <x v="5"/>
    <x v="0"/>
    <s v="Bandung"/>
    <s v="Minyak Goreng Sawit 2L"/>
    <s v="F&amp;B"/>
    <n v="36000"/>
    <n v="31000"/>
    <n v="3"/>
    <n v="108000"/>
    <n v="0.1"/>
    <n v="10800"/>
    <n v="97200"/>
    <n v="93000"/>
    <n v="4200"/>
  </r>
  <r>
    <s v="SLS-06"/>
    <s v="TRX-2025-0718"/>
    <d v="2025-08-30T00:00:00"/>
    <x v="2"/>
    <x v="1"/>
    <s v="Makassar"/>
    <s v="Laptop Ultrabook 14&quot;"/>
    <s v="Elektronik"/>
    <n v="8500000"/>
    <n v="7200000"/>
    <n v="4"/>
    <n v="34000000"/>
    <n v="0.2"/>
    <n v="6800000"/>
    <n v="27200000"/>
    <n v="28800000"/>
    <n v="-1600000"/>
  </r>
  <r>
    <s v="SLS-03"/>
    <s v="TRX-2025-0719"/>
    <d v="2025-10-08T00:00:00"/>
    <x v="5"/>
    <x v="0"/>
    <s v="Bandung"/>
    <s v="Sepatu Sneakers Pria/Wanita"/>
    <s v="Fashion"/>
    <n v="450000"/>
    <n v="290000"/>
    <n v="12"/>
    <n v="5400000"/>
    <n v="0"/>
    <n v="0"/>
    <n v="5400000"/>
    <n v="3480000"/>
    <n v="1920000"/>
  </r>
  <r>
    <s v="SLS-01"/>
    <s v="TRX-2025-0720"/>
    <d v="2025-05-11T00:00:00"/>
    <x v="0"/>
    <x v="0"/>
    <s v="Jakarta"/>
    <s v="Mechanical Keyboard RGB"/>
    <s v="Elektronik"/>
    <n v="750000"/>
    <n v="520000"/>
    <n v="5"/>
    <n v="3750000"/>
    <n v="0.05"/>
    <n v="187500"/>
    <n v="3562500"/>
    <n v="2600000"/>
    <n v="962500"/>
  </r>
  <r>
    <s v="SLS-02"/>
    <s v="TRX-2025-0721"/>
    <d v="2025-12-02T00:00:00"/>
    <x v="1"/>
    <x v="1"/>
    <s v="Surabaya"/>
    <s v="Laptop Ultrabook 14&quot;"/>
    <s v="Elektronik"/>
    <n v="8500000"/>
    <n v="7200000"/>
    <n v="7"/>
    <n v="59500000"/>
    <n v="0.1"/>
    <n v="5950000"/>
    <n v="53550000"/>
    <n v="50400000"/>
    <n v="3150000"/>
  </r>
  <r>
    <s v="SLS-07"/>
    <s v="TRX-2025-0722"/>
    <d v="2025-05-30T00:00:00"/>
    <x v="7"/>
    <x v="2"/>
    <s v="Denpasar"/>
    <s v="Blender Multifungsi 2-in-1"/>
    <s v="Peralatan Rumah"/>
    <n v="340000"/>
    <n v="240000"/>
    <n v="4"/>
    <n v="1360000"/>
    <n v="0.15"/>
    <n v="204000"/>
    <n v="1156000"/>
    <n v="960000"/>
    <n v="196000"/>
  </r>
  <r>
    <s v="SLS-02"/>
    <s v="TRX-2025-0723"/>
    <d v="2025-11-02T00:00:00"/>
    <x v="1"/>
    <x v="1"/>
    <s v="Surabaya"/>
    <s v="Kopi Arabika Gayo 250g"/>
    <s v="F&amp;B"/>
    <n v="85000"/>
    <n v="55000"/>
    <n v="9"/>
    <n v="765000"/>
    <n v="0.2"/>
    <n v="153000"/>
    <n v="612000"/>
    <n v="495000"/>
    <n v="117000"/>
  </r>
  <r>
    <s v="SLS-05"/>
    <s v="TRX-2025-0724"/>
    <d v="2025-01-21T00:00:00"/>
    <x v="3"/>
    <x v="2"/>
    <s v="Semarang"/>
    <s v="Monitor 24&quot; FHD 144Hz"/>
    <s v="Elektronik"/>
    <n v="1950000"/>
    <n v="1500000"/>
    <n v="6"/>
    <n v="11700000"/>
    <n v="0.15"/>
    <n v="1755000"/>
    <n v="9945000"/>
    <n v="9000000"/>
    <n v="945000"/>
  </r>
  <r>
    <s v="SLS-06"/>
    <s v="TRX-2025-0725"/>
    <d v="2025-01-10T00:00:00"/>
    <x v="2"/>
    <x v="1"/>
    <s v="Makassar"/>
    <s v="Celana Chino Slim Fit"/>
    <s v="Fashion"/>
    <n v="280000"/>
    <n v="175000"/>
    <n v="6"/>
    <n v="1680000"/>
    <n v="0.1"/>
    <n v="168000"/>
    <n v="1512000"/>
    <n v="1050000"/>
    <n v="462000"/>
  </r>
  <r>
    <s v="SLS-05"/>
    <s v="TRX-2025-0726"/>
    <d v="2025-02-01T00:00:00"/>
    <x v="3"/>
    <x v="2"/>
    <s v="Semarang"/>
    <s v="Beras Premium 5kg"/>
    <s v="F&amp;B"/>
    <n v="74000"/>
    <n v="65000"/>
    <n v="29"/>
    <n v="2146000"/>
    <n v="0"/>
    <n v="0"/>
    <n v="2146000"/>
    <n v="1885000"/>
    <n v="261000"/>
  </r>
  <r>
    <s v="SLS-07"/>
    <s v="TRX-2025-0727"/>
    <d v="2025-06-24T00:00:00"/>
    <x v="7"/>
    <x v="2"/>
    <s v="Denpasar"/>
    <s v="Set Pisau Dapur Stainless"/>
    <s v="Peralatan Rumah"/>
    <n v="165000"/>
    <n v="105000"/>
    <n v="11"/>
    <n v="1815000"/>
    <n v="0.05"/>
    <n v="90750"/>
    <n v="1724250"/>
    <n v="1155000"/>
    <n v="569250"/>
  </r>
  <r>
    <s v="SLS-04"/>
    <s v="TRX-2025-0728"/>
    <d v="2025-09-24T00:00:00"/>
    <x v="4"/>
    <x v="0"/>
    <s v="Medan"/>
    <s v="Beras Premium 5kg"/>
    <s v="F&amp;B"/>
    <n v="74000"/>
    <n v="65000"/>
    <n v="10"/>
    <n v="740000"/>
    <n v="0.2"/>
    <n v="148000"/>
    <n v="592000"/>
    <n v="650000"/>
    <n v="-58000"/>
  </r>
  <r>
    <s v="SLS-08"/>
    <s v="TRX-2025-0729"/>
    <d v="2025-11-06T00:00:00"/>
    <x v="6"/>
    <x v="2"/>
    <s v="Yogyakarta"/>
    <s v="Celana Chino Slim Fit"/>
    <s v="Fashion"/>
    <n v="280000"/>
    <n v="175000"/>
    <n v="9"/>
    <n v="2520000"/>
    <n v="0.05"/>
    <n v="126000"/>
    <n v="2394000"/>
    <n v="1575000"/>
    <n v="819000"/>
  </r>
  <r>
    <s v="SLS-04"/>
    <s v="TRX-2025-0730"/>
    <d v="2025-10-25T00:00:00"/>
    <x v="4"/>
    <x v="0"/>
    <s v="Medan"/>
    <s v="Kopi Arabika Gayo 250g"/>
    <s v="F&amp;B"/>
    <n v="85000"/>
    <n v="55000"/>
    <n v="12"/>
    <n v="1020000"/>
    <n v="0.2"/>
    <n v="204000"/>
    <n v="816000"/>
    <n v="660000"/>
    <n v="156000"/>
  </r>
  <r>
    <s v="SLS-03"/>
    <s v="TRX-2025-0731"/>
    <d v="2025-12-02T00:00:00"/>
    <x v="5"/>
    <x v="0"/>
    <s v="Bandung"/>
    <s v="Set Pisau Dapur Stainless"/>
    <s v="Peralatan Rumah"/>
    <n v="165000"/>
    <n v="105000"/>
    <n v="6"/>
    <n v="990000"/>
    <n v="0"/>
    <n v="0"/>
    <n v="990000"/>
    <n v="630000"/>
    <n v="360000"/>
  </r>
  <r>
    <s v="SLS-01"/>
    <s v="TRX-2025-0732"/>
    <d v="2025-03-16T00:00:00"/>
    <x v="0"/>
    <x v="0"/>
    <s v="Jakarta"/>
    <s v="Susu UHT Full Cream 1L"/>
    <s v="F&amp;B"/>
    <n v="22000"/>
    <n v="18000"/>
    <n v="16"/>
    <n v="352000"/>
    <n v="0.15"/>
    <n v="52800"/>
    <n v="299200"/>
    <n v="288000"/>
    <n v="11200"/>
  </r>
  <r>
    <s v="SLS-04"/>
    <s v="TRX-2025-0733"/>
    <d v="2025-03-19T00:00:00"/>
    <x v="4"/>
    <x v="0"/>
    <s v="Medan"/>
    <s v="Wajan Anti Lengket 28cm"/>
    <s v="Peralatan Rumah"/>
    <n v="210000"/>
    <n v="140000"/>
    <n v="2"/>
    <n v="420000"/>
    <n v="0.05"/>
    <n v="21000"/>
    <n v="399000"/>
    <n v="280000"/>
    <n v="119000"/>
  </r>
  <r>
    <s v="SLS-04"/>
    <s v="TRX-2025-0734"/>
    <d v="2025-11-07T00:00:00"/>
    <x v="4"/>
    <x v="0"/>
    <s v="Medan"/>
    <s v="Minyak Goreng Sawit 2L"/>
    <s v="F&amp;B"/>
    <n v="36000"/>
    <n v="31000"/>
    <n v="10"/>
    <n v="360000"/>
    <n v="0.05"/>
    <n v="18000"/>
    <n v="342000"/>
    <n v="310000"/>
    <n v="32000"/>
  </r>
  <r>
    <s v="SLS-08"/>
    <s v="TRX-2025-0735"/>
    <d v="2025-12-19T00:00:00"/>
    <x v="6"/>
    <x v="2"/>
    <s v="Yogyakarta"/>
    <s v="Wajan Anti Lengket 28cm"/>
    <s v="Peralatan Rumah"/>
    <n v="210000"/>
    <n v="140000"/>
    <n v="3"/>
    <n v="630000"/>
    <n v="0.2"/>
    <n v="126000"/>
    <n v="504000"/>
    <n v="420000"/>
    <n v="84000"/>
  </r>
  <r>
    <s v="SLS-07"/>
    <s v="TRX-2025-0736"/>
    <d v="2025-04-05T00:00:00"/>
    <x v="7"/>
    <x v="2"/>
    <s v="Denpasar"/>
    <s v="Blender Multifungsi 2-in-1"/>
    <s v="Peralatan Rumah"/>
    <n v="340000"/>
    <n v="240000"/>
    <n v="8"/>
    <n v="2720000"/>
    <n v="0.15"/>
    <n v="408000"/>
    <n v="2312000"/>
    <n v="1920000"/>
    <n v="392000"/>
  </r>
  <r>
    <s v="SLS-07"/>
    <s v="TRX-2025-0737"/>
    <d v="2025-04-26T00:00:00"/>
    <x v="7"/>
    <x v="2"/>
    <s v="Denpasar"/>
    <s v="Laptop Ultrabook 14&quot;"/>
    <s v="Elektronik"/>
    <n v="8500000"/>
    <n v="7200000"/>
    <n v="1"/>
    <n v="8500000"/>
    <n v="0.1"/>
    <n v="850000"/>
    <n v="7650000"/>
    <n v="7200000"/>
    <n v="450000"/>
  </r>
  <r>
    <s v="SLS-03"/>
    <s v="TRX-2025-0738"/>
    <d v="2025-04-15T00:00:00"/>
    <x v="5"/>
    <x v="0"/>
    <s v="Bandung"/>
    <s v="Wireless Mouse Ergonomic"/>
    <s v="Elektronik"/>
    <n v="250000"/>
    <n v="160000"/>
    <n v="8"/>
    <n v="2000000"/>
    <n v="0.2"/>
    <n v="400000"/>
    <n v="1600000"/>
    <n v="1280000"/>
    <n v="320000"/>
  </r>
  <r>
    <s v="SLS-04"/>
    <s v="TRX-2025-0739"/>
    <d v="2025-08-23T00:00:00"/>
    <x v="4"/>
    <x v="0"/>
    <s v="Medan"/>
    <s v="Set Pisau Dapur Stainless"/>
    <s v="Peralatan Rumah"/>
    <n v="165000"/>
    <n v="105000"/>
    <n v="7"/>
    <n v="1155000"/>
    <n v="0.15"/>
    <n v="173250"/>
    <n v="981750"/>
    <n v="735000"/>
    <n v="246750"/>
  </r>
  <r>
    <s v="SLS-01"/>
    <s v="TRX-2025-0740"/>
    <d v="2025-06-10T00:00:00"/>
    <x v="0"/>
    <x v="0"/>
    <s v="Jakarta"/>
    <s v="Jaket Hoodie Casual"/>
    <s v="Fashion"/>
    <n v="350000"/>
    <n v="220000"/>
    <n v="9"/>
    <n v="3150000"/>
    <n v="0"/>
    <n v="0"/>
    <n v="3150000"/>
    <n v="1980000"/>
    <n v="1170000"/>
  </r>
  <r>
    <s v="SLS-07"/>
    <s v="TRX-2025-0741"/>
    <d v="2025-05-06T00:00:00"/>
    <x v="7"/>
    <x v="2"/>
    <s v="Denpasar"/>
    <s v="Kopi Arabika Gayo 250g"/>
    <s v="F&amp;B"/>
    <n v="85000"/>
    <n v="55000"/>
    <n v="4"/>
    <n v="340000"/>
    <n v="0.2"/>
    <n v="68000"/>
    <n v="272000"/>
    <n v="220000"/>
    <n v="52000"/>
  </r>
  <r>
    <s v="SLS-08"/>
    <s v="TRX-2025-0742"/>
    <d v="2025-04-08T00:00:00"/>
    <x v="6"/>
    <x v="2"/>
    <s v="Yogyakarta"/>
    <s v="Kemeja Batik Katun Premium"/>
    <s v="Fashion"/>
    <n v="320000"/>
    <n v="190000"/>
    <n v="7"/>
    <n v="2240000"/>
    <n v="0.1"/>
    <n v="224000"/>
    <n v="2016000"/>
    <n v="1330000"/>
    <n v="686000"/>
  </r>
  <r>
    <s v="SLS-01"/>
    <s v="TRX-2025-0743"/>
    <d v="2025-08-05T00:00:00"/>
    <x v="0"/>
    <x v="0"/>
    <s v="Jakarta"/>
    <s v="Kemeja Batik Katun Premium"/>
    <s v="Fashion"/>
    <n v="320000"/>
    <n v="190000"/>
    <n v="12"/>
    <n v="3840000"/>
    <n v="0.2"/>
    <n v="768000"/>
    <n v="3072000"/>
    <n v="2280000"/>
    <n v="792000"/>
  </r>
  <r>
    <s v="SLS-02"/>
    <s v="TRX-2025-0744"/>
    <d v="2025-02-16T00:00:00"/>
    <x v="1"/>
    <x v="1"/>
    <s v="Surabaya"/>
    <s v="Susu UHT Full Cream 1L"/>
    <s v="F&amp;B"/>
    <n v="22000"/>
    <n v="18000"/>
    <n v="27"/>
    <n v="594000"/>
    <n v="0.2"/>
    <n v="118800"/>
    <n v="475200"/>
    <n v="486000"/>
    <n v="-10800"/>
  </r>
  <r>
    <s v="SLS-01"/>
    <s v="TRX-2025-0745"/>
    <d v="2025-06-15T00:00:00"/>
    <x v="0"/>
    <x v="0"/>
    <s v="Jakarta"/>
    <s v="Sepatu Sneakers Pria/Wanita"/>
    <s v="Fashion"/>
    <n v="450000"/>
    <n v="290000"/>
    <n v="3"/>
    <n v="1350000"/>
    <n v="0.15"/>
    <n v="202500"/>
    <n v="1147500"/>
    <n v="870000"/>
    <n v="277500"/>
  </r>
  <r>
    <s v="SLS-03"/>
    <s v="TRX-2025-0746"/>
    <d v="2025-05-09T00:00:00"/>
    <x v="5"/>
    <x v="0"/>
    <s v="Bandung"/>
    <s v="Celana Chino Slim Fit"/>
    <s v="Fashion"/>
    <n v="280000"/>
    <n v="175000"/>
    <n v="12"/>
    <n v="3360000"/>
    <n v="0"/>
    <n v="0"/>
    <n v="3360000"/>
    <n v="2100000"/>
    <n v="1260000"/>
  </r>
  <r>
    <s v="SLS-02"/>
    <s v="TRX-2025-0747"/>
    <d v="2025-11-21T00:00:00"/>
    <x v="1"/>
    <x v="1"/>
    <s v="Surabaya"/>
    <s v="Celana Chino Slim Fit"/>
    <s v="Fashion"/>
    <n v="280000"/>
    <n v="175000"/>
    <n v="9"/>
    <n v="2520000"/>
    <n v="0.15"/>
    <n v="378000"/>
    <n v="2142000"/>
    <n v="1575000"/>
    <n v="567000"/>
  </r>
  <r>
    <s v="SLS-03"/>
    <s v="TRX-2025-0748"/>
    <d v="2025-01-23T00:00:00"/>
    <x v="5"/>
    <x v="0"/>
    <s v="Bandung"/>
    <s v="Wajan Anti Lengket 28cm"/>
    <s v="Peralatan Rumah"/>
    <n v="210000"/>
    <n v="140000"/>
    <n v="6"/>
    <n v="1260000"/>
    <n v="0.2"/>
    <n v="252000"/>
    <n v="1008000"/>
    <n v="840000"/>
    <n v="168000"/>
  </r>
  <r>
    <s v="SLS-01"/>
    <s v="TRX-2025-0749"/>
    <d v="2025-04-02T00:00:00"/>
    <x v="0"/>
    <x v="0"/>
    <s v="Jakarta"/>
    <s v="Wajan Anti Lengket 28cm"/>
    <s v="Peralatan Rumah"/>
    <n v="210000"/>
    <n v="140000"/>
    <n v="7"/>
    <n v="1470000"/>
    <n v="0.1"/>
    <n v="147000"/>
    <n v="1323000"/>
    <n v="980000"/>
    <n v="343000"/>
  </r>
  <r>
    <s v="SLS-03"/>
    <s v="TRX-2025-0750"/>
    <d v="2025-05-28T00:00:00"/>
    <x v="5"/>
    <x v="0"/>
    <s v="Bandung"/>
    <s v="Beras Premium 5kg"/>
    <s v="F&amp;B"/>
    <n v="74000"/>
    <n v="65000"/>
    <n v="7"/>
    <n v="518000"/>
    <n v="0.05"/>
    <n v="25900"/>
    <n v="492100"/>
    <n v="455000"/>
    <n v="37100"/>
  </r>
  <r>
    <s v="SLS-08"/>
    <s v="TRX-2025-0751"/>
    <d v="2025-01-07T00:00:00"/>
    <x v="6"/>
    <x v="2"/>
    <s v="Yogyakarta"/>
    <s v="Sepatu Sneakers Pria/Wanita"/>
    <s v="Fashion"/>
    <n v="450000"/>
    <n v="290000"/>
    <n v="8"/>
    <n v="3600000"/>
    <n v="0.2"/>
    <n v="720000"/>
    <n v="2880000"/>
    <n v="2320000"/>
    <n v="560000"/>
  </r>
  <r>
    <s v="SLS-08"/>
    <s v="TRX-2025-0752"/>
    <d v="2025-05-02T00:00:00"/>
    <x v="6"/>
    <x v="2"/>
    <s v="Yogyakarta"/>
    <s v="Monitor 24&quot; FHD 144Hz"/>
    <s v="Elektronik"/>
    <n v="1950000"/>
    <n v="1500000"/>
    <n v="8"/>
    <n v="15600000"/>
    <n v="0.15"/>
    <n v="2340000"/>
    <n v="13260000"/>
    <n v="12000000"/>
    <n v="1260000"/>
  </r>
  <r>
    <s v="SLS-05"/>
    <s v="TRX-2025-0753"/>
    <d v="2025-05-06T00:00:00"/>
    <x v="3"/>
    <x v="2"/>
    <s v="Semarang"/>
    <s v="Set Pisau Dapur Stainless"/>
    <s v="Peralatan Rumah"/>
    <n v="165000"/>
    <n v="105000"/>
    <n v="10"/>
    <n v="1650000"/>
    <n v="0.2"/>
    <n v="330000"/>
    <n v="1320000"/>
    <n v="1050000"/>
    <n v="270000"/>
  </r>
  <r>
    <s v="SLS-06"/>
    <s v="TRX-2025-0754"/>
    <d v="2025-03-17T00:00:00"/>
    <x v="2"/>
    <x v="1"/>
    <s v="Makassar"/>
    <s v="Laptop Ultrabook 14&quot;"/>
    <s v="Elektronik"/>
    <n v="8500000"/>
    <n v="7200000"/>
    <n v="1"/>
    <n v="8500000"/>
    <n v="0.05"/>
    <n v="425000"/>
    <n v="8075000"/>
    <n v="7200000"/>
    <n v="875000"/>
  </r>
  <r>
    <s v="SLS-02"/>
    <s v="TRX-2025-0755"/>
    <d v="2025-06-19T00:00:00"/>
    <x v="1"/>
    <x v="1"/>
    <s v="Surabaya"/>
    <s v="Set Pisau Dapur Stainless"/>
    <s v="Peralatan Rumah"/>
    <n v="165000"/>
    <n v="105000"/>
    <n v="1"/>
    <n v="165000"/>
    <n v="0"/>
    <n v="0"/>
    <n v="165000"/>
    <n v="105000"/>
    <n v="60000"/>
  </r>
  <r>
    <s v="SLS-03"/>
    <s v="TRX-2025-0756"/>
    <d v="2025-12-11T00:00:00"/>
    <x v="5"/>
    <x v="0"/>
    <s v="Bandung"/>
    <s v="Kemeja Batik Katun Premium"/>
    <s v="Fashion"/>
    <n v="320000"/>
    <n v="190000"/>
    <n v="8"/>
    <n v="2560000"/>
    <n v="0.2"/>
    <n v="512000"/>
    <n v="2048000"/>
    <n v="1520000"/>
    <n v="528000"/>
  </r>
  <r>
    <s v="SLS-06"/>
    <s v="TRX-2025-0757"/>
    <d v="2025-06-03T00:00:00"/>
    <x v="2"/>
    <x v="1"/>
    <s v="Makassar"/>
    <s v="Celana Chino Slim Fit"/>
    <s v="Fashion"/>
    <n v="280000"/>
    <n v="175000"/>
    <n v="7"/>
    <n v="1960000"/>
    <n v="0"/>
    <n v="0"/>
    <n v="1960000"/>
    <n v="1225000"/>
    <n v="735000"/>
  </r>
  <r>
    <s v="SLS-03"/>
    <s v="TRX-2025-0758"/>
    <d v="2025-05-30T00:00:00"/>
    <x v="5"/>
    <x v="0"/>
    <s v="Bandung"/>
    <s v="Sepatu Sneakers Pria/Wanita"/>
    <s v="Fashion"/>
    <n v="450000"/>
    <n v="290000"/>
    <n v="2"/>
    <n v="900000"/>
    <n v="0.1"/>
    <n v="90000"/>
    <n v="810000"/>
    <n v="580000"/>
    <n v="230000"/>
  </r>
  <r>
    <s v="SLS-04"/>
    <s v="TRX-2025-0759"/>
    <d v="2025-09-26T00:00:00"/>
    <x v="4"/>
    <x v="0"/>
    <s v="Medan"/>
    <s v="Monitor 24&quot; FHD 144Hz"/>
    <s v="Elektronik"/>
    <n v="1950000"/>
    <n v="1500000"/>
    <n v="10"/>
    <n v="19500000"/>
    <n v="0"/>
    <n v="0"/>
    <n v="19500000"/>
    <n v="15000000"/>
    <n v="4500000"/>
  </r>
  <r>
    <s v="SLS-05"/>
    <s v="TRX-2025-0760"/>
    <d v="2025-09-05T00:00:00"/>
    <x v="3"/>
    <x v="2"/>
    <s v="Semarang"/>
    <s v="Susu UHT Full Cream 1L"/>
    <s v="F&amp;B"/>
    <n v="22000"/>
    <n v="18000"/>
    <n v="22"/>
    <n v="484000"/>
    <n v="0.1"/>
    <n v="48400"/>
    <n v="435600"/>
    <n v="396000"/>
    <n v="39600"/>
  </r>
  <r>
    <s v="SLS-08"/>
    <s v="TRX-2025-0761"/>
    <d v="2025-03-08T00:00:00"/>
    <x v="6"/>
    <x v="2"/>
    <s v="Yogyakarta"/>
    <s v="Minyak Goreng Sawit 2L"/>
    <s v="F&amp;B"/>
    <n v="36000"/>
    <n v="31000"/>
    <n v="26"/>
    <n v="936000"/>
    <n v="0.15"/>
    <n v="140400"/>
    <n v="795600"/>
    <n v="806000"/>
    <n v="-10400"/>
  </r>
  <r>
    <s v="SLS-04"/>
    <s v="TRX-2025-0762"/>
    <d v="2025-12-29T00:00:00"/>
    <x v="4"/>
    <x v="0"/>
    <s v="Medan"/>
    <s v="Kemeja Batik Katun Premium"/>
    <s v="Fashion"/>
    <n v="320000"/>
    <n v="190000"/>
    <n v="1"/>
    <n v="320000"/>
    <n v="0"/>
    <n v="0"/>
    <n v="320000"/>
    <n v="190000"/>
    <n v="130000"/>
  </r>
  <r>
    <s v="SLS-07"/>
    <s v="TRX-2025-0763"/>
    <d v="2025-04-17T00:00:00"/>
    <x v="7"/>
    <x v="2"/>
    <s v="Denpasar"/>
    <s v="Wajan Anti Lengket 28cm"/>
    <s v="Peralatan Rumah"/>
    <n v="210000"/>
    <n v="140000"/>
    <n v="7"/>
    <n v="1470000"/>
    <n v="0"/>
    <n v="0"/>
    <n v="1470000"/>
    <n v="980000"/>
    <n v="490000"/>
  </r>
  <r>
    <s v="SLS-04"/>
    <s v="TRX-2025-0764"/>
    <d v="2025-01-06T00:00:00"/>
    <x v="4"/>
    <x v="0"/>
    <s v="Medan"/>
    <s v="Beras Premium 5kg"/>
    <s v="F&amp;B"/>
    <n v="74000"/>
    <n v="65000"/>
    <n v="12"/>
    <n v="888000"/>
    <n v="0.1"/>
    <n v="88800"/>
    <n v="799200"/>
    <n v="780000"/>
    <n v="19200"/>
  </r>
  <r>
    <s v="SLS-06"/>
    <s v="TRX-2025-0765"/>
    <d v="2025-09-17T00:00:00"/>
    <x v="2"/>
    <x v="1"/>
    <s v="Makassar"/>
    <s v="Kopi Arabika Gayo 250g"/>
    <s v="F&amp;B"/>
    <n v="85000"/>
    <n v="55000"/>
    <n v="6"/>
    <n v="510000"/>
    <n v="0.1"/>
    <n v="51000"/>
    <n v="459000"/>
    <n v="330000"/>
    <n v="129000"/>
  </r>
  <r>
    <s v="SLS-06"/>
    <s v="TRX-2025-0766"/>
    <d v="2025-03-31T00:00:00"/>
    <x v="2"/>
    <x v="1"/>
    <s v="Makassar"/>
    <s v="Monitor 24&quot; FHD 144Hz"/>
    <s v="Elektronik"/>
    <n v="1950000"/>
    <n v="1500000"/>
    <n v="6"/>
    <n v="11700000"/>
    <n v="0.15"/>
    <n v="1755000"/>
    <n v="9945000"/>
    <n v="9000000"/>
    <n v="945000"/>
  </r>
  <r>
    <s v="SLS-08"/>
    <s v="TRX-2025-0767"/>
    <d v="2025-09-04T00:00:00"/>
    <x v="6"/>
    <x v="2"/>
    <s v="Yogyakarta"/>
    <s v="Mechanical Keyboard RGB"/>
    <s v="Elektronik"/>
    <n v="750000"/>
    <n v="520000"/>
    <n v="9"/>
    <n v="6750000"/>
    <n v="0.1"/>
    <n v="675000"/>
    <n v="6075000"/>
    <n v="4680000"/>
    <n v="1395000"/>
  </r>
  <r>
    <s v="SLS-06"/>
    <s v="TRX-2025-0768"/>
    <d v="2025-09-24T00:00:00"/>
    <x v="2"/>
    <x v="1"/>
    <s v="Makassar"/>
    <s v="Kemeja Batik Katun Premium"/>
    <s v="Fashion"/>
    <n v="320000"/>
    <n v="190000"/>
    <n v="9"/>
    <n v="2880000"/>
    <n v="0.2"/>
    <n v="576000"/>
    <n v="2304000"/>
    <n v="1710000"/>
    <n v="594000"/>
  </r>
  <r>
    <s v="SLS-03"/>
    <s v="TRX-2025-0769"/>
    <d v="2025-07-01T00:00:00"/>
    <x v="5"/>
    <x v="0"/>
    <s v="Bandung"/>
    <s v="Wireless Mouse Ergonomic"/>
    <s v="Elektronik"/>
    <n v="250000"/>
    <n v="160000"/>
    <n v="5"/>
    <n v="1250000"/>
    <n v="0"/>
    <n v="0"/>
    <n v="1250000"/>
    <n v="800000"/>
    <n v="450000"/>
  </r>
  <r>
    <s v="SLS-07"/>
    <s v="TRX-2025-0770"/>
    <d v="2025-10-20T00:00:00"/>
    <x v="7"/>
    <x v="2"/>
    <s v="Denpasar"/>
    <s v="Minyak Goreng Sawit 2L"/>
    <s v="F&amp;B"/>
    <n v="36000"/>
    <n v="31000"/>
    <n v="22"/>
    <n v="792000"/>
    <n v="0"/>
    <n v="0"/>
    <n v="792000"/>
    <n v="682000"/>
    <n v="110000"/>
  </r>
  <r>
    <s v="SLS-05"/>
    <s v="TRX-2025-0771"/>
    <d v="2025-12-30T00:00:00"/>
    <x v="3"/>
    <x v="2"/>
    <s v="Semarang"/>
    <s v="Laptop Ultrabook 14&quot;"/>
    <s v="Elektronik"/>
    <n v="8500000"/>
    <n v="7200000"/>
    <n v="7"/>
    <n v="59500000"/>
    <n v="0"/>
    <n v="0"/>
    <n v="59500000"/>
    <n v="50400000"/>
    <n v="9100000"/>
  </r>
  <r>
    <s v="SLS-05"/>
    <s v="TRX-2025-0772"/>
    <d v="2025-08-20T00:00:00"/>
    <x v="3"/>
    <x v="2"/>
    <s v="Semarang"/>
    <s v="Blender Multifungsi 2-in-1"/>
    <s v="Peralatan Rumah"/>
    <n v="340000"/>
    <n v="240000"/>
    <n v="4"/>
    <n v="1360000"/>
    <n v="0.2"/>
    <n v="272000"/>
    <n v="1088000"/>
    <n v="960000"/>
    <n v="128000"/>
  </r>
  <r>
    <s v="SLS-01"/>
    <s v="TRX-2025-0773"/>
    <d v="2025-07-11T00:00:00"/>
    <x v="0"/>
    <x v="0"/>
    <s v="Jakarta"/>
    <s v="Wajan Anti Lengket 28cm"/>
    <s v="Peralatan Rumah"/>
    <n v="210000"/>
    <n v="140000"/>
    <n v="4"/>
    <n v="840000"/>
    <n v="0"/>
    <n v="0"/>
    <n v="840000"/>
    <n v="560000"/>
    <n v="280000"/>
  </r>
  <r>
    <s v="SLS-03"/>
    <s v="TRX-2025-0774"/>
    <d v="2025-09-05T00:00:00"/>
    <x v="5"/>
    <x v="0"/>
    <s v="Bandung"/>
    <s v="Set Pisau Dapur Stainless"/>
    <s v="Peralatan Rumah"/>
    <n v="165000"/>
    <n v="105000"/>
    <n v="4"/>
    <n v="660000"/>
    <n v="0.1"/>
    <n v="66000"/>
    <n v="594000"/>
    <n v="420000"/>
    <n v="174000"/>
  </r>
  <r>
    <s v="SLS-02"/>
    <s v="TRX-2025-0775"/>
    <d v="2025-06-17T00:00:00"/>
    <x v="1"/>
    <x v="1"/>
    <s v="Surabaya"/>
    <s v="Mechanical Keyboard RGB"/>
    <s v="Elektronik"/>
    <n v="750000"/>
    <n v="520000"/>
    <n v="9"/>
    <n v="6750000"/>
    <n v="0.05"/>
    <n v="337500"/>
    <n v="6412500"/>
    <n v="4680000"/>
    <n v="1732500"/>
  </r>
  <r>
    <s v="SLS-02"/>
    <s v="TRX-2025-0776"/>
    <d v="2025-08-24T00:00:00"/>
    <x v="1"/>
    <x v="1"/>
    <s v="Surabaya"/>
    <s v="Jaket Hoodie Casual"/>
    <s v="Fashion"/>
    <n v="350000"/>
    <n v="220000"/>
    <n v="1"/>
    <n v="350000"/>
    <n v="0.1"/>
    <n v="35000"/>
    <n v="315000"/>
    <n v="220000"/>
    <n v="95000"/>
  </r>
  <r>
    <s v="SLS-01"/>
    <s v="TRX-2025-0777"/>
    <d v="2025-06-20T00:00:00"/>
    <x v="0"/>
    <x v="0"/>
    <s v="Jakarta"/>
    <s v="Sepatu Sneakers Pria/Wanita"/>
    <s v="Fashion"/>
    <n v="450000"/>
    <n v="290000"/>
    <n v="2"/>
    <n v="900000"/>
    <n v="0.2"/>
    <n v="180000"/>
    <n v="720000"/>
    <n v="580000"/>
    <n v="140000"/>
  </r>
  <r>
    <s v="SLS-04"/>
    <s v="TRX-2025-0778"/>
    <d v="2025-11-24T00:00:00"/>
    <x v="4"/>
    <x v="0"/>
    <s v="Medan"/>
    <s v="Set Pisau Dapur Stainless"/>
    <s v="Peralatan Rumah"/>
    <n v="165000"/>
    <n v="105000"/>
    <n v="6"/>
    <n v="990000"/>
    <n v="0.05"/>
    <n v="49500"/>
    <n v="940500"/>
    <n v="630000"/>
    <n v="310500"/>
  </r>
  <r>
    <s v="SLS-08"/>
    <s v="TRX-2025-0779"/>
    <d v="2025-09-30T00:00:00"/>
    <x v="6"/>
    <x v="2"/>
    <s v="Yogyakarta"/>
    <s v="Celana Chino Slim Fit"/>
    <s v="Fashion"/>
    <n v="280000"/>
    <n v="175000"/>
    <n v="11"/>
    <n v="3080000"/>
    <n v="0"/>
    <n v="0"/>
    <n v="3080000"/>
    <n v="1925000"/>
    <n v="1155000"/>
  </r>
  <r>
    <s v="SLS-01"/>
    <s v="TRX-2025-0780"/>
    <d v="2025-05-21T00:00:00"/>
    <x v="0"/>
    <x v="0"/>
    <s v="Jakarta"/>
    <s v="Wireless Mouse Ergonomic"/>
    <s v="Elektronik"/>
    <n v="250000"/>
    <n v="160000"/>
    <n v="10"/>
    <n v="2500000"/>
    <n v="0.2"/>
    <n v="500000"/>
    <n v="2000000"/>
    <n v="1600000"/>
    <n v="400000"/>
  </r>
  <r>
    <s v="SLS-05"/>
    <s v="TRX-2025-0781"/>
    <d v="2025-10-09T00:00:00"/>
    <x v="3"/>
    <x v="2"/>
    <s v="Semarang"/>
    <s v="Celana Chino Slim Fit"/>
    <s v="Fashion"/>
    <n v="280000"/>
    <n v="175000"/>
    <n v="3"/>
    <n v="840000"/>
    <n v="0.1"/>
    <n v="84000"/>
    <n v="756000"/>
    <n v="525000"/>
    <n v="231000"/>
  </r>
  <r>
    <s v="SLS-06"/>
    <s v="TRX-2025-0782"/>
    <d v="2025-06-09T00:00:00"/>
    <x v="2"/>
    <x v="1"/>
    <s v="Makassar"/>
    <s v="Minyak Goreng Sawit 2L"/>
    <s v="F&amp;B"/>
    <n v="36000"/>
    <n v="31000"/>
    <n v="17"/>
    <n v="612000"/>
    <n v="0"/>
    <n v="0"/>
    <n v="612000"/>
    <n v="527000"/>
    <n v="85000"/>
  </r>
  <r>
    <s v="SLS-02"/>
    <s v="TRX-2025-0783"/>
    <d v="2025-12-12T00:00:00"/>
    <x v="1"/>
    <x v="1"/>
    <s v="Surabaya"/>
    <s v="Laptop Ultrabook 14&quot;"/>
    <s v="Elektronik"/>
    <n v="8500000"/>
    <n v="7200000"/>
    <n v="7"/>
    <n v="59500000"/>
    <n v="0"/>
    <n v="0"/>
    <n v="59500000"/>
    <n v="50400000"/>
    <n v="9100000"/>
  </r>
  <r>
    <s v="SLS-08"/>
    <s v="TRX-2025-0784"/>
    <d v="2025-04-02T00:00:00"/>
    <x v="6"/>
    <x v="2"/>
    <s v="Yogyakarta"/>
    <s v="Susu UHT Full Cream 1L"/>
    <s v="F&amp;B"/>
    <n v="22000"/>
    <n v="18000"/>
    <n v="14"/>
    <n v="308000"/>
    <n v="0.1"/>
    <n v="30800"/>
    <n v="277200"/>
    <n v="252000"/>
    <n v="25200"/>
  </r>
  <r>
    <s v="SLS-03"/>
    <s v="TRX-2025-0785"/>
    <d v="2025-08-27T00:00:00"/>
    <x v="5"/>
    <x v="0"/>
    <s v="Bandung"/>
    <s v="Minyak Goreng Sawit 2L"/>
    <s v="F&amp;B"/>
    <n v="36000"/>
    <n v="31000"/>
    <n v="29"/>
    <n v="1044000"/>
    <n v="0.15"/>
    <n v="156600"/>
    <n v="887400"/>
    <n v="899000"/>
    <n v="-11600"/>
  </r>
  <r>
    <s v="SLS-08"/>
    <s v="TRX-2025-0786"/>
    <d v="2025-12-17T00:00:00"/>
    <x v="6"/>
    <x v="2"/>
    <s v="Yogyakarta"/>
    <s v="Beras Premium 5kg"/>
    <s v="F&amp;B"/>
    <n v="74000"/>
    <n v="65000"/>
    <n v="10"/>
    <n v="740000"/>
    <n v="0.05"/>
    <n v="37000"/>
    <n v="703000"/>
    <n v="650000"/>
    <n v="53000"/>
  </r>
  <r>
    <s v="SLS-03"/>
    <s v="TRX-2025-0787"/>
    <d v="2025-07-06T00:00:00"/>
    <x v="5"/>
    <x v="0"/>
    <s v="Bandung"/>
    <s v="Jaket Hoodie Casual"/>
    <s v="Fashion"/>
    <n v="350000"/>
    <n v="220000"/>
    <n v="12"/>
    <n v="4200000"/>
    <n v="0.1"/>
    <n v="420000"/>
    <n v="3780000"/>
    <n v="2640000"/>
    <n v="1140000"/>
  </r>
  <r>
    <s v="SLS-08"/>
    <s v="TRX-2025-0788"/>
    <d v="2025-01-16T00:00:00"/>
    <x v="6"/>
    <x v="2"/>
    <s v="Yogyakarta"/>
    <s v="Wireless Mouse Ergonomic"/>
    <s v="Elektronik"/>
    <n v="250000"/>
    <n v="160000"/>
    <n v="2"/>
    <n v="500000"/>
    <n v="0.1"/>
    <n v="50000"/>
    <n v="450000"/>
    <n v="320000"/>
    <n v="130000"/>
  </r>
  <r>
    <s v="SLS-06"/>
    <s v="TRX-2025-0789"/>
    <d v="2025-05-25T00:00:00"/>
    <x v="2"/>
    <x v="1"/>
    <s v="Makassar"/>
    <s v="Wajan Anti Lengket 28cm"/>
    <s v="Peralatan Rumah"/>
    <n v="210000"/>
    <n v="140000"/>
    <n v="10"/>
    <n v="2100000"/>
    <n v="0.2"/>
    <n v="420000"/>
    <n v="1680000"/>
    <n v="1400000"/>
    <n v="280000"/>
  </r>
  <r>
    <s v="SLS-02"/>
    <s v="TRX-2025-0790"/>
    <d v="2025-07-27T00:00:00"/>
    <x v="1"/>
    <x v="1"/>
    <s v="Surabaya"/>
    <s v="Blender Multifungsi 2-in-1"/>
    <s v="Peralatan Rumah"/>
    <n v="340000"/>
    <n v="240000"/>
    <n v="6"/>
    <n v="2040000"/>
    <n v="0.2"/>
    <n v="408000"/>
    <n v="1632000"/>
    <n v="1440000"/>
    <n v="192000"/>
  </r>
  <r>
    <s v="SLS-07"/>
    <s v="TRX-2025-0791"/>
    <d v="2025-07-25T00:00:00"/>
    <x v="7"/>
    <x v="2"/>
    <s v="Denpasar"/>
    <s v="Minyak Goreng Sawit 2L"/>
    <s v="F&amp;B"/>
    <n v="36000"/>
    <n v="31000"/>
    <n v="22"/>
    <n v="792000"/>
    <n v="0.05"/>
    <n v="39600"/>
    <n v="752400"/>
    <n v="682000"/>
    <n v="70400"/>
  </r>
  <r>
    <s v="SLS-04"/>
    <s v="TRX-2025-0792"/>
    <d v="2025-02-03T00:00:00"/>
    <x v="4"/>
    <x v="0"/>
    <s v="Medan"/>
    <s v="Celana Chino Slim Fit"/>
    <s v="Fashion"/>
    <n v="280000"/>
    <n v="175000"/>
    <n v="12"/>
    <n v="3360000"/>
    <n v="0.2"/>
    <n v="672000"/>
    <n v="2688000"/>
    <n v="2100000"/>
    <n v="588000"/>
  </r>
  <r>
    <s v="SLS-04"/>
    <s v="TRX-2025-0793"/>
    <d v="2025-10-06T00:00:00"/>
    <x v="4"/>
    <x v="0"/>
    <s v="Medan"/>
    <s v="Susu UHT Full Cream 1L"/>
    <s v="F&amp;B"/>
    <n v="22000"/>
    <n v="18000"/>
    <n v="24"/>
    <n v="528000"/>
    <n v="0"/>
    <n v="0"/>
    <n v="528000"/>
    <n v="432000"/>
    <n v="96000"/>
  </r>
  <r>
    <s v="SLS-02"/>
    <s v="TRX-2025-0794"/>
    <d v="2025-06-16T00:00:00"/>
    <x v="1"/>
    <x v="1"/>
    <s v="Surabaya"/>
    <s v="Kopi Arabika Gayo 250g"/>
    <s v="F&amp;B"/>
    <n v="85000"/>
    <n v="55000"/>
    <n v="8"/>
    <n v="680000"/>
    <n v="0.1"/>
    <n v="68000"/>
    <n v="612000"/>
    <n v="440000"/>
    <n v="172000"/>
  </r>
  <r>
    <s v="SLS-07"/>
    <s v="TRX-2025-0795"/>
    <d v="2025-12-17T00:00:00"/>
    <x v="7"/>
    <x v="2"/>
    <s v="Denpasar"/>
    <s v="Blender Multifungsi 2-in-1"/>
    <s v="Peralatan Rumah"/>
    <n v="340000"/>
    <n v="240000"/>
    <n v="6"/>
    <n v="2040000"/>
    <n v="0.15"/>
    <n v="306000"/>
    <n v="1734000"/>
    <n v="1440000"/>
    <n v="294000"/>
  </r>
  <r>
    <s v="SLS-01"/>
    <s v="TRX-2025-0796"/>
    <d v="2025-03-13T00:00:00"/>
    <x v="0"/>
    <x v="0"/>
    <s v="Jakarta"/>
    <s v="Set Pisau Dapur Stainless"/>
    <s v="Peralatan Rumah"/>
    <n v="165000"/>
    <n v="105000"/>
    <n v="3"/>
    <n v="495000"/>
    <n v="0.05"/>
    <n v="24750"/>
    <n v="470250"/>
    <n v="315000"/>
    <n v="155250"/>
  </r>
  <r>
    <s v="SLS-08"/>
    <s v="TRX-2025-0797"/>
    <d v="2025-07-19T00:00:00"/>
    <x v="6"/>
    <x v="2"/>
    <s v="Yogyakarta"/>
    <s v="Minyak Goreng Sawit 2L"/>
    <s v="F&amp;B"/>
    <n v="36000"/>
    <n v="31000"/>
    <n v="9"/>
    <n v="324000"/>
    <n v="0.1"/>
    <n v="32400"/>
    <n v="291600"/>
    <n v="279000"/>
    <n v="12600"/>
  </r>
  <r>
    <s v="SLS-06"/>
    <s v="TRX-2025-0798"/>
    <d v="2025-08-11T00:00:00"/>
    <x v="2"/>
    <x v="1"/>
    <s v="Makassar"/>
    <s v="Susu UHT Full Cream 1L"/>
    <s v="F&amp;B"/>
    <n v="22000"/>
    <n v="18000"/>
    <n v="21"/>
    <n v="462000"/>
    <n v="0"/>
    <n v="0"/>
    <n v="462000"/>
    <n v="378000"/>
    <n v="84000"/>
  </r>
  <r>
    <s v="SLS-01"/>
    <s v="TRX-2025-0799"/>
    <d v="2025-02-01T00:00:00"/>
    <x v="0"/>
    <x v="0"/>
    <s v="Jakarta"/>
    <s v="Celana Chino Slim Fit"/>
    <s v="Fashion"/>
    <n v="280000"/>
    <n v="175000"/>
    <n v="1"/>
    <n v="280000"/>
    <n v="0.2"/>
    <n v="56000"/>
    <n v="224000"/>
    <n v="175000"/>
    <n v="49000"/>
  </r>
  <r>
    <s v="SLS-07"/>
    <s v="TRX-2025-0800"/>
    <d v="2025-01-16T00:00:00"/>
    <x v="7"/>
    <x v="2"/>
    <s v="Denpasar"/>
    <s v="Monitor 24&quot; FHD 144Hz"/>
    <s v="Elektronik"/>
    <n v="1950000"/>
    <n v="1500000"/>
    <n v="12"/>
    <n v="23400000"/>
    <n v="0.2"/>
    <n v="4680000"/>
    <n v="18720000"/>
    <n v="18000000"/>
    <n v="720000"/>
  </r>
  <r>
    <s v="SLS-07"/>
    <s v="TRX-2025-0801"/>
    <d v="2025-12-31T00:00:00"/>
    <x v="7"/>
    <x v="2"/>
    <s v="Denpasar"/>
    <s v="Jaket Hoodie Casual"/>
    <s v="Fashion"/>
    <n v="350000"/>
    <n v="220000"/>
    <n v="7"/>
    <n v="2450000"/>
    <n v="0.15"/>
    <n v="367500"/>
    <n v="2082500"/>
    <n v="1540000"/>
    <n v="542500"/>
  </r>
  <r>
    <s v="SLS-04"/>
    <s v="TRX-2025-0802"/>
    <d v="2025-09-01T00:00:00"/>
    <x v="4"/>
    <x v="0"/>
    <s v="Medan"/>
    <s v="Mechanical Keyboard RGB"/>
    <s v="Elektronik"/>
    <n v="750000"/>
    <n v="520000"/>
    <n v="9"/>
    <n v="6750000"/>
    <n v="0.15"/>
    <n v="1012500"/>
    <n v="5737500"/>
    <n v="4680000"/>
    <n v="1057500"/>
  </r>
  <r>
    <s v="SLS-03"/>
    <s v="TRX-2025-0803"/>
    <d v="2025-05-28T00:00:00"/>
    <x v="5"/>
    <x v="0"/>
    <s v="Bandung"/>
    <s v="Blender Multifungsi 2-in-1"/>
    <s v="Peralatan Rumah"/>
    <n v="340000"/>
    <n v="240000"/>
    <n v="3"/>
    <n v="1020000"/>
    <n v="0"/>
    <n v="0"/>
    <n v="1020000"/>
    <n v="720000"/>
    <n v="300000"/>
  </r>
  <r>
    <s v="SLS-08"/>
    <s v="TRX-2025-0804"/>
    <d v="2025-03-15T00:00:00"/>
    <x v="6"/>
    <x v="2"/>
    <s v="Yogyakarta"/>
    <s v="Susu UHT Full Cream 1L"/>
    <s v="F&amp;B"/>
    <n v="22000"/>
    <n v="18000"/>
    <n v="16"/>
    <n v="352000"/>
    <n v="0.05"/>
    <n v="17600"/>
    <n v="334400"/>
    <n v="288000"/>
    <n v="46400"/>
  </r>
  <r>
    <s v="SLS-07"/>
    <s v="TRX-2025-0805"/>
    <d v="2025-08-22T00:00:00"/>
    <x v="7"/>
    <x v="2"/>
    <s v="Denpasar"/>
    <s v="Set Pisau Dapur Stainless"/>
    <s v="Peralatan Rumah"/>
    <n v="165000"/>
    <n v="105000"/>
    <n v="10"/>
    <n v="1650000"/>
    <n v="0.05"/>
    <n v="82500"/>
    <n v="1567500"/>
    <n v="1050000"/>
    <n v="517500"/>
  </r>
  <r>
    <s v="SLS-08"/>
    <s v="TRX-2025-0806"/>
    <d v="2025-10-10T00:00:00"/>
    <x v="6"/>
    <x v="2"/>
    <s v="Yogyakarta"/>
    <s v="Blender Multifungsi 2-in-1"/>
    <s v="Peralatan Rumah"/>
    <n v="340000"/>
    <n v="240000"/>
    <n v="7"/>
    <n v="2380000"/>
    <n v="0.1"/>
    <n v="238000"/>
    <n v="2142000"/>
    <n v="1680000"/>
    <n v="462000"/>
  </r>
  <r>
    <s v="SLS-08"/>
    <s v="TRX-2025-0807"/>
    <d v="2025-11-06T00:00:00"/>
    <x v="6"/>
    <x v="2"/>
    <s v="Yogyakarta"/>
    <s v="Laptop Ultrabook 14&quot;"/>
    <s v="Elektronik"/>
    <n v="8500000"/>
    <n v="7200000"/>
    <n v="12"/>
    <n v="102000000"/>
    <n v="0.05"/>
    <n v="5100000"/>
    <n v="96900000"/>
    <n v="86400000"/>
    <n v="10500000"/>
  </r>
  <r>
    <s v="SLS-08"/>
    <s v="TRX-2025-0808"/>
    <d v="2025-01-18T00:00:00"/>
    <x v="6"/>
    <x v="2"/>
    <s v="Yogyakarta"/>
    <s v="Laptop Ultrabook 14&quot;"/>
    <s v="Elektronik"/>
    <n v="8500000"/>
    <n v="7200000"/>
    <n v="12"/>
    <n v="102000000"/>
    <n v="0.1"/>
    <n v="10200000"/>
    <n v="91800000"/>
    <n v="86400000"/>
    <n v="5400000"/>
  </r>
  <r>
    <s v="SLS-03"/>
    <s v="TRX-2025-0809"/>
    <d v="2025-12-20T00:00:00"/>
    <x v="5"/>
    <x v="0"/>
    <s v="Bandung"/>
    <s v="Wireless Mouse Ergonomic"/>
    <s v="Elektronik"/>
    <n v="250000"/>
    <n v="160000"/>
    <n v="12"/>
    <n v="3000000"/>
    <n v="0.2"/>
    <n v="600000"/>
    <n v="2400000"/>
    <n v="1920000"/>
    <n v="480000"/>
  </r>
  <r>
    <s v="SLS-02"/>
    <s v="TRX-2025-0810"/>
    <d v="2025-09-25T00:00:00"/>
    <x v="1"/>
    <x v="1"/>
    <s v="Surabaya"/>
    <s v="Set Pisau Dapur Stainless"/>
    <s v="Peralatan Rumah"/>
    <n v="165000"/>
    <n v="105000"/>
    <n v="4"/>
    <n v="660000"/>
    <n v="0.15"/>
    <n v="99000"/>
    <n v="561000"/>
    <n v="420000"/>
    <n v="141000"/>
  </r>
  <r>
    <s v="SLS-06"/>
    <s v="TRX-2025-0811"/>
    <d v="2025-11-10T00:00:00"/>
    <x v="2"/>
    <x v="1"/>
    <s v="Makassar"/>
    <s v="Laptop Ultrabook 14&quot;"/>
    <s v="Elektronik"/>
    <n v="8500000"/>
    <n v="7200000"/>
    <n v="9"/>
    <n v="76500000"/>
    <n v="0"/>
    <n v="0"/>
    <n v="76500000"/>
    <n v="64800000"/>
    <n v="11700000"/>
  </r>
  <r>
    <s v="SLS-06"/>
    <s v="TRX-2025-0812"/>
    <d v="2025-10-21T00:00:00"/>
    <x v="2"/>
    <x v="1"/>
    <s v="Makassar"/>
    <s v="Susu UHT Full Cream 1L"/>
    <s v="F&amp;B"/>
    <n v="22000"/>
    <n v="18000"/>
    <n v="14"/>
    <n v="308000"/>
    <n v="0.1"/>
    <n v="30800"/>
    <n v="277200"/>
    <n v="252000"/>
    <n v="25200"/>
  </r>
  <r>
    <s v="SLS-05"/>
    <s v="TRX-2025-0813"/>
    <d v="2025-12-22T00:00:00"/>
    <x v="3"/>
    <x v="2"/>
    <s v="Semarang"/>
    <s v="Set Pisau Dapur Stainless"/>
    <s v="Peralatan Rumah"/>
    <n v="165000"/>
    <n v="105000"/>
    <n v="12"/>
    <n v="1980000"/>
    <n v="0.2"/>
    <n v="396000"/>
    <n v="1584000"/>
    <n v="1260000"/>
    <n v="324000"/>
  </r>
  <r>
    <s v="SLS-01"/>
    <s v="TRX-2025-0814"/>
    <d v="2025-10-24T00:00:00"/>
    <x v="0"/>
    <x v="0"/>
    <s v="Jakarta"/>
    <s v="Mechanical Keyboard RGB"/>
    <s v="Elektronik"/>
    <n v="750000"/>
    <n v="520000"/>
    <n v="11"/>
    <n v="8250000"/>
    <n v="0.1"/>
    <n v="825000"/>
    <n v="7425000"/>
    <n v="5720000"/>
    <n v="1705000"/>
  </r>
  <r>
    <s v="SLS-02"/>
    <s v="TRX-2025-0815"/>
    <d v="2025-02-12T00:00:00"/>
    <x v="1"/>
    <x v="1"/>
    <s v="Surabaya"/>
    <s v="Mechanical Keyboard RGB"/>
    <s v="Elektronik"/>
    <n v="750000"/>
    <n v="520000"/>
    <n v="5"/>
    <n v="3750000"/>
    <n v="0.1"/>
    <n v="375000"/>
    <n v="3375000"/>
    <n v="2600000"/>
    <n v="775000"/>
  </r>
  <r>
    <s v="SLS-05"/>
    <s v="TRX-2025-0816"/>
    <d v="2025-05-21T00:00:00"/>
    <x v="3"/>
    <x v="2"/>
    <s v="Semarang"/>
    <s v="Blender Multifungsi 2-in-1"/>
    <s v="Peralatan Rumah"/>
    <n v="340000"/>
    <n v="240000"/>
    <n v="1"/>
    <n v="340000"/>
    <n v="0"/>
    <n v="0"/>
    <n v="340000"/>
    <n v="240000"/>
    <n v="100000"/>
  </r>
  <r>
    <s v="SLS-06"/>
    <s v="TRX-2025-0817"/>
    <d v="2025-12-04T00:00:00"/>
    <x v="2"/>
    <x v="1"/>
    <s v="Makassar"/>
    <s v="Sepatu Sneakers Pria/Wanita"/>
    <s v="Fashion"/>
    <n v="450000"/>
    <n v="290000"/>
    <n v="3"/>
    <n v="1350000"/>
    <n v="0.1"/>
    <n v="135000"/>
    <n v="1215000"/>
    <n v="870000"/>
    <n v="345000"/>
  </r>
  <r>
    <s v="SLS-01"/>
    <s v="TRX-2025-0818"/>
    <d v="2025-09-28T00:00:00"/>
    <x v="0"/>
    <x v="0"/>
    <s v="Jakarta"/>
    <s v="Blender Multifungsi 2-in-1"/>
    <s v="Peralatan Rumah"/>
    <n v="340000"/>
    <n v="240000"/>
    <n v="6"/>
    <n v="2040000"/>
    <n v="0"/>
    <n v="0"/>
    <n v="2040000"/>
    <n v="1440000"/>
    <n v="600000"/>
  </r>
  <r>
    <s v="SLS-07"/>
    <s v="TRX-2025-0819"/>
    <d v="2025-09-11T00:00:00"/>
    <x v="7"/>
    <x v="2"/>
    <s v="Denpasar"/>
    <s v="Wajan Anti Lengket 28cm"/>
    <s v="Peralatan Rumah"/>
    <n v="210000"/>
    <n v="140000"/>
    <n v="7"/>
    <n v="1470000"/>
    <n v="0.05"/>
    <n v="73500"/>
    <n v="1396500"/>
    <n v="980000"/>
    <n v="416500"/>
  </r>
  <r>
    <s v="SLS-06"/>
    <s v="TRX-2025-0820"/>
    <d v="2025-04-18T00:00:00"/>
    <x v="2"/>
    <x v="1"/>
    <s v="Makassar"/>
    <s v="Minyak Goreng Sawit 2L"/>
    <s v="F&amp;B"/>
    <n v="36000"/>
    <n v="31000"/>
    <n v="23"/>
    <n v="828000"/>
    <n v="0.1"/>
    <n v="82800"/>
    <n v="745200"/>
    <n v="713000"/>
    <n v="32200"/>
  </r>
  <r>
    <s v="SLS-08"/>
    <s v="TRX-2025-0821"/>
    <d v="2025-08-26T00:00:00"/>
    <x v="6"/>
    <x v="2"/>
    <s v="Yogyakarta"/>
    <s v="Jaket Hoodie Casual"/>
    <s v="Fashion"/>
    <n v="350000"/>
    <n v="220000"/>
    <n v="5"/>
    <n v="1750000"/>
    <n v="0.15"/>
    <n v="262500"/>
    <n v="1487500"/>
    <n v="1100000"/>
    <n v="387500"/>
  </r>
  <r>
    <s v="SLS-03"/>
    <s v="TRX-2025-0822"/>
    <d v="2025-08-31T00:00:00"/>
    <x v="5"/>
    <x v="0"/>
    <s v="Bandung"/>
    <s v="Kemeja Batik Katun Premium"/>
    <s v="Fashion"/>
    <n v="320000"/>
    <n v="190000"/>
    <n v="9"/>
    <n v="2880000"/>
    <n v="0.15"/>
    <n v="432000"/>
    <n v="2448000"/>
    <n v="1710000"/>
    <n v="738000"/>
  </r>
  <r>
    <s v="SLS-06"/>
    <s v="TRX-2025-0823"/>
    <d v="2025-07-15T00:00:00"/>
    <x v="2"/>
    <x v="1"/>
    <s v="Makassar"/>
    <s v="Beras Premium 5kg"/>
    <s v="F&amp;B"/>
    <n v="74000"/>
    <n v="65000"/>
    <n v="24"/>
    <n v="1776000"/>
    <n v="0"/>
    <n v="0"/>
    <n v="1776000"/>
    <n v="1560000"/>
    <n v="216000"/>
  </r>
  <r>
    <s v="SLS-05"/>
    <s v="TRX-2025-0824"/>
    <d v="2025-08-10T00:00:00"/>
    <x v="3"/>
    <x v="2"/>
    <s v="Semarang"/>
    <s v="Minyak Goreng Sawit 2L"/>
    <s v="F&amp;B"/>
    <n v="36000"/>
    <n v="31000"/>
    <n v="11"/>
    <n v="396000"/>
    <n v="0.1"/>
    <n v="39600"/>
    <n v="356400"/>
    <n v="341000"/>
    <n v="15400"/>
  </r>
  <r>
    <s v="SLS-04"/>
    <s v="TRX-2025-0825"/>
    <d v="2025-08-25T00:00:00"/>
    <x v="4"/>
    <x v="0"/>
    <s v="Medan"/>
    <s v="Wajan Anti Lengket 28cm"/>
    <s v="Peralatan Rumah"/>
    <n v="210000"/>
    <n v="140000"/>
    <n v="12"/>
    <n v="2520000"/>
    <n v="0.2"/>
    <n v="504000"/>
    <n v="2016000"/>
    <n v="1680000"/>
    <n v="336000"/>
  </r>
  <r>
    <s v="SLS-03"/>
    <s v="TRX-2025-0826"/>
    <d v="2025-12-13T00:00:00"/>
    <x v="5"/>
    <x v="0"/>
    <s v="Bandung"/>
    <s v="Susu UHT Full Cream 1L"/>
    <s v="F&amp;B"/>
    <n v="22000"/>
    <n v="18000"/>
    <n v="20"/>
    <n v="440000"/>
    <n v="0"/>
    <n v="0"/>
    <n v="440000"/>
    <n v="360000"/>
    <n v="80000"/>
  </r>
  <r>
    <s v="SLS-02"/>
    <s v="TRX-2025-0827"/>
    <d v="2025-07-30T00:00:00"/>
    <x v="1"/>
    <x v="1"/>
    <s v="Surabaya"/>
    <s v="Wireless Mouse Ergonomic"/>
    <s v="Elektronik"/>
    <n v="250000"/>
    <n v="160000"/>
    <n v="11"/>
    <n v="2750000"/>
    <n v="0.15"/>
    <n v="412500"/>
    <n v="2337500"/>
    <n v="1760000"/>
    <n v="577500"/>
  </r>
  <r>
    <s v="SLS-01"/>
    <s v="TRX-2025-0828"/>
    <d v="2025-05-09T00:00:00"/>
    <x v="0"/>
    <x v="0"/>
    <s v="Jakarta"/>
    <s v="Monitor 24&quot; FHD 144Hz"/>
    <s v="Elektronik"/>
    <n v="1950000"/>
    <n v="1500000"/>
    <n v="1"/>
    <n v="1950000"/>
    <n v="0.2"/>
    <n v="390000"/>
    <n v="1560000"/>
    <n v="1500000"/>
    <n v="60000"/>
  </r>
  <r>
    <s v="SLS-02"/>
    <s v="TRX-2025-0829"/>
    <d v="2025-11-03T00:00:00"/>
    <x v="1"/>
    <x v="1"/>
    <s v="Surabaya"/>
    <s v="Beras Premium 5kg"/>
    <s v="F&amp;B"/>
    <n v="74000"/>
    <n v="65000"/>
    <n v="6"/>
    <n v="444000"/>
    <n v="0"/>
    <n v="0"/>
    <n v="444000"/>
    <n v="390000"/>
    <n v="54000"/>
  </r>
  <r>
    <s v="SLS-03"/>
    <s v="TRX-2025-0830"/>
    <d v="2025-02-26T00:00:00"/>
    <x v="5"/>
    <x v="0"/>
    <s v="Bandung"/>
    <s v="Susu UHT Full Cream 1L"/>
    <s v="F&amp;B"/>
    <n v="22000"/>
    <n v="18000"/>
    <n v="12"/>
    <n v="264000"/>
    <n v="0.15"/>
    <n v="39600"/>
    <n v="224400"/>
    <n v="216000"/>
    <n v="8400"/>
  </r>
  <r>
    <s v="SLS-07"/>
    <s v="TRX-2025-0831"/>
    <d v="2025-05-22T00:00:00"/>
    <x v="7"/>
    <x v="2"/>
    <s v="Denpasar"/>
    <s v="Wajan Anti Lengket 28cm"/>
    <s v="Peralatan Rumah"/>
    <n v="210000"/>
    <n v="140000"/>
    <n v="12"/>
    <n v="2520000"/>
    <n v="0.1"/>
    <n v="252000"/>
    <n v="2268000"/>
    <n v="1680000"/>
    <n v="588000"/>
  </r>
  <r>
    <s v="SLS-01"/>
    <s v="TRX-2025-0832"/>
    <d v="2025-05-22T00:00:00"/>
    <x v="0"/>
    <x v="0"/>
    <s v="Jakarta"/>
    <s v="Wajan Anti Lengket 28cm"/>
    <s v="Peralatan Rumah"/>
    <n v="210000"/>
    <n v="140000"/>
    <n v="7"/>
    <n v="1470000"/>
    <n v="0.15"/>
    <n v="220500"/>
    <n v="1249500"/>
    <n v="980000"/>
    <n v="269500"/>
  </r>
  <r>
    <s v="SLS-08"/>
    <s v="TRX-2025-0833"/>
    <d v="2025-05-16T00:00:00"/>
    <x v="6"/>
    <x v="2"/>
    <s v="Yogyakarta"/>
    <s v="Mechanical Keyboard RGB"/>
    <s v="Elektronik"/>
    <n v="750000"/>
    <n v="520000"/>
    <n v="2"/>
    <n v="1500000"/>
    <n v="0.15"/>
    <n v="225000"/>
    <n v="1275000"/>
    <n v="1040000"/>
    <n v="235000"/>
  </r>
  <r>
    <s v="SLS-08"/>
    <s v="TRX-2025-0834"/>
    <d v="2025-04-02T00:00:00"/>
    <x v="6"/>
    <x v="2"/>
    <s v="Yogyakarta"/>
    <s v="Beras Premium 5kg"/>
    <s v="F&amp;B"/>
    <n v="74000"/>
    <n v="65000"/>
    <n v="7"/>
    <n v="518000"/>
    <n v="0.2"/>
    <n v="103600"/>
    <n v="414400"/>
    <n v="455000"/>
    <n v="-40600"/>
  </r>
  <r>
    <s v="SLS-05"/>
    <s v="TRX-2025-0835"/>
    <d v="2025-08-15T00:00:00"/>
    <x v="3"/>
    <x v="2"/>
    <s v="Semarang"/>
    <s v="Susu UHT Full Cream 1L"/>
    <s v="F&amp;B"/>
    <n v="22000"/>
    <n v="18000"/>
    <n v="4"/>
    <n v="88000"/>
    <n v="0"/>
    <n v="0"/>
    <n v="88000"/>
    <n v="72000"/>
    <n v="16000"/>
  </r>
  <r>
    <s v="SLS-08"/>
    <s v="TRX-2025-0836"/>
    <d v="2025-08-17T00:00:00"/>
    <x v="6"/>
    <x v="2"/>
    <s v="Yogyakarta"/>
    <s v="Laptop Ultrabook 14&quot;"/>
    <s v="Elektronik"/>
    <n v="8500000"/>
    <n v="7200000"/>
    <n v="3"/>
    <n v="25500000"/>
    <n v="0"/>
    <n v="0"/>
    <n v="25500000"/>
    <n v="21600000"/>
    <n v="3900000"/>
  </r>
  <r>
    <s v="SLS-06"/>
    <s v="TRX-2025-0837"/>
    <d v="2025-05-17T00:00:00"/>
    <x v="2"/>
    <x v="1"/>
    <s v="Makassar"/>
    <s v="Mechanical Keyboard RGB"/>
    <s v="Elektronik"/>
    <n v="750000"/>
    <n v="520000"/>
    <n v="7"/>
    <n v="5250000"/>
    <n v="0.2"/>
    <n v="1050000"/>
    <n v="4200000"/>
    <n v="3640000"/>
    <n v="560000"/>
  </r>
  <r>
    <s v="SLS-07"/>
    <s v="TRX-2025-0838"/>
    <d v="2025-09-02T00:00:00"/>
    <x v="7"/>
    <x v="2"/>
    <s v="Denpasar"/>
    <s v="Jaket Hoodie Casual"/>
    <s v="Fashion"/>
    <n v="350000"/>
    <n v="220000"/>
    <n v="12"/>
    <n v="4200000"/>
    <n v="0"/>
    <n v="0"/>
    <n v="4200000"/>
    <n v="2640000"/>
    <n v="1560000"/>
  </r>
  <r>
    <s v="SLS-08"/>
    <s v="TRX-2025-0839"/>
    <d v="2025-12-19T00:00:00"/>
    <x v="6"/>
    <x v="2"/>
    <s v="Yogyakarta"/>
    <s v="Blender Multifungsi 2-in-1"/>
    <s v="Peralatan Rumah"/>
    <n v="340000"/>
    <n v="240000"/>
    <n v="2"/>
    <n v="680000"/>
    <n v="0.2"/>
    <n v="136000"/>
    <n v="544000"/>
    <n v="480000"/>
    <n v="64000"/>
  </r>
  <r>
    <s v="SLS-02"/>
    <s v="TRX-2025-0840"/>
    <d v="2025-07-25T00:00:00"/>
    <x v="1"/>
    <x v="1"/>
    <s v="Surabaya"/>
    <s v="Laptop Ultrabook 14&quot;"/>
    <s v="Elektronik"/>
    <n v="8500000"/>
    <n v="7200000"/>
    <n v="6"/>
    <n v="51000000"/>
    <n v="0.2"/>
    <n v="10200000"/>
    <n v="40800000"/>
    <n v="43200000"/>
    <n v="-2400000"/>
  </r>
  <r>
    <s v="SLS-04"/>
    <s v="TRX-2025-0841"/>
    <d v="2025-05-29T00:00:00"/>
    <x v="4"/>
    <x v="0"/>
    <s v="Medan"/>
    <s v="Beras Premium 5kg"/>
    <s v="F&amp;B"/>
    <n v="74000"/>
    <n v="65000"/>
    <n v="20"/>
    <n v="1480000"/>
    <n v="0"/>
    <n v="0"/>
    <n v="1480000"/>
    <n v="1300000"/>
    <n v="180000"/>
  </r>
  <r>
    <s v="SLS-07"/>
    <s v="TRX-2025-0842"/>
    <d v="2025-06-03T00:00:00"/>
    <x v="7"/>
    <x v="2"/>
    <s v="Denpasar"/>
    <s v="Susu UHT Full Cream 1L"/>
    <s v="F&amp;B"/>
    <n v="22000"/>
    <n v="18000"/>
    <n v="23"/>
    <n v="506000"/>
    <n v="0.1"/>
    <n v="50600"/>
    <n v="455400"/>
    <n v="414000"/>
    <n v="41400"/>
  </r>
  <r>
    <s v="SLS-01"/>
    <s v="TRX-2025-0843"/>
    <d v="2025-04-08T00:00:00"/>
    <x v="0"/>
    <x v="0"/>
    <s v="Jakarta"/>
    <s v="Mechanical Keyboard RGB"/>
    <s v="Elektronik"/>
    <n v="750000"/>
    <n v="520000"/>
    <n v="4"/>
    <n v="3000000"/>
    <n v="0"/>
    <n v="0"/>
    <n v="3000000"/>
    <n v="2080000"/>
    <n v="920000"/>
  </r>
  <r>
    <s v="SLS-05"/>
    <s v="TRX-2025-0844"/>
    <d v="2025-02-02T00:00:00"/>
    <x v="3"/>
    <x v="2"/>
    <s v="Semarang"/>
    <s v="Wajan Anti Lengket 28cm"/>
    <s v="Peralatan Rumah"/>
    <n v="210000"/>
    <n v="140000"/>
    <n v="8"/>
    <n v="1680000"/>
    <n v="0.2"/>
    <n v="336000"/>
    <n v="1344000"/>
    <n v="1120000"/>
    <n v="224000"/>
  </r>
  <r>
    <s v="SLS-06"/>
    <s v="TRX-2025-0845"/>
    <d v="2025-06-23T00:00:00"/>
    <x v="2"/>
    <x v="1"/>
    <s v="Makassar"/>
    <s v="Laptop Ultrabook 14&quot;"/>
    <s v="Elektronik"/>
    <n v="8500000"/>
    <n v="7200000"/>
    <n v="12"/>
    <n v="102000000"/>
    <n v="0"/>
    <n v="0"/>
    <n v="102000000"/>
    <n v="86400000"/>
    <n v="15600000"/>
  </r>
  <r>
    <s v="SLS-08"/>
    <s v="TRX-2025-0846"/>
    <d v="2025-12-01T00:00:00"/>
    <x v="6"/>
    <x v="2"/>
    <s v="Yogyakarta"/>
    <s v="Beras Premium 5kg"/>
    <s v="F&amp;B"/>
    <n v="74000"/>
    <n v="65000"/>
    <n v="30"/>
    <n v="2220000"/>
    <n v="0.2"/>
    <n v="444000"/>
    <n v="1776000"/>
    <n v="1950000"/>
    <n v="-174000"/>
  </r>
  <r>
    <s v="SLS-03"/>
    <s v="TRX-2025-0847"/>
    <d v="2025-02-06T00:00:00"/>
    <x v="5"/>
    <x v="0"/>
    <s v="Bandung"/>
    <s v="Laptop Ultrabook 14&quot;"/>
    <s v="Elektronik"/>
    <n v="8500000"/>
    <n v="7200000"/>
    <n v="8"/>
    <n v="68000000"/>
    <n v="0"/>
    <n v="0"/>
    <n v="68000000"/>
    <n v="57600000"/>
    <n v="10400000"/>
  </r>
  <r>
    <s v="SLS-03"/>
    <s v="TRX-2025-0848"/>
    <d v="2025-05-05T00:00:00"/>
    <x v="5"/>
    <x v="0"/>
    <s v="Bandung"/>
    <s v="Susu UHT Full Cream 1L"/>
    <s v="F&amp;B"/>
    <n v="22000"/>
    <n v="18000"/>
    <n v="8"/>
    <n v="176000"/>
    <n v="0"/>
    <n v="0"/>
    <n v="176000"/>
    <n v="144000"/>
    <n v="32000"/>
  </r>
  <r>
    <s v="SLS-02"/>
    <s v="TRX-2025-0849"/>
    <d v="2025-11-09T00:00:00"/>
    <x v="1"/>
    <x v="1"/>
    <s v="Surabaya"/>
    <s v="Mechanical Keyboard RGB"/>
    <s v="Elektronik"/>
    <n v="750000"/>
    <n v="520000"/>
    <n v="2"/>
    <n v="1500000"/>
    <n v="0"/>
    <n v="0"/>
    <n v="1500000"/>
    <n v="1040000"/>
    <n v="460000"/>
  </r>
  <r>
    <s v="SLS-04"/>
    <s v="TRX-2025-0850"/>
    <d v="2025-02-02T00:00:00"/>
    <x v="4"/>
    <x v="0"/>
    <s v="Medan"/>
    <s v="Wajan Anti Lengket 28cm"/>
    <s v="Peralatan Rumah"/>
    <n v="210000"/>
    <n v="140000"/>
    <n v="7"/>
    <n v="1470000"/>
    <n v="0.1"/>
    <n v="147000"/>
    <n v="1323000"/>
    <n v="980000"/>
    <n v="343000"/>
  </r>
  <r>
    <s v="SLS-03"/>
    <s v="TRX-2025-0851"/>
    <d v="2025-12-17T00:00:00"/>
    <x v="5"/>
    <x v="0"/>
    <s v="Bandung"/>
    <s v="Minyak Goreng Sawit 2L"/>
    <s v="F&amp;B"/>
    <n v="36000"/>
    <n v="31000"/>
    <n v="29"/>
    <n v="1044000"/>
    <n v="0.05"/>
    <n v="52200"/>
    <n v="991800"/>
    <n v="899000"/>
    <n v="92800"/>
  </r>
  <r>
    <s v="SLS-02"/>
    <s v="TRX-2025-0852"/>
    <d v="2025-06-21T00:00:00"/>
    <x v="1"/>
    <x v="1"/>
    <s v="Surabaya"/>
    <s v="Wireless Mouse Ergonomic"/>
    <s v="Elektronik"/>
    <n v="250000"/>
    <n v="160000"/>
    <n v="5"/>
    <n v="1250000"/>
    <n v="0.05"/>
    <n v="62500"/>
    <n v="1187500"/>
    <n v="800000"/>
    <n v="387500"/>
  </r>
  <r>
    <s v="SLS-08"/>
    <s v="TRX-2025-0853"/>
    <d v="2025-10-11T00:00:00"/>
    <x v="6"/>
    <x v="2"/>
    <s v="Yogyakarta"/>
    <s v="Mechanical Keyboard RGB"/>
    <s v="Elektronik"/>
    <n v="750000"/>
    <n v="520000"/>
    <n v="4"/>
    <n v="3000000"/>
    <n v="0.2"/>
    <n v="600000"/>
    <n v="2400000"/>
    <n v="2080000"/>
    <n v="320000"/>
  </r>
  <r>
    <s v="SLS-07"/>
    <s v="TRX-2025-0854"/>
    <d v="2025-11-20T00:00:00"/>
    <x v="7"/>
    <x v="2"/>
    <s v="Denpasar"/>
    <s v="Minyak Goreng Sawit 2L"/>
    <s v="F&amp;B"/>
    <n v="36000"/>
    <n v="31000"/>
    <n v="3"/>
    <n v="108000"/>
    <n v="0.15"/>
    <n v="16200"/>
    <n v="91800"/>
    <n v="93000"/>
    <n v="-1200"/>
  </r>
  <r>
    <s v="SLS-02"/>
    <s v="TRX-2025-0855"/>
    <d v="2025-04-02T00:00:00"/>
    <x v="1"/>
    <x v="1"/>
    <s v="Surabaya"/>
    <s v="Set Pisau Dapur Stainless"/>
    <s v="Peralatan Rumah"/>
    <n v="165000"/>
    <n v="105000"/>
    <n v="12"/>
    <n v="1980000"/>
    <n v="0.2"/>
    <n v="396000"/>
    <n v="1584000"/>
    <n v="1260000"/>
    <n v="324000"/>
  </r>
  <r>
    <s v="SLS-04"/>
    <s v="TRX-2025-0856"/>
    <d v="2025-12-21T00:00:00"/>
    <x v="4"/>
    <x v="0"/>
    <s v="Medan"/>
    <s v="Mechanical Keyboard RGB"/>
    <s v="Elektronik"/>
    <n v="750000"/>
    <n v="520000"/>
    <n v="3"/>
    <n v="2250000"/>
    <n v="0.1"/>
    <n v="225000"/>
    <n v="2025000"/>
    <n v="1560000"/>
    <n v="465000"/>
  </r>
  <r>
    <s v="SLS-01"/>
    <s v="TRX-2025-0857"/>
    <d v="2025-03-31T00:00:00"/>
    <x v="0"/>
    <x v="0"/>
    <s v="Jakarta"/>
    <s v="Minyak Goreng Sawit 2L"/>
    <s v="F&amp;B"/>
    <n v="36000"/>
    <n v="31000"/>
    <n v="8"/>
    <n v="288000"/>
    <n v="0.15"/>
    <n v="43200"/>
    <n v="244800"/>
    <n v="248000"/>
    <n v="-3200"/>
  </r>
  <r>
    <s v="SLS-01"/>
    <s v="TRX-2025-0858"/>
    <d v="2025-06-28T00:00:00"/>
    <x v="0"/>
    <x v="0"/>
    <s v="Jakarta"/>
    <s v="Jaket Hoodie Casual"/>
    <s v="Fashion"/>
    <n v="350000"/>
    <n v="220000"/>
    <n v="9"/>
    <n v="3150000"/>
    <n v="0.05"/>
    <n v="157500"/>
    <n v="2992500"/>
    <n v="1980000"/>
    <n v="1012500"/>
  </r>
  <r>
    <s v="SLS-04"/>
    <s v="TRX-2025-0859"/>
    <d v="2025-11-13T00:00:00"/>
    <x v="4"/>
    <x v="0"/>
    <s v="Medan"/>
    <s v="Celana Chino Slim Fit"/>
    <s v="Fashion"/>
    <n v="280000"/>
    <n v="175000"/>
    <n v="8"/>
    <n v="2240000"/>
    <n v="0.05"/>
    <n v="112000"/>
    <n v="2128000"/>
    <n v="1400000"/>
    <n v="728000"/>
  </r>
  <r>
    <s v="SLS-03"/>
    <s v="TRX-2025-0860"/>
    <d v="2025-02-27T00:00:00"/>
    <x v="5"/>
    <x v="0"/>
    <s v="Bandung"/>
    <s v="Wajan Anti Lengket 28cm"/>
    <s v="Peralatan Rumah"/>
    <n v="210000"/>
    <n v="140000"/>
    <n v="11"/>
    <n v="2310000"/>
    <n v="0.15"/>
    <n v="346500"/>
    <n v="1963500"/>
    <n v="1540000"/>
    <n v="423500"/>
  </r>
  <r>
    <s v="SLS-01"/>
    <s v="TRX-2025-0861"/>
    <d v="2025-12-10T00:00:00"/>
    <x v="0"/>
    <x v="0"/>
    <s v="Jakarta"/>
    <s v="Set Pisau Dapur Stainless"/>
    <s v="Peralatan Rumah"/>
    <n v="165000"/>
    <n v="105000"/>
    <n v="1"/>
    <n v="165000"/>
    <n v="0.1"/>
    <n v="16500"/>
    <n v="148500"/>
    <n v="105000"/>
    <n v="43500"/>
  </r>
  <r>
    <s v="SLS-08"/>
    <s v="TRX-2025-0862"/>
    <d v="2025-05-09T00:00:00"/>
    <x v="6"/>
    <x v="2"/>
    <s v="Yogyakarta"/>
    <s v="Celana Chino Slim Fit"/>
    <s v="Fashion"/>
    <n v="280000"/>
    <n v="175000"/>
    <n v="1"/>
    <n v="280000"/>
    <n v="0"/>
    <n v="0"/>
    <n v="280000"/>
    <n v="175000"/>
    <n v="105000"/>
  </r>
  <r>
    <s v="SLS-01"/>
    <s v="TRX-2025-0863"/>
    <d v="2025-03-22T00:00:00"/>
    <x v="0"/>
    <x v="0"/>
    <s v="Jakarta"/>
    <s v="Wajan Anti Lengket 28cm"/>
    <s v="Peralatan Rumah"/>
    <n v="210000"/>
    <n v="140000"/>
    <n v="8"/>
    <n v="1680000"/>
    <n v="0.2"/>
    <n v="336000"/>
    <n v="1344000"/>
    <n v="1120000"/>
    <n v="224000"/>
  </r>
  <r>
    <s v="SLS-06"/>
    <s v="TRX-2025-0864"/>
    <d v="2025-08-16T00:00:00"/>
    <x v="2"/>
    <x v="1"/>
    <s v="Makassar"/>
    <s v="Minyak Goreng Sawit 2L"/>
    <s v="F&amp;B"/>
    <n v="36000"/>
    <n v="31000"/>
    <n v="9"/>
    <n v="324000"/>
    <n v="0.1"/>
    <n v="32400"/>
    <n v="291600"/>
    <n v="279000"/>
    <n v="12600"/>
  </r>
  <r>
    <s v="SLS-04"/>
    <s v="TRX-2025-0865"/>
    <d v="2025-04-27T00:00:00"/>
    <x v="4"/>
    <x v="0"/>
    <s v="Medan"/>
    <s v="Wireless Mouse Ergonomic"/>
    <s v="Elektronik"/>
    <n v="250000"/>
    <n v="160000"/>
    <n v="12"/>
    <n v="3000000"/>
    <n v="0.15"/>
    <n v="450000"/>
    <n v="2550000"/>
    <n v="1920000"/>
    <n v="630000"/>
  </r>
  <r>
    <s v="SLS-08"/>
    <s v="TRX-2025-0866"/>
    <d v="2025-02-07T00:00:00"/>
    <x v="6"/>
    <x v="2"/>
    <s v="Yogyakarta"/>
    <s v="Sepatu Sneakers Pria/Wanita"/>
    <s v="Fashion"/>
    <n v="450000"/>
    <n v="290000"/>
    <n v="1"/>
    <n v="450000"/>
    <n v="0.15"/>
    <n v="67500"/>
    <n v="382500"/>
    <n v="290000"/>
    <n v="92500"/>
  </r>
  <r>
    <s v="SLS-06"/>
    <s v="TRX-2025-0867"/>
    <d v="2025-04-02T00:00:00"/>
    <x v="2"/>
    <x v="1"/>
    <s v="Makassar"/>
    <s v="Jaket Hoodie Casual"/>
    <s v="Fashion"/>
    <n v="350000"/>
    <n v="220000"/>
    <n v="3"/>
    <n v="1050000"/>
    <n v="0.15"/>
    <n v="157500"/>
    <n v="892500"/>
    <n v="660000"/>
    <n v="232500"/>
  </r>
  <r>
    <s v="SLS-06"/>
    <s v="TRX-2025-0868"/>
    <d v="2025-05-19T00:00:00"/>
    <x v="2"/>
    <x v="1"/>
    <s v="Makassar"/>
    <s v="Monitor 24&quot; FHD 144Hz"/>
    <s v="Elektronik"/>
    <n v="1950000"/>
    <n v="1500000"/>
    <n v="3"/>
    <n v="5850000"/>
    <n v="0"/>
    <n v="0"/>
    <n v="5850000"/>
    <n v="4500000"/>
    <n v="1350000"/>
  </r>
  <r>
    <s v="SLS-08"/>
    <s v="TRX-2025-0869"/>
    <d v="2025-02-26T00:00:00"/>
    <x v="6"/>
    <x v="2"/>
    <s v="Yogyakarta"/>
    <s v="Blender Multifungsi 2-in-1"/>
    <s v="Peralatan Rumah"/>
    <n v="340000"/>
    <n v="240000"/>
    <n v="8"/>
    <n v="2720000"/>
    <n v="0.15"/>
    <n v="408000"/>
    <n v="2312000"/>
    <n v="1920000"/>
    <n v="392000"/>
  </r>
  <r>
    <s v="SLS-03"/>
    <s v="TRX-2025-0870"/>
    <d v="2025-06-01T00:00:00"/>
    <x v="5"/>
    <x v="0"/>
    <s v="Bandung"/>
    <s v="Minyak Goreng Sawit 2L"/>
    <s v="F&amp;B"/>
    <n v="36000"/>
    <n v="31000"/>
    <n v="22"/>
    <n v="792000"/>
    <n v="0.05"/>
    <n v="39600"/>
    <n v="752400"/>
    <n v="682000"/>
    <n v="70400"/>
  </r>
  <r>
    <s v="SLS-04"/>
    <s v="TRX-2025-0871"/>
    <d v="2025-09-25T00:00:00"/>
    <x v="4"/>
    <x v="0"/>
    <s v="Medan"/>
    <s v="Sepatu Sneakers Pria/Wanita"/>
    <s v="Fashion"/>
    <n v="450000"/>
    <n v="290000"/>
    <n v="10"/>
    <n v="4500000"/>
    <n v="0.15"/>
    <n v="675000"/>
    <n v="3825000"/>
    <n v="2900000"/>
    <n v="925000"/>
  </r>
  <r>
    <s v="SLS-04"/>
    <s v="TRX-2025-0872"/>
    <d v="2025-08-08T00:00:00"/>
    <x v="4"/>
    <x v="0"/>
    <s v="Medan"/>
    <s v="Susu UHT Full Cream 1L"/>
    <s v="F&amp;B"/>
    <n v="22000"/>
    <n v="18000"/>
    <n v="13"/>
    <n v="286000"/>
    <n v="0.15"/>
    <n v="42900"/>
    <n v="243100"/>
    <n v="234000"/>
    <n v="9100"/>
  </r>
  <r>
    <s v="SLS-01"/>
    <s v="TRX-2025-0873"/>
    <d v="2025-10-21T00:00:00"/>
    <x v="0"/>
    <x v="0"/>
    <s v="Jakarta"/>
    <s v="Set Pisau Dapur Stainless"/>
    <s v="Peralatan Rumah"/>
    <n v="165000"/>
    <n v="105000"/>
    <n v="7"/>
    <n v="1155000"/>
    <n v="0"/>
    <n v="0"/>
    <n v="1155000"/>
    <n v="735000"/>
    <n v="420000"/>
  </r>
  <r>
    <s v="SLS-07"/>
    <s v="TRX-2025-0874"/>
    <d v="2025-08-06T00:00:00"/>
    <x v="7"/>
    <x v="2"/>
    <s v="Denpasar"/>
    <s v="Kopi Arabika Gayo 250g"/>
    <s v="F&amp;B"/>
    <n v="85000"/>
    <n v="55000"/>
    <n v="28"/>
    <n v="2380000"/>
    <n v="0"/>
    <n v="0"/>
    <n v="2380000"/>
    <n v="1540000"/>
    <n v="840000"/>
  </r>
  <r>
    <s v="SLS-01"/>
    <s v="TRX-2025-0875"/>
    <d v="2025-02-12T00:00:00"/>
    <x v="0"/>
    <x v="0"/>
    <s v="Jakarta"/>
    <s v="Kopi Arabika Gayo 250g"/>
    <s v="F&amp;B"/>
    <n v="85000"/>
    <n v="55000"/>
    <n v="26"/>
    <n v="2210000"/>
    <n v="0.15"/>
    <n v="331500"/>
    <n v="1878500"/>
    <n v="1430000"/>
    <n v="448500"/>
  </r>
  <r>
    <s v="SLS-02"/>
    <s v="TRX-2025-0876"/>
    <d v="2025-06-01T00:00:00"/>
    <x v="1"/>
    <x v="1"/>
    <s v="Surabaya"/>
    <s v="Monitor 24&quot; FHD 144Hz"/>
    <s v="Elektronik"/>
    <n v="1950000"/>
    <n v="1500000"/>
    <n v="1"/>
    <n v="1950000"/>
    <n v="0.15"/>
    <n v="292500"/>
    <n v="1657500"/>
    <n v="1500000"/>
    <n v="157500"/>
  </r>
  <r>
    <s v="SLS-01"/>
    <s v="TRX-2025-0877"/>
    <d v="2025-10-20T00:00:00"/>
    <x v="0"/>
    <x v="0"/>
    <s v="Jakarta"/>
    <s v="Susu UHT Full Cream 1L"/>
    <s v="F&amp;B"/>
    <n v="22000"/>
    <n v="18000"/>
    <n v="17"/>
    <n v="374000"/>
    <n v="0.05"/>
    <n v="18700"/>
    <n v="355300"/>
    <n v="306000"/>
    <n v="49300"/>
  </r>
  <r>
    <s v="SLS-01"/>
    <s v="TRX-2025-0878"/>
    <d v="2025-11-17T00:00:00"/>
    <x v="0"/>
    <x v="0"/>
    <s v="Jakarta"/>
    <s v="Sepatu Sneakers Pria/Wanita"/>
    <s v="Fashion"/>
    <n v="450000"/>
    <n v="290000"/>
    <n v="11"/>
    <n v="4950000"/>
    <n v="0"/>
    <n v="0"/>
    <n v="4950000"/>
    <n v="3190000"/>
    <n v="1760000"/>
  </r>
  <r>
    <s v="SLS-05"/>
    <s v="TRX-2025-0879"/>
    <d v="2025-09-29T00:00:00"/>
    <x v="3"/>
    <x v="2"/>
    <s v="Semarang"/>
    <s v="Laptop Ultrabook 14&quot;"/>
    <s v="Elektronik"/>
    <n v="8500000"/>
    <n v="7200000"/>
    <n v="7"/>
    <n v="59500000"/>
    <n v="0.1"/>
    <n v="5950000"/>
    <n v="53550000"/>
    <n v="50400000"/>
    <n v="3150000"/>
  </r>
  <r>
    <s v="SLS-06"/>
    <s v="TRX-2025-0880"/>
    <d v="2025-11-14T00:00:00"/>
    <x v="2"/>
    <x v="1"/>
    <s v="Makassar"/>
    <s v="Set Pisau Dapur Stainless"/>
    <s v="Peralatan Rumah"/>
    <n v="165000"/>
    <n v="105000"/>
    <n v="12"/>
    <n v="1980000"/>
    <n v="0"/>
    <n v="0"/>
    <n v="1980000"/>
    <n v="1260000"/>
    <n v="720000"/>
  </r>
  <r>
    <s v="SLS-08"/>
    <s v="TRX-2025-0881"/>
    <d v="2025-07-16T00:00:00"/>
    <x v="6"/>
    <x v="2"/>
    <s v="Yogyakarta"/>
    <s v="Celana Chino Slim Fit"/>
    <s v="Fashion"/>
    <n v="280000"/>
    <n v="175000"/>
    <n v="10"/>
    <n v="2800000"/>
    <n v="0"/>
    <n v="0"/>
    <n v="2800000"/>
    <n v="1750000"/>
    <n v="1050000"/>
  </r>
  <r>
    <s v="SLS-02"/>
    <s v="TRX-2025-0882"/>
    <d v="2025-11-28T00:00:00"/>
    <x v="1"/>
    <x v="1"/>
    <s v="Surabaya"/>
    <s v="Kopi Arabika Gayo 250g"/>
    <s v="F&amp;B"/>
    <n v="85000"/>
    <n v="55000"/>
    <n v="25"/>
    <n v="2125000"/>
    <n v="0.05"/>
    <n v="106250"/>
    <n v="2018750"/>
    <n v="1375000"/>
    <n v="643750"/>
  </r>
  <r>
    <s v="SLS-08"/>
    <s v="TRX-2025-0883"/>
    <d v="2025-10-04T00:00:00"/>
    <x v="6"/>
    <x v="2"/>
    <s v="Yogyakarta"/>
    <s v="Wireless Mouse Ergonomic"/>
    <s v="Elektronik"/>
    <n v="250000"/>
    <n v="160000"/>
    <n v="12"/>
    <n v="3000000"/>
    <n v="0.2"/>
    <n v="600000"/>
    <n v="2400000"/>
    <n v="1920000"/>
    <n v="480000"/>
  </r>
  <r>
    <s v="SLS-05"/>
    <s v="TRX-2025-0884"/>
    <d v="2025-06-14T00:00:00"/>
    <x v="3"/>
    <x v="2"/>
    <s v="Semarang"/>
    <s v="Celana Chino Slim Fit"/>
    <s v="Fashion"/>
    <n v="280000"/>
    <n v="175000"/>
    <n v="9"/>
    <n v="2520000"/>
    <n v="0.15"/>
    <n v="378000"/>
    <n v="2142000"/>
    <n v="1575000"/>
    <n v="567000"/>
  </r>
  <r>
    <s v="SLS-08"/>
    <s v="TRX-2025-0885"/>
    <d v="2025-07-10T00:00:00"/>
    <x v="6"/>
    <x v="2"/>
    <s v="Yogyakarta"/>
    <s v="Celana Chino Slim Fit"/>
    <s v="Fashion"/>
    <n v="280000"/>
    <n v="175000"/>
    <n v="8"/>
    <n v="2240000"/>
    <n v="0.2"/>
    <n v="448000"/>
    <n v="1792000"/>
    <n v="1400000"/>
    <n v="392000"/>
  </r>
  <r>
    <s v="SLS-06"/>
    <s v="TRX-2025-0886"/>
    <d v="2025-08-20T00:00:00"/>
    <x v="2"/>
    <x v="1"/>
    <s v="Makassar"/>
    <s v="Minyak Goreng Sawit 2L"/>
    <s v="F&amp;B"/>
    <n v="36000"/>
    <n v="31000"/>
    <n v="25"/>
    <n v="900000"/>
    <n v="0"/>
    <n v="0"/>
    <n v="900000"/>
    <n v="775000"/>
    <n v="125000"/>
  </r>
  <r>
    <s v="SLS-03"/>
    <s v="TRX-2025-0887"/>
    <d v="2025-02-11T00:00:00"/>
    <x v="5"/>
    <x v="0"/>
    <s v="Bandung"/>
    <s v="Jaket Hoodie Casual"/>
    <s v="Fashion"/>
    <n v="350000"/>
    <n v="220000"/>
    <n v="5"/>
    <n v="1750000"/>
    <n v="0"/>
    <n v="0"/>
    <n v="1750000"/>
    <n v="1100000"/>
    <n v="650000"/>
  </r>
  <r>
    <s v="SLS-03"/>
    <s v="TRX-2025-0888"/>
    <d v="2025-02-27T00:00:00"/>
    <x v="5"/>
    <x v="0"/>
    <s v="Bandung"/>
    <s v="Susu UHT Full Cream 1L"/>
    <s v="F&amp;B"/>
    <n v="22000"/>
    <n v="18000"/>
    <n v="7"/>
    <n v="154000"/>
    <n v="0.05"/>
    <n v="7700"/>
    <n v="146300"/>
    <n v="126000"/>
    <n v="20300"/>
  </r>
  <r>
    <s v="SLS-03"/>
    <s v="TRX-2025-0889"/>
    <d v="2025-12-16T00:00:00"/>
    <x v="5"/>
    <x v="0"/>
    <s v="Bandung"/>
    <s v="Kopi Arabika Gayo 250g"/>
    <s v="F&amp;B"/>
    <n v="85000"/>
    <n v="55000"/>
    <n v="14"/>
    <n v="1190000"/>
    <n v="0.15"/>
    <n v="178500"/>
    <n v="1011500"/>
    <n v="770000"/>
    <n v="241500"/>
  </r>
  <r>
    <s v="SLS-02"/>
    <s v="TRX-2025-0890"/>
    <d v="2025-05-30T00:00:00"/>
    <x v="1"/>
    <x v="1"/>
    <s v="Surabaya"/>
    <s v="Monitor 24&quot; FHD 144Hz"/>
    <s v="Elektronik"/>
    <n v="1950000"/>
    <n v="1500000"/>
    <n v="1"/>
    <n v="1950000"/>
    <n v="0.05"/>
    <n v="97500"/>
    <n v="1852500"/>
    <n v="1500000"/>
    <n v="352500"/>
  </r>
  <r>
    <s v="SLS-06"/>
    <s v="TRX-2025-0891"/>
    <d v="2025-12-02T00:00:00"/>
    <x v="2"/>
    <x v="1"/>
    <s v="Makassar"/>
    <s v="Beras Premium 5kg"/>
    <s v="F&amp;B"/>
    <n v="74000"/>
    <n v="65000"/>
    <n v="21"/>
    <n v="1554000"/>
    <n v="0.2"/>
    <n v="310800"/>
    <n v="1243200"/>
    <n v="1365000"/>
    <n v="-121800"/>
  </r>
  <r>
    <s v="SLS-05"/>
    <s v="TRX-2025-0892"/>
    <d v="2025-10-18T00:00:00"/>
    <x v="3"/>
    <x v="2"/>
    <s v="Semarang"/>
    <s v="Mechanical Keyboard RGB"/>
    <s v="Elektronik"/>
    <n v="750000"/>
    <n v="520000"/>
    <n v="3"/>
    <n v="2250000"/>
    <n v="0.1"/>
    <n v="225000"/>
    <n v="2025000"/>
    <n v="1560000"/>
    <n v="465000"/>
  </r>
  <r>
    <s v="SLS-01"/>
    <s v="TRX-2025-0893"/>
    <d v="2025-05-28T00:00:00"/>
    <x v="0"/>
    <x v="0"/>
    <s v="Jakarta"/>
    <s v="Wajan Anti Lengket 28cm"/>
    <s v="Peralatan Rumah"/>
    <n v="210000"/>
    <n v="140000"/>
    <n v="3"/>
    <n v="630000"/>
    <n v="0.1"/>
    <n v="63000"/>
    <n v="567000"/>
    <n v="420000"/>
    <n v="147000"/>
  </r>
  <r>
    <s v="SLS-03"/>
    <s v="TRX-2025-0894"/>
    <d v="2025-11-13T00:00:00"/>
    <x v="5"/>
    <x v="0"/>
    <s v="Bandung"/>
    <s v="Set Pisau Dapur Stainless"/>
    <s v="Peralatan Rumah"/>
    <n v="165000"/>
    <n v="105000"/>
    <n v="12"/>
    <n v="1980000"/>
    <n v="0.2"/>
    <n v="396000"/>
    <n v="1584000"/>
    <n v="1260000"/>
    <n v="324000"/>
  </r>
  <r>
    <s v="SLS-03"/>
    <s v="TRX-2025-0895"/>
    <d v="2025-12-29T00:00:00"/>
    <x v="5"/>
    <x v="0"/>
    <s v="Bandung"/>
    <s v="Susu UHT Full Cream 1L"/>
    <s v="F&amp;B"/>
    <n v="22000"/>
    <n v="18000"/>
    <n v="10"/>
    <n v="220000"/>
    <n v="0"/>
    <n v="0"/>
    <n v="220000"/>
    <n v="180000"/>
    <n v="40000"/>
  </r>
  <r>
    <s v="SLS-06"/>
    <s v="TRX-2025-0896"/>
    <d v="2025-08-14T00:00:00"/>
    <x v="2"/>
    <x v="1"/>
    <s v="Makassar"/>
    <s v="Kemeja Batik Katun Premium"/>
    <s v="Fashion"/>
    <n v="320000"/>
    <n v="190000"/>
    <n v="3"/>
    <n v="960000"/>
    <n v="0.05"/>
    <n v="48000"/>
    <n v="912000"/>
    <n v="570000"/>
    <n v="342000"/>
  </r>
  <r>
    <s v="SLS-06"/>
    <s v="TRX-2025-0897"/>
    <d v="2025-06-26T00:00:00"/>
    <x v="2"/>
    <x v="1"/>
    <s v="Makassar"/>
    <s v="Mechanical Keyboard RGB"/>
    <s v="Elektronik"/>
    <n v="750000"/>
    <n v="520000"/>
    <n v="8"/>
    <n v="6000000"/>
    <n v="0.2"/>
    <n v="1200000"/>
    <n v="4800000"/>
    <n v="4160000"/>
    <n v="640000"/>
  </r>
  <r>
    <s v="SLS-01"/>
    <s v="TRX-2025-0898"/>
    <d v="2025-03-04T00:00:00"/>
    <x v="0"/>
    <x v="0"/>
    <s v="Jakarta"/>
    <s v="Set Pisau Dapur Stainless"/>
    <s v="Peralatan Rumah"/>
    <n v="165000"/>
    <n v="105000"/>
    <n v="7"/>
    <n v="1155000"/>
    <n v="0.15"/>
    <n v="173250"/>
    <n v="981750"/>
    <n v="735000"/>
    <n v="246750"/>
  </r>
  <r>
    <s v="SLS-06"/>
    <s v="TRX-2025-0899"/>
    <d v="2025-03-21T00:00:00"/>
    <x v="2"/>
    <x v="1"/>
    <s v="Makassar"/>
    <s v="Laptop Ultrabook 14&quot;"/>
    <s v="Elektronik"/>
    <n v="8500000"/>
    <n v="7200000"/>
    <n v="11"/>
    <n v="93500000"/>
    <n v="0.1"/>
    <n v="9350000"/>
    <n v="84150000"/>
    <n v="79200000"/>
    <n v="4950000"/>
  </r>
  <r>
    <s v="SLS-08"/>
    <s v="TRX-2025-0900"/>
    <d v="2025-10-17T00:00:00"/>
    <x v="6"/>
    <x v="2"/>
    <s v="Yogyakarta"/>
    <s v="Susu UHT Full Cream 1L"/>
    <s v="F&amp;B"/>
    <n v="22000"/>
    <n v="18000"/>
    <n v="25"/>
    <n v="550000"/>
    <n v="0"/>
    <n v="0"/>
    <n v="550000"/>
    <n v="450000"/>
    <n v="100000"/>
  </r>
  <r>
    <s v="SLS-02"/>
    <s v="TRX-2025-0901"/>
    <d v="2025-12-14T00:00:00"/>
    <x v="1"/>
    <x v="1"/>
    <s v="Surabaya"/>
    <s v="Kopi Arabika Gayo 250g"/>
    <s v="F&amp;B"/>
    <n v="85000"/>
    <n v="55000"/>
    <n v="3"/>
    <n v="255000"/>
    <n v="0.15"/>
    <n v="38250"/>
    <n v="216750"/>
    <n v="165000"/>
    <n v="51750"/>
  </r>
  <r>
    <s v="SLS-01"/>
    <s v="TRX-2025-0902"/>
    <d v="2025-02-17T00:00:00"/>
    <x v="0"/>
    <x v="0"/>
    <s v="Jakarta"/>
    <s v="Celana Chino Slim Fit"/>
    <s v="Fashion"/>
    <n v="280000"/>
    <n v="175000"/>
    <n v="10"/>
    <n v="2800000"/>
    <n v="0.05"/>
    <n v="140000"/>
    <n v="2660000"/>
    <n v="1750000"/>
    <n v="910000"/>
  </r>
  <r>
    <s v="SLS-08"/>
    <s v="TRX-2025-0903"/>
    <d v="2025-01-12T00:00:00"/>
    <x v="6"/>
    <x v="2"/>
    <s v="Yogyakarta"/>
    <s v="Wireless Mouse Ergonomic"/>
    <s v="Elektronik"/>
    <n v="250000"/>
    <n v="160000"/>
    <n v="11"/>
    <n v="2750000"/>
    <n v="0"/>
    <n v="0"/>
    <n v="2750000"/>
    <n v="1760000"/>
    <n v="990000"/>
  </r>
  <r>
    <s v="SLS-01"/>
    <s v="TRX-2025-0904"/>
    <d v="2025-06-12T00:00:00"/>
    <x v="0"/>
    <x v="0"/>
    <s v="Jakarta"/>
    <s v="Minyak Goreng Sawit 2L"/>
    <s v="F&amp;B"/>
    <n v="36000"/>
    <n v="31000"/>
    <n v="14"/>
    <n v="504000"/>
    <n v="0.15"/>
    <n v="75600"/>
    <n v="428400"/>
    <n v="434000"/>
    <n v="-5600"/>
  </r>
  <r>
    <s v="SLS-06"/>
    <s v="TRX-2025-0905"/>
    <d v="2025-07-09T00:00:00"/>
    <x v="2"/>
    <x v="1"/>
    <s v="Makassar"/>
    <s v="Jaket Hoodie Casual"/>
    <s v="Fashion"/>
    <n v="350000"/>
    <n v="220000"/>
    <n v="1"/>
    <n v="350000"/>
    <n v="0.1"/>
    <n v="35000"/>
    <n v="315000"/>
    <n v="220000"/>
    <n v="95000"/>
  </r>
  <r>
    <s v="SLS-02"/>
    <s v="TRX-2025-0906"/>
    <d v="2025-08-17T00:00:00"/>
    <x v="1"/>
    <x v="1"/>
    <s v="Surabaya"/>
    <s v="Blender Multifungsi 2-in-1"/>
    <s v="Peralatan Rumah"/>
    <n v="340000"/>
    <n v="240000"/>
    <n v="4"/>
    <n v="1360000"/>
    <n v="0.15"/>
    <n v="204000"/>
    <n v="1156000"/>
    <n v="960000"/>
    <n v="196000"/>
  </r>
  <r>
    <s v="SLS-07"/>
    <s v="TRX-2025-0907"/>
    <d v="2025-03-25T00:00:00"/>
    <x v="7"/>
    <x v="2"/>
    <s v="Denpasar"/>
    <s v="Wajan Anti Lengket 28cm"/>
    <s v="Peralatan Rumah"/>
    <n v="210000"/>
    <n v="140000"/>
    <n v="12"/>
    <n v="2520000"/>
    <n v="0.15"/>
    <n v="378000"/>
    <n v="2142000"/>
    <n v="1680000"/>
    <n v="462000"/>
  </r>
  <r>
    <s v="SLS-05"/>
    <s v="TRX-2025-0908"/>
    <d v="2025-03-15T00:00:00"/>
    <x v="3"/>
    <x v="2"/>
    <s v="Semarang"/>
    <s v="Monitor 24&quot; FHD 144Hz"/>
    <s v="Elektronik"/>
    <n v="1950000"/>
    <n v="1500000"/>
    <n v="8"/>
    <n v="15600000"/>
    <n v="0.2"/>
    <n v="3120000"/>
    <n v="12480000"/>
    <n v="12000000"/>
    <n v="480000"/>
  </r>
  <r>
    <s v="SLS-07"/>
    <s v="TRX-2025-0909"/>
    <d v="2025-02-15T00:00:00"/>
    <x v="7"/>
    <x v="2"/>
    <s v="Denpasar"/>
    <s v="Laptop Ultrabook 14&quot;"/>
    <s v="Elektronik"/>
    <n v="8500000"/>
    <n v="7200000"/>
    <n v="11"/>
    <n v="93500000"/>
    <n v="0.1"/>
    <n v="9350000"/>
    <n v="84150000"/>
    <n v="79200000"/>
    <n v="4950000"/>
  </r>
  <r>
    <s v="SLS-03"/>
    <s v="TRX-2025-0910"/>
    <d v="2025-12-30T00:00:00"/>
    <x v="5"/>
    <x v="0"/>
    <s v="Bandung"/>
    <s v="Minyak Goreng Sawit 2L"/>
    <s v="F&amp;B"/>
    <n v="36000"/>
    <n v="31000"/>
    <n v="8"/>
    <n v="288000"/>
    <n v="0.15"/>
    <n v="43200"/>
    <n v="244800"/>
    <n v="248000"/>
    <n v="-3200"/>
  </r>
  <r>
    <s v="SLS-05"/>
    <s v="TRX-2025-0911"/>
    <d v="2025-01-22T00:00:00"/>
    <x v="3"/>
    <x v="2"/>
    <s v="Semarang"/>
    <s v="Blender Multifungsi 2-in-1"/>
    <s v="Peralatan Rumah"/>
    <n v="340000"/>
    <n v="240000"/>
    <n v="10"/>
    <n v="3400000"/>
    <n v="0.1"/>
    <n v="340000"/>
    <n v="3060000"/>
    <n v="2400000"/>
    <n v="660000"/>
  </r>
  <r>
    <s v="SLS-01"/>
    <s v="TRX-2025-0912"/>
    <d v="2025-04-25T00:00:00"/>
    <x v="0"/>
    <x v="0"/>
    <s v="Jakarta"/>
    <s v="Laptop Ultrabook 14&quot;"/>
    <s v="Elektronik"/>
    <n v="8500000"/>
    <n v="7200000"/>
    <n v="3"/>
    <n v="25500000"/>
    <n v="0.1"/>
    <n v="2550000"/>
    <n v="22950000"/>
    <n v="21600000"/>
    <n v="1350000"/>
  </r>
  <r>
    <s v="SLS-05"/>
    <s v="TRX-2025-0913"/>
    <d v="2025-03-05T00:00:00"/>
    <x v="3"/>
    <x v="2"/>
    <s v="Semarang"/>
    <s v="Beras Premium 5kg"/>
    <s v="F&amp;B"/>
    <n v="74000"/>
    <n v="65000"/>
    <n v="8"/>
    <n v="592000"/>
    <n v="0.15"/>
    <n v="88800"/>
    <n v="503200"/>
    <n v="520000"/>
    <n v="-16800"/>
  </r>
  <r>
    <s v="SLS-02"/>
    <s v="TRX-2025-0914"/>
    <d v="2025-05-22T00:00:00"/>
    <x v="1"/>
    <x v="1"/>
    <s v="Surabaya"/>
    <s v="Sepatu Sneakers Pria/Wanita"/>
    <s v="Fashion"/>
    <n v="450000"/>
    <n v="290000"/>
    <n v="10"/>
    <n v="4500000"/>
    <n v="0.1"/>
    <n v="450000"/>
    <n v="4050000"/>
    <n v="2900000"/>
    <n v="1150000"/>
  </r>
  <r>
    <s v="SLS-08"/>
    <s v="TRX-2025-0915"/>
    <d v="2025-05-13T00:00:00"/>
    <x v="6"/>
    <x v="2"/>
    <s v="Yogyakarta"/>
    <s v="Beras Premium 5kg"/>
    <s v="F&amp;B"/>
    <n v="74000"/>
    <n v="65000"/>
    <n v="29"/>
    <n v="2146000"/>
    <n v="0"/>
    <n v="0"/>
    <n v="2146000"/>
    <n v="1885000"/>
    <n v="261000"/>
  </r>
  <r>
    <s v="SLS-01"/>
    <s v="TRX-2025-0916"/>
    <d v="2025-05-13T00:00:00"/>
    <x v="0"/>
    <x v="0"/>
    <s v="Jakarta"/>
    <s v="Mechanical Keyboard RGB"/>
    <s v="Elektronik"/>
    <n v="750000"/>
    <n v="520000"/>
    <n v="3"/>
    <n v="2250000"/>
    <n v="0.1"/>
    <n v="225000"/>
    <n v="2025000"/>
    <n v="1560000"/>
    <n v="465000"/>
  </r>
  <r>
    <s v="SLS-01"/>
    <s v="TRX-2025-0917"/>
    <d v="2025-07-02T00:00:00"/>
    <x v="0"/>
    <x v="0"/>
    <s v="Jakarta"/>
    <s v="Mechanical Keyboard RGB"/>
    <s v="Elektronik"/>
    <n v="750000"/>
    <n v="520000"/>
    <n v="5"/>
    <n v="3750000"/>
    <n v="0.1"/>
    <n v="375000"/>
    <n v="3375000"/>
    <n v="2600000"/>
    <n v="775000"/>
  </r>
  <r>
    <s v="SLS-05"/>
    <s v="TRX-2025-0918"/>
    <d v="2025-01-25T00:00:00"/>
    <x v="3"/>
    <x v="2"/>
    <s v="Semarang"/>
    <s v="Kemeja Batik Katun Premium"/>
    <s v="Fashion"/>
    <n v="320000"/>
    <n v="190000"/>
    <n v="9"/>
    <n v="2880000"/>
    <n v="0"/>
    <n v="0"/>
    <n v="2880000"/>
    <n v="1710000"/>
    <n v="1170000"/>
  </r>
  <r>
    <s v="SLS-03"/>
    <s v="TRX-2025-0919"/>
    <d v="2025-02-18T00:00:00"/>
    <x v="5"/>
    <x v="0"/>
    <s v="Bandung"/>
    <s v="Minyak Goreng Sawit 2L"/>
    <s v="F&amp;B"/>
    <n v="36000"/>
    <n v="31000"/>
    <n v="13"/>
    <n v="468000"/>
    <n v="0.1"/>
    <n v="46800"/>
    <n v="421200"/>
    <n v="403000"/>
    <n v="18200"/>
  </r>
  <r>
    <s v="SLS-06"/>
    <s v="TRX-2025-0920"/>
    <d v="2025-02-19T00:00:00"/>
    <x v="2"/>
    <x v="1"/>
    <s v="Makassar"/>
    <s v="Kopi Arabika Gayo 250g"/>
    <s v="F&amp;B"/>
    <n v="85000"/>
    <n v="55000"/>
    <n v="3"/>
    <n v="255000"/>
    <n v="0.05"/>
    <n v="12750"/>
    <n v="242250"/>
    <n v="165000"/>
    <n v="77250"/>
  </r>
  <r>
    <s v="SLS-03"/>
    <s v="TRX-2025-0921"/>
    <d v="2025-07-30T00:00:00"/>
    <x v="5"/>
    <x v="0"/>
    <s v="Bandung"/>
    <s v="Celana Chino Slim Fit"/>
    <s v="Fashion"/>
    <n v="280000"/>
    <n v="175000"/>
    <n v="2"/>
    <n v="560000"/>
    <n v="0.05"/>
    <n v="28000"/>
    <n v="532000"/>
    <n v="350000"/>
    <n v="182000"/>
  </r>
  <r>
    <s v="SLS-02"/>
    <s v="TRX-2025-0922"/>
    <d v="2025-04-07T00:00:00"/>
    <x v="1"/>
    <x v="1"/>
    <s v="Surabaya"/>
    <s v="Wajan Anti Lengket 28cm"/>
    <s v="Peralatan Rumah"/>
    <n v="210000"/>
    <n v="140000"/>
    <n v="7"/>
    <n v="1470000"/>
    <n v="0.15"/>
    <n v="220500"/>
    <n v="1249500"/>
    <n v="980000"/>
    <n v="269500"/>
  </r>
  <r>
    <s v="SLS-06"/>
    <s v="TRX-2025-0923"/>
    <d v="2025-01-09T00:00:00"/>
    <x v="2"/>
    <x v="1"/>
    <s v="Makassar"/>
    <s v="Sepatu Sneakers Pria/Wanita"/>
    <s v="Fashion"/>
    <n v="450000"/>
    <n v="290000"/>
    <n v="5"/>
    <n v="2250000"/>
    <n v="0.1"/>
    <n v="225000"/>
    <n v="2025000"/>
    <n v="1450000"/>
    <n v="575000"/>
  </r>
  <r>
    <s v="SLS-05"/>
    <s v="TRX-2025-0924"/>
    <d v="2025-03-30T00:00:00"/>
    <x v="3"/>
    <x v="2"/>
    <s v="Semarang"/>
    <s v="Susu UHT Full Cream 1L"/>
    <s v="F&amp;B"/>
    <n v="22000"/>
    <n v="18000"/>
    <n v="26"/>
    <n v="572000"/>
    <n v="0"/>
    <n v="0"/>
    <n v="572000"/>
    <n v="468000"/>
    <n v="104000"/>
  </r>
  <r>
    <s v="SLS-05"/>
    <s v="TRX-2025-0925"/>
    <d v="2025-12-19T00:00:00"/>
    <x v="3"/>
    <x v="2"/>
    <s v="Semarang"/>
    <s v="Monitor 24&quot; FHD 144Hz"/>
    <s v="Elektronik"/>
    <n v="1950000"/>
    <n v="1500000"/>
    <n v="3"/>
    <n v="5850000"/>
    <n v="0.05"/>
    <n v="292500"/>
    <n v="5557500"/>
    <n v="4500000"/>
    <n v="1057500"/>
  </r>
  <r>
    <s v="SLS-02"/>
    <s v="TRX-2025-0926"/>
    <d v="2025-12-20T00:00:00"/>
    <x v="1"/>
    <x v="1"/>
    <s v="Surabaya"/>
    <s v="Wajan Anti Lengket 28cm"/>
    <s v="Peralatan Rumah"/>
    <n v="210000"/>
    <n v="140000"/>
    <n v="2"/>
    <n v="420000"/>
    <n v="0"/>
    <n v="0"/>
    <n v="420000"/>
    <n v="280000"/>
    <n v="140000"/>
  </r>
  <r>
    <s v="SLS-01"/>
    <s v="TRX-2025-0927"/>
    <d v="2025-04-11T00:00:00"/>
    <x v="0"/>
    <x v="0"/>
    <s v="Jakarta"/>
    <s v="Wireless Mouse Ergonomic"/>
    <s v="Elektronik"/>
    <n v="250000"/>
    <n v="160000"/>
    <n v="11"/>
    <n v="2750000"/>
    <n v="0.2"/>
    <n v="550000"/>
    <n v="2200000"/>
    <n v="1760000"/>
    <n v="440000"/>
  </r>
  <r>
    <s v="SLS-02"/>
    <s v="TRX-2025-0928"/>
    <d v="2025-05-10T00:00:00"/>
    <x v="1"/>
    <x v="1"/>
    <s v="Surabaya"/>
    <s v="Laptop Ultrabook 14&quot;"/>
    <s v="Elektronik"/>
    <n v="8500000"/>
    <n v="7200000"/>
    <n v="5"/>
    <n v="42500000"/>
    <n v="0"/>
    <n v="0"/>
    <n v="42500000"/>
    <n v="36000000"/>
    <n v="6500000"/>
  </r>
  <r>
    <s v="SLS-04"/>
    <s v="TRX-2025-0929"/>
    <d v="2025-10-28T00:00:00"/>
    <x v="4"/>
    <x v="0"/>
    <s v="Medan"/>
    <s v="Set Pisau Dapur Stainless"/>
    <s v="Peralatan Rumah"/>
    <n v="165000"/>
    <n v="105000"/>
    <n v="3"/>
    <n v="495000"/>
    <n v="0.1"/>
    <n v="49500"/>
    <n v="445500"/>
    <n v="315000"/>
    <n v="130500"/>
  </r>
  <r>
    <s v="SLS-06"/>
    <s v="TRX-2025-0930"/>
    <d v="2025-05-23T00:00:00"/>
    <x v="2"/>
    <x v="1"/>
    <s v="Makassar"/>
    <s v="Minyak Goreng Sawit 2L"/>
    <s v="F&amp;B"/>
    <n v="36000"/>
    <n v="31000"/>
    <n v="8"/>
    <n v="288000"/>
    <n v="0.2"/>
    <n v="57600"/>
    <n v="230400"/>
    <n v="248000"/>
    <n v="-17600"/>
  </r>
  <r>
    <s v="SLS-01"/>
    <s v="TRX-2025-0931"/>
    <d v="2025-02-20T00:00:00"/>
    <x v="0"/>
    <x v="0"/>
    <s v="Jakarta"/>
    <s v="Blender Multifungsi 2-in-1"/>
    <s v="Peralatan Rumah"/>
    <n v="340000"/>
    <n v="240000"/>
    <n v="9"/>
    <n v="3060000"/>
    <n v="0.05"/>
    <n v="153000"/>
    <n v="2907000"/>
    <n v="2160000"/>
    <n v="747000"/>
  </r>
  <r>
    <s v="SLS-02"/>
    <s v="TRX-2025-0932"/>
    <d v="2025-10-03T00:00:00"/>
    <x v="1"/>
    <x v="1"/>
    <s v="Surabaya"/>
    <s v="Laptop Ultrabook 14&quot;"/>
    <s v="Elektronik"/>
    <n v="8500000"/>
    <n v="7200000"/>
    <n v="4"/>
    <n v="34000000"/>
    <n v="0.2"/>
    <n v="6800000"/>
    <n v="27200000"/>
    <n v="28800000"/>
    <n v="-1600000"/>
  </r>
  <r>
    <s v="SLS-02"/>
    <s v="TRX-2025-0933"/>
    <d v="2025-08-14T00:00:00"/>
    <x v="1"/>
    <x v="1"/>
    <s v="Surabaya"/>
    <s v="Beras Premium 5kg"/>
    <s v="F&amp;B"/>
    <n v="74000"/>
    <n v="65000"/>
    <n v="29"/>
    <n v="2146000"/>
    <n v="0.1"/>
    <n v="214600"/>
    <n v="1931400"/>
    <n v="1885000"/>
    <n v="46400"/>
  </r>
  <r>
    <s v="SLS-07"/>
    <s v="TRX-2025-0934"/>
    <d v="2025-09-21T00:00:00"/>
    <x v="7"/>
    <x v="2"/>
    <s v="Denpasar"/>
    <s v="Monitor 24&quot; FHD 144Hz"/>
    <s v="Elektronik"/>
    <n v="1950000"/>
    <n v="1500000"/>
    <n v="2"/>
    <n v="3900000"/>
    <n v="0.1"/>
    <n v="390000"/>
    <n v="3510000"/>
    <n v="3000000"/>
    <n v="510000"/>
  </r>
  <r>
    <s v="SLS-08"/>
    <s v="TRX-2025-0935"/>
    <d v="2025-09-24T00:00:00"/>
    <x v="6"/>
    <x v="2"/>
    <s v="Yogyakarta"/>
    <s v="Mechanical Keyboard RGB"/>
    <s v="Elektronik"/>
    <n v="750000"/>
    <n v="520000"/>
    <n v="6"/>
    <n v="4500000"/>
    <n v="0.1"/>
    <n v="450000"/>
    <n v="4050000"/>
    <n v="3120000"/>
    <n v="930000"/>
  </r>
  <r>
    <s v="SLS-07"/>
    <s v="TRX-2025-0936"/>
    <d v="2025-09-10T00:00:00"/>
    <x v="7"/>
    <x v="2"/>
    <s v="Denpasar"/>
    <s v="Wireless Mouse Ergonomic"/>
    <s v="Elektronik"/>
    <n v="250000"/>
    <n v="160000"/>
    <n v="5"/>
    <n v="1250000"/>
    <n v="0.15"/>
    <n v="187500"/>
    <n v="1062500"/>
    <n v="800000"/>
    <n v="262500"/>
  </r>
  <r>
    <s v="SLS-07"/>
    <s v="TRX-2025-0937"/>
    <d v="2025-04-26T00:00:00"/>
    <x v="7"/>
    <x v="2"/>
    <s v="Denpasar"/>
    <s v="Kopi Arabika Gayo 250g"/>
    <s v="F&amp;B"/>
    <n v="85000"/>
    <n v="55000"/>
    <n v="30"/>
    <n v="2550000"/>
    <n v="0.15"/>
    <n v="382500"/>
    <n v="2167500"/>
    <n v="1650000"/>
    <n v="517500"/>
  </r>
  <r>
    <s v="SLS-03"/>
    <s v="TRX-2025-0938"/>
    <d v="2025-12-14T00:00:00"/>
    <x v="5"/>
    <x v="0"/>
    <s v="Bandung"/>
    <s v="Celana Chino Slim Fit"/>
    <s v="Fashion"/>
    <n v="280000"/>
    <n v="175000"/>
    <n v="1"/>
    <n v="280000"/>
    <n v="0.15"/>
    <n v="42000"/>
    <n v="238000"/>
    <n v="175000"/>
    <n v="63000"/>
  </r>
  <r>
    <s v="SLS-02"/>
    <s v="TRX-2025-0939"/>
    <d v="2025-09-25T00:00:00"/>
    <x v="1"/>
    <x v="1"/>
    <s v="Surabaya"/>
    <s v="Beras Premium 5kg"/>
    <s v="F&amp;B"/>
    <n v="74000"/>
    <n v="65000"/>
    <n v="7"/>
    <n v="518000"/>
    <n v="0.15"/>
    <n v="77700"/>
    <n v="440300"/>
    <n v="455000"/>
    <n v="-14700"/>
  </r>
  <r>
    <s v="SLS-06"/>
    <s v="TRX-2025-0940"/>
    <d v="2025-03-28T00:00:00"/>
    <x v="2"/>
    <x v="1"/>
    <s v="Makassar"/>
    <s v="Wireless Mouse Ergonomic"/>
    <s v="Elektronik"/>
    <n v="250000"/>
    <n v="160000"/>
    <n v="4"/>
    <n v="1000000"/>
    <n v="0.1"/>
    <n v="100000"/>
    <n v="900000"/>
    <n v="640000"/>
    <n v="260000"/>
  </r>
  <r>
    <s v="SLS-07"/>
    <s v="TRX-2025-0941"/>
    <d v="2025-03-04T00:00:00"/>
    <x v="7"/>
    <x v="2"/>
    <s v="Denpasar"/>
    <s v="Monitor 24&quot; FHD 144Hz"/>
    <s v="Elektronik"/>
    <n v="1950000"/>
    <n v="1500000"/>
    <n v="12"/>
    <n v="23400000"/>
    <n v="0.15"/>
    <n v="3510000"/>
    <n v="19890000"/>
    <n v="18000000"/>
    <n v="1890000"/>
  </r>
  <r>
    <s v="SLS-06"/>
    <s v="TRX-2025-0942"/>
    <d v="2025-11-26T00:00:00"/>
    <x v="2"/>
    <x v="1"/>
    <s v="Makassar"/>
    <s v="Jaket Hoodie Casual"/>
    <s v="Fashion"/>
    <n v="350000"/>
    <n v="220000"/>
    <n v="8"/>
    <n v="2800000"/>
    <n v="0.2"/>
    <n v="560000"/>
    <n v="2240000"/>
    <n v="1760000"/>
    <n v="480000"/>
  </r>
  <r>
    <s v="SLS-08"/>
    <s v="TRX-2025-0943"/>
    <d v="2025-03-17T00:00:00"/>
    <x v="6"/>
    <x v="2"/>
    <s v="Yogyakarta"/>
    <s v="Wajan Anti Lengket 28cm"/>
    <s v="Peralatan Rumah"/>
    <n v="210000"/>
    <n v="140000"/>
    <n v="2"/>
    <n v="420000"/>
    <n v="0"/>
    <n v="0"/>
    <n v="420000"/>
    <n v="280000"/>
    <n v="140000"/>
  </r>
  <r>
    <s v="SLS-03"/>
    <s v="TRX-2025-0944"/>
    <d v="2025-04-29T00:00:00"/>
    <x v="5"/>
    <x v="0"/>
    <s v="Bandung"/>
    <s v="Beras Premium 5kg"/>
    <s v="F&amp;B"/>
    <n v="74000"/>
    <n v="65000"/>
    <n v="6"/>
    <n v="444000"/>
    <n v="0"/>
    <n v="0"/>
    <n v="444000"/>
    <n v="390000"/>
    <n v="54000"/>
  </r>
  <r>
    <s v="SLS-06"/>
    <s v="TRX-2025-0945"/>
    <d v="2025-04-02T00:00:00"/>
    <x v="2"/>
    <x v="1"/>
    <s v="Makassar"/>
    <s v="Jaket Hoodie Casual"/>
    <s v="Fashion"/>
    <n v="350000"/>
    <n v="220000"/>
    <n v="3"/>
    <n v="1050000"/>
    <n v="0.1"/>
    <n v="105000"/>
    <n v="945000"/>
    <n v="660000"/>
    <n v="285000"/>
  </r>
  <r>
    <s v="SLS-05"/>
    <s v="TRX-2025-0946"/>
    <d v="2025-08-27T00:00:00"/>
    <x v="3"/>
    <x v="2"/>
    <s v="Semarang"/>
    <s v="Monitor 24&quot; FHD 144Hz"/>
    <s v="Elektronik"/>
    <n v="1950000"/>
    <n v="1500000"/>
    <n v="11"/>
    <n v="21450000"/>
    <n v="0.15"/>
    <n v="3217500"/>
    <n v="18232500"/>
    <n v="16500000"/>
    <n v="1732500"/>
  </r>
  <r>
    <s v="SLS-01"/>
    <s v="TRX-2025-0947"/>
    <d v="2025-10-05T00:00:00"/>
    <x v="0"/>
    <x v="0"/>
    <s v="Jakarta"/>
    <s v="Celana Chino Slim Fit"/>
    <s v="Fashion"/>
    <n v="280000"/>
    <n v="175000"/>
    <n v="1"/>
    <n v="280000"/>
    <n v="0.15"/>
    <n v="42000"/>
    <n v="238000"/>
    <n v="175000"/>
    <n v="63000"/>
  </r>
  <r>
    <s v="SLS-07"/>
    <s v="TRX-2025-0948"/>
    <d v="2025-06-11T00:00:00"/>
    <x v="7"/>
    <x v="2"/>
    <s v="Denpasar"/>
    <s v="Blender Multifungsi 2-in-1"/>
    <s v="Peralatan Rumah"/>
    <n v="340000"/>
    <n v="240000"/>
    <n v="8"/>
    <n v="2720000"/>
    <n v="0.15"/>
    <n v="408000"/>
    <n v="2312000"/>
    <n v="1920000"/>
    <n v="392000"/>
  </r>
  <r>
    <s v="SLS-05"/>
    <s v="TRX-2025-0949"/>
    <d v="2025-10-13T00:00:00"/>
    <x v="3"/>
    <x v="2"/>
    <s v="Semarang"/>
    <s v="Beras Premium 5kg"/>
    <s v="F&amp;B"/>
    <n v="74000"/>
    <n v="65000"/>
    <n v="8"/>
    <n v="592000"/>
    <n v="0.15"/>
    <n v="88800"/>
    <n v="503200"/>
    <n v="520000"/>
    <n v="-16800"/>
  </r>
  <r>
    <s v="SLS-02"/>
    <s v="TRX-2025-0950"/>
    <d v="2025-07-19T00:00:00"/>
    <x v="1"/>
    <x v="1"/>
    <s v="Surabaya"/>
    <s v="Sepatu Sneakers Pria/Wanita"/>
    <s v="Fashion"/>
    <n v="450000"/>
    <n v="290000"/>
    <n v="10"/>
    <n v="4500000"/>
    <n v="0.15"/>
    <n v="675000"/>
    <n v="3825000"/>
    <n v="2900000"/>
    <n v="925000"/>
  </r>
  <r>
    <s v="SLS-07"/>
    <s v="TRX-2025-0951"/>
    <d v="2025-09-17T00:00:00"/>
    <x v="7"/>
    <x v="2"/>
    <s v="Denpasar"/>
    <s v="Laptop Ultrabook 14&quot;"/>
    <s v="Elektronik"/>
    <n v="8500000"/>
    <n v="7200000"/>
    <n v="5"/>
    <n v="42500000"/>
    <n v="0.15"/>
    <n v="6375000"/>
    <n v="36125000"/>
    <n v="36000000"/>
    <n v="125000"/>
  </r>
  <r>
    <s v="SLS-01"/>
    <s v="TRX-2025-0952"/>
    <d v="2025-05-26T00:00:00"/>
    <x v="0"/>
    <x v="0"/>
    <s v="Jakarta"/>
    <s v="Celana Chino Slim Fit"/>
    <s v="Fashion"/>
    <n v="280000"/>
    <n v="175000"/>
    <n v="1"/>
    <n v="280000"/>
    <n v="0.2"/>
    <n v="56000"/>
    <n v="224000"/>
    <n v="175000"/>
    <n v="49000"/>
  </r>
  <r>
    <s v="SLS-01"/>
    <s v="TRX-2025-0953"/>
    <d v="2025-06-28T00:00:00"/>
    <x v="0"/>
    <x v="0"/>
    <s v="Jakarta"/>
    <s v="Wajan Anti Lengket 28cm"/>
    <s v="Peralatan Rumah"/>
    <n v="210000"/>
    <n v="140000"/>
    <n v="11"/>
    <n v="2310000"/>
    <n v="0.1"/>
    <n v="231000"/>
    <n v="2079000"/>
    <n v="1540000"/>
    <n v="539000"/>
  </r>
  <r>
    <s v="SLS-07"/>
    <s v="TRX-2025-0954"/>
    <d v="2025-06-26T00:00:00"/>
    <x v="7"/>
    <x v="2"/>
    <s v="Denpasar"/>
    <s v="Celana Chino Slim Fit"/>
    <s v="Fashion"/>
    <n v="280000"/>
    <n v="175000"/>
    <n v="6"/>
    <n v="1680000"/>
    <n v="0"/>
    <n v="0"/>
    <n v="1680000"/>
    <n v="1050000"/>
    <n v="630000"/>
  </r>
  <r>
    <s v="SLS-02"/>
    <s v="TRX-2025-0955"/>
    <d v="2025-11-28T00:00:00"/>
    <x v="1"/>
    <x v="1"/>
    <s v="Surabaya"/>
    <s v="Kemeja Batik Katun Premium"/>
    <s v="Fashion"/>
    <n v="320000"/>
    <n v="190000"/>
    <n v="12"/>
    <n v="3840000"/>
    <n v="0"/>
    <n v="0"/>
    <n v="3840000"/>
    <n v="2280000"/>
    <n v="1560000"/>
  </r>
  <r>
    <s v="SLS-06"/>
    <s v="TRX-2025-0956"/>
    <d v="2025-03-28T00:00:00"/>
    <x v="2"/>
    <x v="1"/>
    <s v="Makassar"/>
    <s v="Laptop Ultrabook 14&quot;"/>
    <s v="Elektronik"/>
    <n v="8500000"/>
    <n v="7200000"/>
    <n v="1"/>
    <n v="8500000"/>
    <n v="0.15"/>
    <n v="1275000"/>
    <n v="7225000"/>
    <n v="7200000"/>
    <n v="25000"/>
  </r>
  <r>
    <s v="SLS-08"/>
    <s v="TRX-2025-0957"/>
    <d v="2025-05-17T00:00:00"/>
    <x v="6"/>
    <x v="2"/>
    <s v="Yogyakarta"/>
    <s v="Laptop Ultrabook 14&quot;"/>
    <s v="Elektronik"/>
    <n v="8500000"/>
    <n v="7200000"/>
    <n v="10"/>
    <n v="85000000"/>
    <n v="0"/>
    <n v="0"/>
    <n v="85000000"/>
    <n v="72000000"/>
    <n v="13000000"/>
  </r>
  <r>
    <s v="SLS-02"/>
    <s v="TRX-2025-0958"/>
    <d v="2025-06-15T00:00:00"/>
    <x v="1"/>
    <x v="1"/>
    <s v="Surabaya"/>
    <s v="Minyak Goreng Sawit 2L"/>
    <s v="F&amp;B"/>
    <n v="36000"/>
    <n v="31000"/>
    <n v="6"/>
    <n v="216000"/>
    <n v="0.05"/>
    <n v="10800"/>
    <n v="205200"/>
    <n v="186000"/>
    <n v="19200"/>
  </r>
  <r>
    <s v="SLS-05"/>
    <s v="TRX-2025-0959"/>
    <d v="2025-03-27T00:00:00"/>
    <x v="3"/>
    <x v="2"/>
    <s v="Semarang"/>
    <s v="Minyak Goreng Sawit 2L"/>
    <s v="F&amp;B"/>
    <n v="36000"/>
    <n v="31000"/>
    <n v="16"/>
    <n v="576000"/>
    <n v="0.05"/>
    <n v="28800"/>
    <n v="547200"/>
    <n v="496000"/>
    <n v="51200"/>
  </r>
  <r>
    <s v="SLS-05"/>
    <s v="TRX-2025-0960"/>
    <d v="2025-10-02T00:00:00"/>
    <x v="3"/>
    <x v="2"/>
    <s v="Semarang"/>
    <s v="Monitor 24&quot; FHD 144Hz"/>
    <s v="Elektronik"/>
    <n v="1950000"/>
    <n v="1500000"/>
    <n v="5"/>
    <n v="9750000"/>
    <n v="0"/>
    <n v="0"/>
    <n v="9750000"/>
    <n v="7500000"/>
    <n v="2250000"/>
  </r>
  <r>
    <s v="SLS-02"/>
    <s v="TRX-2025-0961"/>
    <d v="2025-04-26T00:00:00"/>
    <x v="1"/>
    <x v="1"/>
    <s v="Surabaya"/>
    <s v="Minyak Goreng Sawit 2L"/>
    <s v="F&amp;B"/>
    <n v="36000"/>
    <n v="31000"/>
    <n v="30"/>
    <n v="1080000"/>
    <n v="0.2"/>
    <n v="216000"/>
    <n v="864000"/>
    <n v="930000"/>
    <n v="-66000"/>
  </r>
  <r>
    <s v="SLS-08"/>
    <s v="TRX-2025-0962"/>
    <d v="2025-05-20T00:00:00"/>
    <x v="6"/>
    <x v="2"/>
    <s v="Yogyakarta"/>
    <s v="Wireless Mouse Ergonomic"/>
    <s v="Elektronik"/>
    <n v="250000"/>
    <n v="160000"/>
    <n v="7"/>
    <n v="1750000"/>
    <n v="0.05"/>
    <n v="87500"/>
    <n v="1662500"/>
    <n v="1120000"/>
    <n v="542500"/>
  </r>
  <r>
    <s v="SLS-05"/>
    <s v="TRX-2025-0963"/>
    <d v="2025-09-16T00:00:00"/>
    <x v="3"/>
    <x v="2"/>
    <s v="Semarang"/>
    <s v="Wajan Anti Lengket 28cm"/>
    <s v="Peralatan Rumah"/>
    <n v="210000"/>
    <n v="140000"/>
    <n v="7"/>
    <n v="1470000"/>
    <n v="0.2"/>
    <n v="294000"/>
    <n v="1176000"/>
    <n v="980000"/>
    <n v="196000"/>
  </r>
  <r>
    <s v="SLS-08"/>
    <s v="TRX-2025-0964"/>
    <d v="2025-07-25T00:00:00"/>
    <x v="6"/>
    <x v="2"/>
    <s v="Yogyakarta"/>
    <s v="Kemeja Batik Katun Premium"/>
    <s v="Fashion"/>
    <n v="320000"/>
    <n v="190000"/>
    <n v="11"/>
    <n v="3520000"/>
    <n v="0.2"/>
    <n v="704000"/>
    <n v="2816000"/>
    <n v="2090000"/>
    <n v="726000"/>
  </r>
  <r>
    <s v="SLS-04"/>
    <s v="TRX-2025-0965"/>
    <d v="2025-10-23T00:00:00"/>
    <x v="4"/>
    <x v="0"/>
    <s v="Medan"/>
    <s v="Sepatu Sneakers Pria/Wanita"/>
    <s v="Fashion"/>
    <n v="450000"/>
    <n v="290000"/>
    <n v="11"/>
    <n v="4950000"/>
    <n v="0.15"/>
    <n v="742500"/>
    <n v="4207500"/>
    <n v="3190000"/>
    <n v="1017500"/>
  </r>
  <r>
    <s v="SLS-01"/>
    <s v="TRX-2025-0966"/>
    <d v="2025-10-17T00:00:00"/>
    <x v="0"/>
    <x v="0"/>
    <s v="Jakarta"/>
    <s v="Susu UHT Full Cream 1L"/>
    <s v="F&amp;B"/>
    <n v="22000"/>
    <n v="18000"/>
    <n v="9"/>
    <n v="198000"/>
    <n v="0.1"/>
    <n v="19800"/>
    <n v="178200"/>
    <n v="162000"/>
    <n v="16200"/>
  </r>
  <r>
    <s v="SLS-05"/>
    <s v="TRX-2025-0967"/>
    <d v="2025-03-19T00:00:00"/>
    <x v="3"/>
    <x v="2"/>
    <s v="Semarang"/>
    <s v="Susu UHT Full Cream 1L"/>
    <s v="F&amp;B"/>
    <n v="22000"/>
    <n v="18000"/>
    <n v="16"/>
    <n v="352000"/>
    <n v="0.1"/>
    <n v="35200"/>
    <n v="316800"/>
    <n v="288000"/>
    <n v="28800"/>
  </r>
  <r>
    <s v="SLS-05"/>
    <s v="TRX-2025-0968"/>
    <d v="2025-07-31T00:00:00"/>
    <x v="3"/>
    <x v="2"/>
    <s v="Semarang"/>
    <s v="Kemeja Batik Katun Premium"/>
    <s v="Fashion"/>
    <n v="320000"/>
    <n v="190000"/>
    <n v="11"/>
    <n v="3520000"/>
    <n v="0.05"/>
    <n v="176000"/>
    <n v="3344000"/>
    <n v="2090000"/>
    <n v="1254000"/>
  </r>
  <r>
    <s v="SLS-02"/>
    <s v="TRX-2025-0969"/>
    <d v="2025-07-27T00:00:00"/>
    <x v="1"/>
    <x v="1"/>
    <s v="Surabaya"/>
    <s v="Monitor 24&quot; FHD 144Hz"/>
    <s v="Elektronik"/>
    <n v="1950000"/>
    <n v="1500000"/>
    <n v="3"/>
    <n v="5850000"/>
    <n v="0.05"/>
    <n v="292500"/>
    <n v="5557500"/>
    <n v="4500000"/>
    <n v="1057500"/>
  </r>
  <r>
    <s v="SLS-07"/>
    <s v="TRX-2025-0970"/>
    <d v="2025-08-26T00:00:00"/>
    <x v="7"/>
    <x v="2"/>
    <s v="Denpasar"/>
    <s v="Sepatu Sneakers Pria/Wanita"/>
    <s v="Fashion"/>
    <n v="450000"/>
    <n v="290000"/>
    <n v="7"/>
    <n v="3150000"/>
    <n v="0"/>
    <n v="0"/>
    <n v="3150000"/>
    <n v="2030000"/>
    <n v="1120000"/>
  </r>
  <r>
    <s v="SLS-05"/>
    <s v="TRX-2025-0971"/>
    <d v="2025-03-11T00:00:00"/>
    <x v="3"/>
    <x v="2"/>
    <s v="Semarang"/>
    <s v="Laptop Ultrabook 14&quot;"/>
    <s v="Elektronik"/>
    <n v="8500000"/>
    <n v="7200000"/>
    <n v="5"/>
    <n v="42500000"/>
    <n v="0.2"/>
    <n v="8500000"/>
    <n v="34000000"/>
    <n v="36000000"/>
    <n v="-2000000"/>
  </r>
  <r>
    <s v="SLS-01"/>
    <s v="TRX-2025-0972"/>
    <d v="2025-09-06T00:00:00"/>
    <x v="0"/>
    <x v="0"/>
    <s v="Jakarta"/>
    <s v="Wajan Anti Lengket 28cm"/>
    <s v="Peralatan Rumah"/>
    <n v="210000"/>
    <n v="140000"/>
    <n v="1"/>
    <n v="210000"/>
    <n v="0"/>
    <n v="0"/>
    <n v="210000"/>
    <n v="140000"/>
    <n v="70000"/>
  </r>
  <r>
    <s v="SLS-07"/>
    <s v="TRX-2025-0973"/>
    <d v="2025-02-02T00:00:00"/>
    <x v="7"/>
    <x v="2"/>
    <s v="Denpasar"/>
    <s v="Set Pisau Dapur Stainless"/>
    <s v="Peralatan Rumah"/>
    <n v="165000"/>
    <n v="105000"/>
    <n v="6"/>
    <n v="990000"/>
    <n v="0"/>
    <n v="0"/>
    <n v="990000"/>
    <n v="630000"/>
    <n v="360000"/>
  </r>
  <r>
    <s v="SLS-02"/>
    <s v="TRX-2025-0974"/>
    <d v="2025-05-01T00:00:00"/>
    <x v="1"/>
    <x v="1"/>
    <s v="Surabaya"/>
    <s v="Wireless Mouse Ergonomic"/>
    <s v="Elektronik"/>
    <n v="250000"/>
    <n v="160000"/>
    <n v="9"/>
    <n v="2250000"/>
    <n v="0.2"/>
    <n v="450000"/>
    <n v="1800000"/>
    <n v="1440000"/>
    <n v="360000"/>
  </r>
  <r>
    <s v="SLS-02"/>
    <s v="TRX-2025-0975"/>
    <d v="2025-05-02T00:00:00"/>
    <x v="1"/>
    <x v="1"/>
    <s v="Surabaya"/>
    <s v="Minyak Goreng Sawit 2L"/>
    <s v="F&amp;B"/>
    <n v="36000"/>
    <n v="31000"/>
    <n v="13"/>
    <n v="468000"/>
    <n v="0.2"/>
    <n v="93600"/>
    <n v="374400"/>
    <n v="403000"/>
    <n v="-28600"/>
  </r>
  <r>
    <s v="SLS-03"/>
    <s v="TRX-2025-0976"/>
    <d v="2025-08-05T00:00:00"/>
    <x v="5"/>
    <x v="0"/>
    <s v="Bandung"/>
    <s v="Monitor 24&quot; FHD 144Hz"/>
    <s v="Elektronik"/>
    <n v="1950000"/>
    <n v="1500000"/>
    <n v="2"/>
    <n v="3900000"/>
    <n v="0.05"/>
    <n v="195000"/>
    <n v="3705000"/>
    <n v="3000000"/>
    <n v="705000"/>
  </r>
  <r>
    <s v="SLS-01"/>
    <s v="TRX-2025-0977"/>
    <d v="2025-07-29T00:00:00"/>
    <x v="0"/>
    <x v="0"/>
    <s v="Jakarta"/>
    <s v="Kemeja Batik Katun Premium"/>
    <s v="Fashion"/>
    <n v="320000"/>
    <n v="190000"/>
    <n v="8"/>
    <n v="2560000"/>
    <n v="0.2"/>
    <n v="512000"/>
    <n v="2048000"/>
    <n v="1520000"/>
    <n v="528000"/>
  </r>
  <r>
    <s v="SLS-07"/>
    <s v="TRX-2025-0978"/>
    <d v="2025-06-12T00:00:00"/>
    <x v="7"/>
    <x v="2"/>
    <s v="Denpasar"/>
    <s v="Kopi Arabika Gayo 250g"/>
    <s v="F&amp;B"/>
    <n v="85000"/>
    <n v="55000"/>
    <n v="24"/>
    <n v="2040000"/>
    <n v="0.05"/>
    <n v="102000"/>
    <n v="1938000"/>
    <n v="1320000"/>
    <n v="618000"/>
  </r>
  <r>
    <s v="SLS-06"/>
    <s v="TRX-2025-0979"/>
    <d v="2025-09-01T00:00:00"/>
    <x v="2"/>
    <x v="1"/>
    <s v="Makassar"/>
    <s v="Susu UHT Full Cream 1L"/>
    <s v="F&amp;B"/>
    <n v="22000"/>
    <n v="18000"/>
    <n v="3"/>
    <n v="66000"/>
    <n v="0.2"/>
    <n v="13200"/>
    <n v="52800"/>
    <n v="54000"/>
    <n v="-1200"/>
  </r>
  <r>
    <s v="SLS-04"/>
    <s v="TRX-2025-0980"/>
    <d v="2025-12-20T00:00:00"/>
    <x v="4"/>
    <x v="0"/>
    <s v="Medan"/>
    <s v="Set Pisau Dapur Stainless"/>
    <s v="Peralatan Rumah"/>
    <n v="165000"/>
    <n v="105000"/>
    <n v="5"/>
    <n v="825000"/>
    <n v="0.2"/>
    <n v="165000"/>
    <n v="660000"/>
    <n v="525000"/>
    <n v="135000"/>
  </r>
  <r>
    <s v="SLS-04"/>
    <s v="TRX-2025-0981"/>
    <d v="2025-12-17T00:00:00"/>
    <x v="4"/>
    <x v="0"/>
    <s v="Medan"/>
    <s v="Wireless Mouse Ergonomic"/>
    <s v="Elektronik"/>
    <n v="250000"/>
    <n v="160000"/>
    <n v="8"/>
    <n v="2000000"/>
    <n v="0.15"/>
    <n v="300000"/>
    <n v="1700000"/>
    <n v="1280000"/>
    <n v="420000"/>
  </r>
  <r>
    <s v="SLS-04"/>
    <s v="TRX-2025-0982"/>
    <d v="2025-06-04T00:00:00"/>
    <x v="4"/>
    <x v="0"/>
    <s v="Medan"/>
    <s v="Wireless Mouse Ergonomic"/>
    <s v="Elektronik"/>
    <n v="250000"/>
    <n v="160000"/>
    <n v="5"/>
    <n v="1250000"/>
    <n v="0.05"/>
    <n v="62500"/>
    <n v="1187500"/>
    <n v="800000"/>
    <n v="387500"/>
  </r>
  <r>
    <s v="SLS-01"/>
    <s v="TRX-2025-0983"/>
    <d v="2025-11-26T00:00:00"/>
    <x v="0"/>
    <x v="0"/>
    <s v="Jakarta"/>
    <s v="Jaket Hoodie Casual"/>
    <s v="Fashion"/>
    <n v="350000"/>
    <n v="220000"/>
    <n v="5"/>
    <n v="1750000"/>
    <n v="0"/>
    <n v="0"/>
    <n v="1750000"/>
    <n v="1100000"/>
    <n v="650000"/>
  </r>
  <r>
    <s v="SLS-07"/>
    <s v="TRX-2025-0984"/>
    <d v="2025-06-20T00:00:00"/>
    <x v="7"/>
    <x v="2"/>
    <s v="Denpasar"/>
    <s v="Susu UHT Full Cream 1L"/>
    <s v="F&amp;B"/>
    <n v="22000"/>
    <n v="18000"/>
    <n v="29"/>
    <n v="638000"/>
    <n v="0.05"/>
    <n v="31900"/>
    <n v="606100"/>
    <n v="522000"/>
    <n v="84100"/>
  </r>
  <r>
    <s v="SLS-06"/>
    <s v="TRX-2025-0985"/>
    <d v="2025-06-30T00:00:00"/>
    <x v="2"/>
    <x v="1"/>
    <s v="Makassar"/>
    <s v="Jaket Hoodie Casual"/>
    <s v="Fashion"/>
    <n v="350000"/>
    <n v="220000"/>
    <n v="8"/>
    <n v="2800000"/>
    <n v="0"/>
    <n v="0"/>
    <n v="2800000"/>
    <n v="1760000"/>
    <n v="1040000"/>
  </r>
  <r>
    <s v="SLS-03"/>
    <s v="TRX-2025-0986"/>
    <d v="2025-11-19T00:00:00"/>
    <x v="5"/>
    <x v="0"/>
    <s v="Bandung"/>
    <s v="Sepatu Sneakers Pria/Wanita"/>
    <s v="Fashion"/>
    <n v="450000"/>
    <n v="290000"/>
    <n v="1"/>
    <n v="450000"/>
    <n v="0.15"/>
    <n v="67500"/>
    <n v="382500"/>
    <n v="290000"/>
    <n v="92500"/>
  </r>
  <r>
    <s v="SLS-02"/>
    <s v="TRX-2025-0987"/>
    <d v="2025-06-10T00:00:00"/>
    <x v="1"/>
    <x v="1"/>
    <s v="Surabaya"/>
    <s v="Minyak Goreng Sawit 2L"/>
    <s v="F&amp;B"/>
    <n v="36000"/>
    <n v="31000"/>
    <n v="8"/>
    <n v="288000"/>
    <n v="0.05"/>
    <n v="14400"/>
    <n v="273600"/>
    <n v="248000"/>
    <n v="25600"/>
  </r>
  <r>
    <s v="SLS-08"/>
    <s v="TRX-2025-0988"/>
    <d v="2025-06-13T00:00:00"/>
    <x v="6"/>
    <x v="2"/>
    <s v="Yogyakarta"/>
    <s v="Sepatu Sneakers Pria/Wanita"/>
    <s v="Fashion"/>
    <n v="450000"/>
    <n v="290000"/>
    <n v="12"/>
    <n v="5400000"/>
    <n v="0.05"/>
    <n v="270000"/>
    <n v="5130000"/>
    <n v="3480000"/>
    <n v="1650000"/>
  </r>
  <r>
    <s v="SLS-02"/>
    <s v="TRX-2025-0989"/>
    <d v="2025-05-25T00:00:00"/>
    <x v="1"/>
    <x v="1"/>
    <s v="Surabaya"/>
    <s v="Monitor 24&quot; FHD 144Hz"/>
    <s v="Elektronik"/>
    <n v="1950000"/>
    <n v="1500000"/>
    <n v="7"/>
    <n v="13650000"/>
    <n v="0.1"/>
    <n v="1365000"/>
    <n v="12285000"/>
    <n v="10500000"/>
    <n v="1785000"/>
  </r>
  <r>
    <s v="SLS-01"/>
    <s v="TRX-2025-0990"/>
    <d v="2025-10-20T00:00:00"/>
    <x v="0"/>
    <x v="0"/>
    <s v="Jakarta"/>
    <s v="Monitor 24&quot; FHD 144Hz"/>
    <s v="Elektronik"/>
    <n v="1950000"/>
    <n v="1500000"/>
    <n v="1"/>
    <n v="1950000"/>
    <n v="0.2"/>
    <n v="390000"/>
    <n v="1560000"/>
    <n v="1500000"/>
    <n v="60000"/>
  </r>
  <r>
    <s v="SLS-03"/>
    <s v="TRX-2025-0991"/>
    <d v="2025-04-12T00:00:00"/>
    <x v="5"/>
    <x v="0"/>
    <s v="Bandung"/>
    <s v="Kemeja Batik Katun Premium"/>
    <s v="Fashion"/>
    <n v="320000"/>
    <n v="190000"/>
    <n v="1"/>
    <n v="320000"/>
    <n v="0.15"/>
    <n v="48000"/>
    <n v="272000"/>
    <n v="190000"/>
    <n v="82000"/>
  </r>
  <r>
    <s v="SLS-06"/>
    <s v="TRX-2025-0992"/>
    <d v="2025-03-18T00:00:00"/>
    <x v="2"/>
    <x v="1"/>
    <s v="Makassar"/>
    <s v="Wireless Mouse Ergonomic"/>
    <s v="Elektronik"/>
    <n v="250000"/>
    <n v="160000"/>
    <n v="3"/>
    <n v="750000"/>
    <n v="0.2"/>
    <n v="150000"/>
    <n v="600000"/>
    <n v="480000"/>
    <n v="120000"/>
  </r>
  <r>
    <s v="SLS-08"/>
    <s v="TRX-2025-0993"/>
    <d v="2025-08-21T00:00:00"/>
    <x v="6"/>
    <x v="2"/>
    <s v="Yogyakarta"/>
    <s v="Blender Multifungsi 2-in-1"/>
    <s v="Peralatan Rumah"/>
    <n v="340000"/>
    <n v="240000"/>
    <n v="2"/>
    <n v="680000"/>
    <n v="0.05"/>
    <n v="34000"/>
    <n v="646000"/>
    <n v="480000"/>
    <n v="166000"/>
  </r>
  <r>
    <s v="SLS-08"/>
    <s v="TRX-2025-0994"/>
    <d v="2025-05-28T00:00:00"/>
    <x v="6"/>
    <x v="2"/>
    <s v="Yogyakarta"/>
    <s v="Susu UHT Full Cream 1L"/>
    <s v="F&amp;B"/>
    <n v="22000"/>
    <n v="18000"/>
    <n v="7"/>
    <n v="154000"/>
    <n v="0.15"/>
    <n v="23100"/>
    <n v="130900"/>
    <n v="126000"/>
    <n v="4900"/>
  </r>
  <r>
    <s v="SLS-04"/>
    <s v="TRX-2025-0995"/>
    <d v="2025-05-25T00:00:00"/>
    <x v="4"/>
    <x v="0"/>
    <s v="Medan"/>
    <s v="Susu UHT Full Cream 1L"/>
    <s v="F&amp;B"/>
    <n v="22000"/>
    <n v="18000"/>
    <n v="8"/>
    <n v="176000"/>
    <n v="0.15"/>
    <n v="26400"/>
    <n v="149600"/>
    <n v="144000"/>
    <n v="5600"/>
  </r>
  <r>
    <s v="SLS-08"/>
    <s v="TRX-2025-0996"/>
    <d v="2025-05-15T00:00:00"/>
    <x v="6"/>
    <x v="2"/>
    <s v="Yogyakarta"/>
    <s v="Monitor 24&quot; FHD 144Hz"/>
    <s v="Elektronik"/>
    <n v="1950000"/>
    <n v="1500000"/>
    <n v="4"/>
    <n v="7800000"/>
    <n v="0.1"/>
    <n v="780000"/>
    <n v="7020000"/>
    <n v="6000000"/>
    <n v="1020000"/>
  </r>
  <r>
    <s v="SLS-06"/>
    <s v="TRX-2025-0997"/>
    <d v="2025-08-29T00:00:00"/>
    <x v="2"/>
    <x v="1"/>
    <s v="Makassar"/>
    <s v="Mechanical Keyboard RGB"/>
    <s v="Elektronik"/>
    <n v="750000"/>
    <n v="520000"/>
    <n v="12"/>
    <n v="9000000"/>
    <n v="0.15"/>
    <n v="1350000"/>
    <n v="7650000"/>
    <n v="6240000"/>
    <n v="1410000"/>
  </r>
  <r>
    <s v="SLS-05"/>
    <s v="TRX-2025-0998"/>
    <d v="2025-12-29T00:00:00"/>
    <x v="3"/>
    <x v="2"/>
    <s v="Semarang"/>
    <s v="Jaket Hoodie Casual"/>
    <s v="Fashion"/>
    <n v="350000"/>
    <n v="220000"/>
    <n v="2"/>
    <n v="700000"/>
    <n v="0"/>
    <n v="0"/>
    <n v="700000"/>
    <n v="440000"/>
    <n v="260000"/>
  </r>
  <r>
    <s v="SLS-06"/>
    <s v="TRX-2025-0999"/>
    <d v="2025-05-01T00:00:00"/>
    <x v="2"/>
    <x v="1"/>
    <s v="Makassar"/>
    <s v="Sepatu Sneakers Pria/Wanita"/>
    <s v="Fashion"/>
    <n v="450000"/>
    <n v="290000"/>
    <n v="10"/>
    <n v="4500000"/>
    <n v="0.2"/>
    <n v="900000"/>
    <n v="3600000"/>
    <n v="2900000"/>
    <n v="700000"/>
  </r>
  <r>
    <s v="SLS-07"/>
    <s v="TRX-2025-1000"/>
    <d v="2025-09-16T00:00:00"/>
    <x v="7"/>
    <x v="2"/>
    <s v="Denpasar"/>
    <s v="Minyak Goreng Sawit 2L"/>
    <s v="F&amp;B"/>
    <n v="36000"/>
    <n v="31000"/>
    <n v="15"/>
    <n v="540000"/>
    <n v="0.1"/>
    <n v="54000"/>
    <n v="486000"/>
    <n v="465000"/>
    <n v="2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E7F396-803F-4A7A-B159-D344C45E092D}" name="PT_Sales_Performance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15" firstHeaderRow="0" firstDataRow="1" firstDataCol="2"/>
  <pivotFields count="18">
    <pivotField compact="0" outline="0" showAll="0"/>
    <pivotField compact="0" outline="0" showAll="0"/>
    <pivotField compact="0" numFmtId="165" outline="0" showAll="0"/>
    <pivotField axis="axisRow" compact="0" outline="0" showAll="0">
      <items count="9">
        <item x="0"/>
        <item x="1"/>
        <item x="5"/>
        <item x="4"/>
        <item x="3"/>
        <item x="2"/>
        <item x="7"/>
        <item x="6"/>
        <item t="default"/>
      </items>
    </pivotField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numFmtId="168" outline="0" showAll="0"/>
    <pivotField compact="0" numFmtId="168" outline="0" showAll="0"/>
    <pivotField compact="0" outline="0" showAll="0"/>
    <pivotField compact="0" numFmtId="168" outline="0" showAll="0"/>
    <pivotField dataField="1" compact="0" numFmtId="166" outline="0" showAll="0"/>
    <pivotField compact="0" numFmtId="168" outline="0" showAll="0"/>
    <pivotField dataField="1" compact="0" numFmtId="168" outline="0" showAll="0"/>
    <pivotField compact="0" numFmtId="168" outline="0" showAll="0"/>
    <pivotField dataField="1" compact="0" numFmtId="168" outline="0" showAll="0"/>
    <pivotField dataField="1" compact="0" outline="0" dragToRow="0" dragToCol="0" dragToPage="0" showAll="0" defaultSubtotal="0"/>
  </pivotFields>
  <rowFields count="2">
    <field x="4"/>
    <field x="3"/>
  </rowFields>
  <rowItems count="12">
    <i>
      <x/>
      <x/>
    </i>
    <i r="1">
      <x v="2"/>
    </i>
    <i r="1">
      <x v="3"/>
    </i>
    <i t="default">
      <x/>
    </i>
    <i>
      <x v="1"/>
      <x v="4"/>
    </i>
    <i r="1">
      <x v="6"/>
    </i>
    <i r="1">
      <x v="7"/>
    </i>
    <i t="default">
      <x v="1"/>
    </i>
    <i>
      <x v="2"/>
      <x v="1"/>
    </i>
    <i r="1">
      <x v="5"/>
    </i>
    <i t="default"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Net_Revenue" fld="14" baseField="0" baseItem="0" numFmtId="168"/>
    <dataField name="Sum of Discount_Pct" fld="12" baseField="0" baseItem="0" numFmtId="166"/>
    <dataField name="Sum of Total_Profit" fld="16" baseField="0" baseItem="0" numFmtId="168"/>
    <dataField name="Sum of % Profit Margin" fld="17" baseField="0" baseItem="0" numFmtId="9"/>
  </dataFields>
  <formats count="2">
    <format dxfId="1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9"/>
  <sheetViews>
    <sheetView topLeftCell="A19" workbookViewId="0">
      <selection activeCell="A28" sqref="A28"/>
    </sheetView>
  </sheetViews>
  <sheetFormatPr defaultRowHeight="15" x14ac:dyDescent="0.25"/>
  <cols>
    <col min="1" max="1" width="110" customWidth="1"/>
  </cols>
  <sheetData>
    <row r="1" spans="1:1" ht="21" x14ac:dyDescent="0.35">
      <c r="A1" s="1" t="s">
        <v>0</v>
      </c>
    </row>
    <row r="2" spans="1:1" x14ac:dyDescent="0.25">
      <c r="A2" s="2" t="s">
        <v>1</v>
      </c>
    </row>
    <row r="3" spans="1:1" x14ac:dyDescent="0.25">
      <c r="A3" s="2"/>
    </row>
    <row r="4" spans="1:1" ht="15.75" x14ac:dyDescent="0.25">
      <c r="A4" s="3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/>
    </row>
    <row r="10" spans="1:1" ht="15.75" x14ac:dyDescent="0.25">
      <c r="A10" s="3" t="s">
        <v>7</v>
      </c>
    </row>
    <row r="11" spans="1:1" x14ac:dyDescent="0.25">
      <c r="A11" s="2"/>
    </row>
    <row r="12" spans="1:1" x14ac:dyDescent="0.25">
      <c r="A12" s="4" t="s">
        <v>8</v>
      </c>
    </row>
    <row r="13" spans="1:1" x14ac:dyDescent="0.25">
      <c r="A13" s="2" t="s">
        <v>9</v>
      </c>
    </row>
    <row r="14" spans="1:1" x14ac:dyDescent="0.25">
      <c r="A14" s="2" t="s">
        <v>10</v>
      </c>
    </row>
    <row r="15" spans="1:1" x14ac:dyDescent="0.25">
      <c r="A15" s="2" t="s">
        <v>11</v>
      </c>
    </row>
    <row r="16" spans="1:1" x14ac:dyDescent="0.25">
      <c r="A16" s="2" t="s">
        <v>12</v>
      </c>
    </row>
    <row r="17" spans="1:1" x14ac:dyDescent="0.25">
      <c r="A17" s="2" t="s">
        <v>13</v>
      </c>
    </row>
    <row r="18" spans="1:1" x14ac:dyDescent="0.25">
      <c r="A18" s="2" t="s">
        <v>14</v>
      </c>
    </row>
    <row r="19" spans="1:1" x14ac:dyDescent="0.25">
      <c r="A19" s="2" t="s">
        <v>15</v>
      </c>
    </row>
    <row r="20" spans="1:1" x14ac:dyDescent="0.25">
      <c r="A20" s="2" t="s">
        <v>16</v>
      </c>
    </row>
    <row r="21" spans="1:1" x14ac:dyDescent="0.25">
      <c r="A21" s="2" t="s">
        <v>17</v>
      </c>
    </row>
    <row r="22" spans="1:1" x14ac:dyDescent="0.25">
      <c r="A22" s="2" t="s">
        <v>18</v>
      </c>
    </row>
    <row r="23" spans="1:1" x14ac:dyDescent="0.25">
      <c r="A23" s="2"/>
    </row>
    <row r="24" spans="1:1" x14ac:dyDescent="0.25">
      <c r="A24" s="4" t="s">
        <v>19</v>
      </c>
    </row>
    <row r="25" spans="1:1" x14ac:dyDescent="0.25">
      <c r="A25" s="2" t="s">
        <v>20</v>
      </c>
    </row>
    <row r="26" spans="1:1" x14ac:dyDescent="0.25">
      <c r="A26" s="2" t="s">
        <v>21</v>
      </c>
    </row>
    <row r="27" spans="1:1" x14ac:dyDescent="0.25">
      <c r="A27" s="2" t="s">
        <v>22</v>
      </c>
    </row>
    <row r="28" spans="1:1" x14ac:dyDescent="0.25">
      <c r="A28" s="2" t="s">
        <v>23</v>
      </c>
    </row>
    <row r="29" spans="1:1" x14ac:dyDescent="0.25">
      <c r="A29" s="2" t="s">
        <v>24</v>
      </c>
    </row>
    <row r="30" spans="1:1" x14ac:dyDescent="0.25">
      <c r="A30" s="2"/>
    </row>
    <row r="31" spans="1:1" x14ac:dyDescent="0.25">
      <c r="A31" s="4" t="s">
        <v>25</v>
      </c>
    </row>
    <row r="32" spans="1:1" x14ac:dyDescent="0.25">
      <c r="A32" s="2" t="s">
        <v>26</v>
      </c>
    </row>
    <row r="33" spans="1:1" x14ac:dyDescent="0.25">
      <c r="A33" s="2" t="s">
        <v>27</v>
      </c>
    </row>
    <row r="34" spans="1:1" x14ac:dyDescent="0.25">
      <c r="A34" s="2" t="s">
        <v>28</v>
      </c>
    </row>
    <row r="35" spans="1:1" x14ac:dyDescent="0.25">
      <c r="A35" s="2" t="s">
        <v>29</v>
      </c>
    </row>
    <row r="36" spans="1:1" x14ac:dyDescent="0.25">
      <c r="A36" s="2" t="s">
        <v>30</v>
      </c>
    </row>
    <row r="37" spans="1:1" x14ac:dyDescent="0.25">
      <c r="A37" s="2" t="s">
        <v>31</v>
      </c>
    </row>
    <row r="38" spans="1:1" x14ac:dyDescent="0.25">
      <c r="A38" s="2" t="s">
        <v>32</v>
      </c>
    </row>
    <row r="39" spans="1:1" x14ac:dyDescent="0.25">
      <c r="A39" s="2" t="s">
        <v>33</v>
      </c>
    </row>
    <row r="40" spans="1:1" x14ac:dyDescent="0.25">
      <c r="A40" s="2" t="s">
        <v>34</v>
      </c>
    </row>
    <row r="41" spans="1:1" x14ac:dyDescent="0.25">
      <c r="A41" s="2" t="s">
        <v>35</v>
      </c>
    </row>
    <row r="42" spans="1:1" x14ac:dyDescent="0.25">
      <c r="A42" s="2" t="s">
        <v>36</v>
      </c>
    </row>
    <row r="43" spans="1:1" x14ac:dyDescent="0.25">
      <c r="A43" s="2" t="s">
        <v>37</v>
      </c>
    </row>
    <row r="44" spans="1:1" x14ac:dyDescent="0.25">
      <c r="A44" s="2"/>
    </row>
    <row r="45" spans="1:1" x14ac:dyDescent="0.25">
      <c r="A45" s="4" t="s">
        <v>38</v>
      </c>
    </row>
    <row r="46" spans="1:1" x14ac:dyDescent="0.25">
      <c r="A46" s="2" t="s">
        <v>39</v>
      </c>
    </row>
    <row r="47" spans="1:1" x14ac:dyDescent="0.25">
      <c r="A47" s="2" t="s">
        <v>40</v>
      </c>
    </row>
    <row r="48" spans="1:1" x14ac:dyDescent="0.25">
      <c r="A48" s="2" t="s">
        <v>41</v>
      </c>
    </row>
    <row r="49" spans="1:1" x14ac:dyDescent="0.25">
      <c r="A49" s="2" t="s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1"/>
  <sheetViews>
    <sheetView topLeftCell="A980" workbookViewId="0"/>
  </sheetViews>
  <sheetFormatPr defaultRowHeight="15" x14ac:dyDescent="0.25"/>
  <cols>
    <col min="1" max="1" width="17" customWidth="1"/>
    <col min="2" max="2" width="22" customWidth="1"/>
    <col min="3" max="3" width="12" customWidth="1"/>
    <col min="4" max="4" width="13" customWidth="1"/>
    <col min="5" max="5" width="12" customWidth="1"/>
    <col min="6" max="6" width="15" customWidth="1"/>
    <col min="7" max="7" width="21" customWidth="1"/>
    <col min="8" max="8" width="16" customWidth="1"/>
    <col min="9" max="9" width="17" customWidth="1"/>
  </cols>
  <sheetData>
    <row r="1" spans="1:9" x14ac:dyDescent="0.25">
      <c r="A1" s="5" t="s">
        <v>43</v>
      </c>
      <c r="B1" s="5" t="s">
        <v>44</v>
      </c>
      <c r="C1" s="5" t="s">
        <v>45</v>
      </c>
      <c r="D1" s="5" t="s">
        <v>46</v>
      </c>
      <c r="E1" s="5" t="s">
        <v>47</v>
      </c>
      <c r="F1" s="5" t="s">
        <v>48</v>
      </c>
      <c r="G1" s="5" t="s">
        <v>49</v>
      </c>
      <c r="H1" s="5" t="s">
        <v>50</v>
      </c>
      <c r="I1" s="5" t="s">
        <v>51</v>
      </c>
    </row>
    <row r="2" spans="1:9" x14ac:dyDescent="0.25">
      <c r="A2" s="6" t="s">
        <v>52</v>
      </c>
      <c r="B2" s="7">
        <v>45985</v>
      </c>
      <c r="C2" s="6" t="s">
        <v>53</v>
      </c>
      <c r="D2" s="6" t="s">
        <v>54</v>
      </c>
      <c r="E2" s="8">
        <v>12</v>
      </c>
      <c r="F2" s="9">
        <v>0.1</v>
      </c>
      <c r="G2" s="10" t="s">
        <v>55</v>
      </c>
      <c r="H2" s="10" t="s">
        <v>56</v>
      </c>
      <c r="I2" s="10" t="s">
        <v>57</v>
      </c>
    </row>
    <row r="3" spans="1:9" x14ac:dyDescent="0.25">
      <c r="A3" s="11" t="s">
        <v>58</v>
      </c>
      <c r="B3" s="12">
        <v>45710</v>
      </c>
      <c r="C3" s="11" t="s">
        <v>59</v>
      </c>
      <c r="D3" s="11" t="s">
        <v>60</v>
      </c>
      <c r="E3" s="13">
        <v>16</v>
      </c>
      <c r="F3" s="14">
        <v>0</v>
      </c>
      <c r="G3" s="15" t="s">
        <v>61</v>
      </c>
      <c r="H3" s="15" t="s">
        <v>56</v>
      </c>
      <c r="I3" s="15" t="s">
        <v>57</v>
      </c>
    </row>
    <row r="4" spans="1:9" x14ac:dyDescent="0.25">
      <c r="A4" s="6" t="s">
        <v>62</v>
      </c>
      <c r="B4" s="7">
        <v>45777</v>
      </c>
      <c r="C4" s="6" t="s">
        <v>53</v>
      </c>
      <c r="D4" s="6" t="s">
        <v>63</v>
      </c>
      <c r="E4" s="8">
        <v>9</v>
      </c>
      <c r="F4" s="9">
        <v>0.2</v>
      </c>
      <c r="G4" s="10" t="s">
        <v>64</v>
      </c>
      <c r="H4" s="10" t="s">
        <v>56</v>
      </c>
      <c r="I4" s="10" t="s">
        <v>65</v>
      </c>
    </row>
    <row r="5" spans="1:9" x14ac:dyDescent="0.25">
      <c r="A5" s="11" t="s">
        <v>66</v>
      </c>
      <c r="B5" s="12">
        <v>45959</v>
      </c>
      <c r="C5" s="11" t="s">
        <v>53</v>
      </c>
      <c r="D5" s="11" t="s">
        <v>67</v>
      </c>
      <c r="E5" s="13">
        <v>3</v>
      </c>
      <c r="F5" s="14">
        <v>0.15</v>
      </c>
      <c r="G5" s="15" t="s">
        <v>68</v>
      </c>
      <c r="H5" s="15" t="s">
        <v>69</v>
      </c>
      <c r="I5" s="15" t="s">
        <v>57</v>
      </c>
    </row>
    <row r="6" spans="1:9" x14ac:dyDescent="0.25">
      <c r="A6" s="6" t="s">
        <v>70</v>
      </c>
      <c r="B6" s="7">
        <v>45768</v>
      </c>
      <c r="C6" s="6" t="s">
        <v>71</v>
      </c>
      <c r="D6" s="6" t="s">
        <v>72</v>
      </c>
      <c r="E6" s="8">
        <v>2</v>
      </c>
      <c r="F6" s="9">
        <v>0</v>
      </c>
      <c r="G6" s="10" t="s">
        <v>64</v>
      </c>
      <c r="H6" s="10" t="s">
        <v>56</v>
      </c>
      <c r="I6" s="10" t="s">
        <v>73</v>
      </c>
    </row>
    <row r="7" spans="1:9" x14ac:dyDescent="0.25">
      <c r="A7" s="11" t="s">
        <v>74</v>
      </c>
      <c r="B7" s="12">
        <v>45834</v>
      </c>
      <c r="C7" s="11" t="s">
        <v>75</v>
      </c>
      <c r="D7" s="11" t="s">
        <v>76</v>
      </c>
      <c r="E7" s="13">
        <v>26</v>
      </c>
      <c r="F7" s="14">
        <v>0.15</v>
      </c>
      <c r="G7" s="15" t="s">
        <v>61</v>
      </c>
      <c r="H7" s="15" t="s">
        <v>69</v>
      </c>
      <c r="I7" s="15" t="s">
        <v>77</v>
      </c>
    </row>
    <row r="8" spans="1:9" x14ac:dyDescent="0.25">
      <c r="A8" s="6" t="s">
        <v>78</v>
      </c>
      <c r="B8" s="7">
        <v>45940</v>
      </c>
      <c r="C8" s="6" t="s">
        <v>71</v>
      </c>
      <c r="D8" s="6" t="s">
        <v>67</v>
      </c>
      <c r="E8" s="8">
        <v>10</v>
      </c>
      <c r="F8" s="9">
        <v>0.05</v>
      </c>
      <c r="G8" s="10" t="s">
        <v>61</v>
      </c>
      <c r="H8" s="10" t="s">
        <v>56</v>
      </c>
      <c r="I8" s="10" t="s">
        <v>57</v>
      </c>
    </row>
    <row r="9" spans="1:9" x14ac:dyDescent="0.25">
      <c r="A9" s="11" t="s">
        <v>79</v>
      </c>
      <c r="B9" s="12">
        <v>45806</v>
      </c>
      <c r="C9" s="11" t="s">
        <v>80</v>
      </c>
      <c r="D9" s="11" t="s">
        <v>54</v>
      </c>
      <c r="E9" s="13">
        <v>2</v>
      </c>
      <c r="F9" s="14">
        <v>0.15</v>
      </c>
      <c r="G9" s="15" t="s">
        <v>68</v>
      </c>
      <c r="H9" s="15" t="s">
        <v>69</v>
      </c>
      <c r="I9" s="15" t="s">
        <v>73</v>
      </c>
    </row>
    <row r="10" spans="1:9" x14ac:dyDescent="0.25">
      <c r="A10" s="6" t="s">
        <v>81</v>
      </c>
      <c r="B10" s="7">
        <v>45741</v>
      </c>
      <c r="C10" s="6" t="s">
        <v>71</v>
      </c>
      <c r="D10" s="6" t="s">
        <v>82</v>
      </c>
      <c r="E10" s="8">
        <v>4</v>
      </c>
      <c r="F10" s="9">
        <v>0.1</v>
      </c>
      <c r="G10" s="10" t="s">
        <v>61</v>
      </c>
      <c r="H10" s="10" t="s">
        <v>83</v>
      </c>
      <c r="I10" s="10" t="s">
        <v>57</v>
      </c>
    </row>
    <row r="11" spans="1:9" x14ac:dyDescent="0.25">
      <c r="A11" s="11" t="s">
        <v>84</v>
      </c>
      <c r="B11" s="12">
        <v>45931</v>
      </c>
      <c r="C11" s="11" t="s">
        <v>80</v>
      </c>
      <c r="D11" s="11" t="s">
        <v>85</v>
      </c>
      <c r="E11" s="13">
        <v>17</v>
      </c>
      <c r="F11" s="14">
        <v>0.15</v>
      </c>
      <c r="G11" s="15" t="s">
        <v>68</v>
      </c>
      <c r="H11" s="15" t="s">
        <v>83</v>
      </c>
      <c r="I11" s="15" t="s">
        <v>57</v>
      </c>
    </row>
    <row r="12" spans="1:9" x14ac:dyDescent="0.25">
      <c r="A12" s="6" t="s">
        <v>86</v>
      </c>
      <c r="B12" s="7">
        <v>46008</v>
      </c>
      <c r="C12" s="6" t="s">
        <v>53</v>
      </c>
      <c r="D12" s="6" t="s">
        <v>82</v>
      </c>
      <c r="E12" s="8">
        <v>4</v>
      </c>
      <c r="F12" s="9">
        <v>0</v>
      </c>
      <c r="G12" s="10" t="s">
        <v>68</v>
      </c>
      <c r="H12" s="10" t="s">
        <v>69</v>
      </c>
      <c r="I12" s="10" t="s">
        <v>73</v>
      </c>
    </row>
    <row r="13" spans="1:9" x14ac:dyDescent="0.25">
      <c r="A13" s="11" t="s">
        <v>87</v>
      </c>
      <c r="B13" s="12">
        <v>45691</v>
      </c>
      <c r="C13" s="11" t="s">
        <v>71</v>
      </c>
      <c r="D13" s="11" t="s">
        <v>88</v>
      </c>
      <c r="E13" s="13">
        <v>4</v>
      </c>
      <c r="F13" s="14">
        <v>0.15</v>
      </c>
      <c r="G13" s="15" t="s">
        <v>64</v>
      </c>
      <c r="H13" s="15" t="s">
        <v>83</v>
      </c>
      <c r="I13" s="15" t="s">
        <v>65</v>
      </c>
    </row>
    <row r="14" spans="1:9" x14ac:dyDescent="0.25">
      <c r="A14" s="6" t="s">
        <v>89</v>
      </c>
      <c r="B14" s="7">
        <v>45731</v>
      </c>
      <c r="C14" s="6" t="s">
        <v>90</v>
      </c>
      <c r="D14" s="6" t="s">
        <v>67</v>
      </c>
      <c r="E14" s="8">
        <v>4</v>
      </c>
      <c r="F14" s="9">
        <v>0.2</v>
      </c>
      <c r="G14" s="10" t="s">
        <v>68</v>
      </c>
      <c r="H14" s="10" t="s">
        <v>83</v>
      </c>
      <c r="I14" s="10" t="s">
        <v>65</v>
      </c>
    </row>
    <row r="15" spans="1:9" x14ac:dyDescent="0.25">
      <c r="A15" s="11" t="s">
        <v>91</v>
      </c>
      <c r="B15" s="12">
        <v>45956</v>
      </c>
      <c r="C15" s="11" t="s">
        <v>71</v>
      </c>
      <c r="D15" s="11" t="s">
        <v>92</v>
      </c>
      <c r="E15" s="13">
        <v>4</v>
      </c>
      <c r="F15" s="14">
        <v>0.05</v>
      </c>
      <c r="G15" s="15" t="s">
        <v>64</v>
      </c>
      <c r="H15" s="15" t="s">
        <v>56</v>
      </c>
      <c r="I15" s="15" t="s">
        <v>77</v>
      </c>
    </row>
    <row r="16" spans="1:9" x14ac:dyDescent="0.25">
      <c r="A16" s="6" t="s">
        <v>93</v>
      </c>
      <c r="B16" s="7">
        <v>45714</v>
      </c>
      <c r="C16" s="6" t="s">
        <v>90</v>
      </c>
      <c r="D16" s="6" t="s">
        <v>94</v>
      </c>
      <c r="E16" s="8">
        <v>11</v>
      </c>
      <c r="F16" s="9">
        <v>0.15</v>
      </c>
      <c r="G16" s="10" t="s">
        <v>61</v>
      </c>
      <c r="H16" s="10" t="s">
        <v>69</v>
      </c>
      <c r="I16" s="10" t="s">
        <v>65</v>
      </c>
    </row>
    <row r="17" spans="1:9" x14ac:dyDescent="0.25">
      <c r="A17" s="11" t="s">
        <v>95</v>
      </c>
      <c r="B17" s="12">
        <v>45963</v>
      </c>
      <c r="C17" s="11" t="s">
        <v>75</v>
      </c>
      <c r="D17" s="11" t="s">
        <v>96</v>
      </c>
      <c r="E17" s="13">
        <v>9</v>
      </c>
      <c r="F17" s="14">
        <v>0</v>
      </c>
      <c r="G17" s="15" t="s">
        <v>61</v>
      </c>
      <c r="H17" s="15" t="s">
        <v>83</v>
      </c>
      <c r="I17" s="15" t="s">
        <v>73</v>
      </c>
    </row>
    <row r="18" spans="1:9" x14ac:dyDescent="0.25">
      <c r="A18" s="6" t="s">
        <v>97</v>
      </c>
      <c r="B18" s="7">
        <v>45986</v>
      </c>
      <c r="C18" s="6" t="s">
        <v>59</v>
      </c>
      <c r="D18" s="6" t="s">
        <v>82</v>
      </c>
      <c r="E18" s="8">
        <v>5</v>
      </c>
      <c r="F18" s="9">
        <v>0.15</v>
      </c>
      <c r="G18" s="10" t="s">
        <v>55</v>
      </c>
      <c r="H18" s="10" t="s">
        <v>69</v>
      </c>
      <c r="I18" s="10" t="s">
        <v>77</v>
      </c>
    </row>
    <row r="19" spans="1:9" x14ac:dyDescent="0.25">
      <c r="A19" s="11" t="s">
        <v>98</v>
      </c>
      <c r="B19" s="12">
        <v>45792</v>
      </c>
      <c r="C19" s="11" t="s">
        <v>90</v>
      </c>
      <c r="D19" s="11" t="s">
        <v>63</v>
      </c>
      <c r="E19" s="13">
        <v>6</v>
      </c>
      <c r="F19" s="14">
        <v>0.1</v>
      </c>
      <c r="G19" s="15" t="s">
        <v>55</v>
      </c>
      <c r="H19" s="15" t="s">
        <v>56</v>
      </c>
      <c r="I19" s="15" t="s">
        <v>73</v>
      </c>
    </row>
    <row r="20" spans="1:9" x14ac:dyDescent="0.25">
      <c r="A20" s="6" t="s">
        <v>99</v>
      </c>
      <c r="B20" s="7">
        <v>45740</v>
      </c>
      <c r="C20" s="6" t="s">
        <v>53</v>
      </c>
      <c r="D20" s="6" t="s">
        <v>63</v>
      </c>
      <c r="E20" s="8">
        <v>13</v>
      </c>
      <c r="F20" s="9">
        <v>0.15</v>
      </c>
      <c r="G20" s="10" t="s">
        <v>61</v>
      </c>
      <c r="H20" s="10" t="s">
        <v>56</v>
      </c>
      <c r="I20" s="10" t="s">
        <v>73</v>
      </c>
    </row>
    <row r="21" spans="1:9" x14ac:dyDescent="0.25">
      <c r="A21" s="11" t="s">
        <v>100</v>
      </c>
      <c r="B21" s="12">
        <v>45815</v>
      </c>
      <c r="C21" s="11" t="s">
        <v>53</v>
      </c>
      <c r="D21" s="11" t="s">
        <v>88</v>
      </c>
      <c r="E21" s="13">
        <v>4</v>
      </c>
      <c r="F21" s="14">
        <v>0.2</v>
      </c>
      <c r="G21" s="15" t="s">
        <v>61</v>
      </c>
      <c r="H21" s="15" t="s">
        <v>56</v>
      </c>
      <c r="I21" s="15" t="s">
        <v>65</v>
      </c>
    </row>
    <row r="22" spans="1:9" x14ac:dyDescent="0.25">
      <c r="A22" s="6" t="s">
        <v>101</v>
      </c>
      <c r="B22" s="7">
        <v>45693</v>
      </c>
      <c r="C22" s="6" t="s">
        <v>90</v>
      </c>
      <c r="D22" s="6" t="s">
        <v>72</v>
      </c>
      <c r="E22" s="8">
        <v>3</v>
      </c>
      <c r="F22" s="9">
        <v>0.15</v>
      </c>
      <c r="G22" s="10" t="s">
        <v>55</v>
      </c>
      <c r="H22" s="10" t="s">
        <v>69</v>
      </c>
      <c r="I22" s="10" t="s">
        <v>65</v>
      </c>
    </row>
    <row r="23" spans="1:9" x14ac:dyDescent="0.25">
      <c r="A23" s="11" t="s">
        <v>102</v>
      </c>
      <c r="B23" s="12">
        <v>45766</v>
      </c>
      <c r="C23" s="11" t="s">
        <v>80</v>
      </c>
      <c r="D23" s="11" t="s">
        <v>103</v>
      </c>
      <c r="E23" s="13">
        <v>12</v>
      </c>
      <c r="F23" s="14">
        <v>0.1</v>
      </c>
      <c r="G23" s="15" t="s">
        <v>64</v>
      </c>
      <c r="H23" s="15" t="s">
        <v>83</v>
      </c>
      <c r="I23" s="15" t="s">
        <v>73</v>
      </c>
    </row>
    <row r="24" spans="1:9" x14ac:dyDescent="0.25">
      <c r="A24" s="6" t="s">
        <v>104</v>
      </c>
      <c r="B24" s="7">
        <v>45882</v>
      </c>
      <c r="C24" s="6" t="s">
        <v>105</v>
      </c>
      <c r="D24" s="6" t="s">
        <v>103</v>
      </c>
      <c r="E24" s="8">
        <v>2</v>
      </c>
      <c r="F24" s="9">
        <v>0.05</v>
      </c>
      <c r="G24" s="10" t="s">
        <v>55</v>
      </c>
      <c r="H24" s="10" t="s">
        <v>56</v>
      </c>
      <c r="I24" s="10" t="s">
        <v>73</v>
      </c>
    </row>
    <row r="25" spans="1:9" x14ac:dyDescent="0.25">
      <c r="A25" s="11" t="s">
        <v>106</v>
      </c>
      <c r="B25" s="12">
        <v>45668</v>
      </c>
      <c r="C25" s="11" t="s">
        <v>80</v>
      </c>
      <c r="D25" s="11" t="s">
        <v>76</v>
      </c>
      <c r="E25" s="13">
        <v>10</v>
      </c>
      <c r="F25" s="14">
        <v>0</v>
      </c>
      <c r="G25" s="15" t="s">
        <v>61</v>
      </c>
      <c r="H25" s="15" t="s">
        <v>83</v>
      </c>
      <c r="I25" s="15" t="s">
        <v>77</v>
      </c>
    </row>
    <row r="26" spans="1:9" x14ac:dyDescent="0.25">
      <c r="A26" s="6" t="s">
        <v>107</v>
      </c>
      <c r="B26" s="7">
        <v>45775</v>
      </c>
      <c r="C26" s="6" t="s">
        <v>53</v>
      </c>
      <c r="D26" s="6" t="s">
        <v>54</v>
      </c>
      <c r="E26" s="8">
        <v>6</v>
      </c>
      <c r="F26" s="9">
        <v>0</v>
      </c>
      <c r="G26" s="10" t="s">
        <v>55</v>
      </c>
      <c r="H26" s="10" t="s">
        <v>69</v>
      </c>
      <c r="I26" s="10" t="s">
        <v>65</v>
      </c>
    </row>
    <row r="27" spans="1:9" x14ac:dyDescent="0.25">
      <c r="A27" s="11" t="s">
        <v>108</v>
      </c>
      <c r="B27" s="12">
        <v>45767</v>
      </c>
      <c r="C27" s="11" t="s">
        <v>90</v>
      </c>
      <c r="D27" s="11" t="s">
        <v>63</v>
      </c>
      <c r="E27" s="13">
        <v>21</v>
      </c>
      <c r="F27" s="14">
        <v>0.2</v>
      </c>
      <c r="G27" s="15" t="s">
        <v>64</v>
      </c>
      <c r="H27" s="15" t="s">
        <v>56</v>
      </c>
      <c r="I27" s="15" t="s">
        <v>65</v>
      </c>
    </row>
    <row r="28" spans="1:9" x14ac:dyDescent="0.25">
      <c r="A28" s="6" t="s">
        <v>109</v>
      </c>
      <c r="B28" s="7">
        <v>45866</v>
      </c>
      <c r="C28" s="6" t="s">
        <v>59</v>
      </c>
      <c r="D28" s="6" t="s">
        <v>88</v>
      </c>
      <c r="E28" s="8">
        <v>2</v>
      </c>
      <c r="F28" s="9">
        <v>0.15</v>
      </c>
      <c r="G28" s="10" t="s">
        <v>68</v>
      </c>
      <c r="H28" s="10" t="s">
        <v>69</v>
      </c>
      <c r="I28" s="10" t="s">
        <v>65</v>
      </c>
    </row>
    <row r="29" spans="1:9" x14ac:dyDescent="0.25">
      <c r="A29" s="11" t="s">
        <v>110</v>
      </c>
      <c r="B29" s="12">
        <v>45897</v>
      </c>
      <c r="C29" s="11" t="s">
        <v>53</v>
      </c>
      <c r="D29" s="11" t="s">
        <v>111</v>
      </c>
      <c r="E29" s="13">
        <v>11</v>
      </c>
      <c r="F29" s="14">
        <v>0</v>
      </c>
      <c r="G29" s="15" t="s">
        <v>61</v>
      </c>
      <c r="H29" s="15" t="s">
        <v>69</v>
      </c>
      <c r="I29" s="15" t="s">
        <v>73</v>
      </c>
    </row>
    <row r="30" spans="1:9" x14ac:dyDescent="0.25">
      <c r="A30" s="6" t="s">
        <v>112</v>
      </c>
      <c r="B30" s="7">
        <v>45713</v>
      </c>
      <c r="C30" s="6" t="s">
        <v>80</v>
      </c>
      <c r="D30" s="6" t="s">
        <v>88</v>
      </c>
      <c r="E30" s="8">
        <v>4</v>
      </c>
      <c r="F30" s="9">
        <v>0.2</v>
      </c>
      <c r="G30" s="10" t="s">
        <v>64</v>
      </c>
      <c r="H30" s="10" t="s">
        <v>56</v>
      </c>
      <c r="I30" s="10" t="s">
        <v>65</v>
      </c>
    </row>
    <row r="31" spans="1:9" x14ac:dyDescent="0.25">
      <c r="A31" s="11" t="s">
        <v>113</v>
      </c>
      <c r="B31" s="12">
        <v>45751</v>
      </c>
      <c r="C31" s="11" t="s">
        <v>105</v>
      </c>
      <c r="D31" s="11" t="s">
        <v>67</v>
      </c>
      <c r="E31" s="13">
        <v>4</v>
      </c>
      <c r="F31" s="14">
        <v>0</v>
      </c>
      <c r="G31" s="15" t="s">
        <v>64</v>
      </c>
      <c r="H31" s="15" t="s">
        <v>83</v>
      </c>
      <c r="I31" s="15" t="s">
        <v>77</v>
      </c>
    </row>
    <row r="32" spans="1:9" x14ac:dyDescent="0.25">
      <c r="A32" s="6" t="s">
        <v>114</v>
      </c>
      <c r="B32" s="7">
        <v>45683</v>
      </c>
      <c r="C32" s="6" t="s">
        <v>53</v>
      </c>
      <c r="D32" s="6" t="s">
        <v>60</v>
      </c>
      <c r="E32" s="8">
        <v>27</v>
      </c>
      <c r="F32" s="9">
        <v>0.05</v>
      </c>
      <c r="G32" s="10" t="s">
        <v>55</v>
      </c>
      <c r="H32" s="10" t="s">
        <v>69</v>
      </c>
      <c r="I32" s="10" t="s">
        <v>65</v>
      </c>
    </row>
    <row r="33" spans="1:9" x14ac:dyDescent="0.25">
      <c r="A33" s="11" t="s">
        <v>115</v>
      </c>
      <c r="B33" s="12">
        <v>45904</v>
      </c>
      <c r="C33" s="11" t="s">
        <v>116</v>
      </c>
      <c r="D33" s="11" t="s">
        <v>88</v>
      </c>
      <c r="E33" s="13">
        <v>1</v>
      </c>
      <c r="F33" s="14">
        <v>0.05</v>
      </c>
      <c r="G33" s="15" t="s">
        <v>64</v>
      </c>
      <c r="H33" s="15" t="s">
        <v>56</v>
      </c>
      <c r="I33" s="15" t="s">
        <v>65</v>
      </c>
    </row>
    <row r="34" spans="1:9" x14ac:dyDescent="0.25">
      <c r="A34" s="6" t="s">
        <v>117</v>
      </c>
      <c r="B34" s="7">
        <v>45793</v>
      </c>
      <c r="C34" s="6" t="s">
        <v>105</v>
      </c>
      <c r="D34" s="6" t="s">
        <v>103</v>
      </c>
      <c r="E34" s="8">
        <v>5</v>
      </c>
      <c r="F34" s="9">
        <v>0.15</v>
      </c>
      <c r="G34" s="10" t="s">
        <v>64</v>
      </c>
      <c r="H34" s="10" t="s">
        <v>56</v>
      </c>
      <c r="I34" s="10" t="s">
        <v>57</v>
      </c>
    </row>
    <row r="35" spans="1:9" x14ac:dyDescent="0.25">
      <c r="A35" s="11" t="s">
        <v>118</v>
      </c>
      <c r="B35" s="12">
        <v>45809</v>
      </c>
      <c r="C35" s="11" t="s">
        <v>53</v>
      </c>
      <c r="D35" s="11" t="s">
        <v>88</v>
      </c>
      <c r="E35" s="13">
        <v>10</v>
      </c>
      <c r="F35" s="14">
        <v>0.2</v>
      </c>
      <c r="G35" s="15" t="s">
        <v>61</v>
      </c>
      <c r="H35" s="15" t="s">
        <v>83</v>
      </c>
      <c r="I35" s="15" t="s">
        <v>73</v>
      </c>
    </row>
    <row r="36" spans="1:9" x14ac:dyDescent="0.25">
      <c r="A36" s="6" t="s">
        <v>119</v>
      </c>
      <c r="B36" s="7">
        <v>45687</v>
      </c>
      <c r="C36" s="6" t="s">
        <v>105</v>
      </c>
      <c r="D36" s="6" t="s">
        <v>120</v>
      </c>
      <c r="E36" s="8">
        <v>9</v>
      </c>
      <c r="F36" s="9">
        <v>0.2</v>
      </c>
      <c r="G36" s="10" t="s">
        <v>55</v>
      </c>
      <c r="H36" s="10" t="s">
        <v>56</v>
      </c>
      <c r="I36" s="10" t="s">
        <v>77</v>
      </c>
    </row>
    <row r="37" spans="1:9" x14ac:dyDescent="0.25">
      <c r="A37" s="11" t="s">
        <v>121</v>
      </c>
      <c r="B37" s="12">
        <v>45753</v>
      </c>
      <c r="C37" s="11" t="s">
        <v>59</v>
      </c>
      <c r="D37" s="11" t="s">
        <v>54</v>
      </c>
      <c r="E37" s="13">
        <v>11</v>
      </c>
      <c r="F37" s="14">
        <v>0.05</v>
      </c>
      <c r="G37" s="15" t="s">
        <v>64</v>
      </c>
      <c r="H37" s="15" t="s">
        <v>56</v>
      </c>
      <c r="I37" s="15" t="s">
        <v>57</v>
      </c>
    </row>
    <row r="38" spans="1:9" x14ac:dyDescent="0.25">
      <c r="A38" s="6" t="s">
        <v>122</v>
      </c>
      <c r="B38" s="7">
        <v>45954</v>
      </c>
      <c r="C38" s="6" t="s">
        <v>53</v>
      </c>
      <c r="D38" s="6" t="s">
        <v>76</v>
      </c>
      <c r="E38" s="8">
        <v>5</v>
      </c>
      <c r="F38" s="9">
        <v>0.15</v>
      </c>
      <c r="G38" s="10" t="s">
        <v>68</v>
      </c>
      <c r="H38" s="10" t="s">
        <v>69</v>
      </c>
      <c r="I38" s="10" t="s">
        <v>57</v>
      </c>
    </row>
    <row r="39" spans="1:9" x14ac:dyDescent="0.25">
      <c r="A39" s="11" t="s">
        <v>123</v>
      </c>
      <c r="B39" s="12">
        <v>46000</v>
      </c>
      <c r="C39" s="11" t="s">
        <v>71</v>
      </c>
      <c r="D39" s="11" t="s">
        <v>85</v>
      </c>
      <c r="E39" s="13">
        <v>11</v>
      </c>
      <c r="F39" s="14">
        <v>0.15</v>
      </c>
      <c r="G39" s="15" t="s">
        <v>55</v>
      </c>
      <c r="H39" s="15" t="s">
        <v>83</v>
      </c>
      <c r="I39" s="15" t="s">
        <v>73</v>
      </c>
    </row>
    <row r="40" spans="1:9" x14ac:dyDescent="0.25">
      <c r="A40" s="6" t="s">
        <v>124</v>
      </c>
      <c r="B40" s="7">
        <v>45892</v>
      </c>
      <c r="C40" s="6" t="s">
        <v>59</v>
      </c>
      <c r="D40" s="6" t="s">
        <v>82</v>
      </c>
      <c r="E40" s="8">
        <v>1</v>
      </c>
      <c r="F40" s="9">
        <v>0.15</v>
      </c>
      <c r="G40" s="10" t="s">
        <v>61</v>
      </c>
      <c r="H40" s="10" t="s">
        <v>56</v>
      </c>
      <c r="I40" s="10" t="s">
        <v>57</v>
      </c>
    </row>
    <row r="41" spans="1:9" x14ac:dyDescent="0.25">
      <c r="A41" s="11" t="s">
        <v>125</v>
      </c>
      <c r="B41" s="12">
        <v>45917</v>
      </c>
      <c r="C41" s="11" t="s">
        <v>90</v>
      </c>
      <c r="D41" s="11" t="s">
        <v>67</v>
      </c>
      <c r="E41" s="13">
        <v>6</v>
      </c>
      <c r="F41" s="14">
        <v>0</v>
      </c>
      <c r="G41" s="15" t="s">
        <v>55</v>
      </c>
      <c r="H41" s="15" t="s">
        <v>69</v>
      </c>
      <c r="I41" s="15" t="s">
        <v>73</v>
      </c>
    </row>
    <row r="42" spans="1:9" x14ac:dyDescent="0.25">
      <c r="A42" s="6" t="s">
        <v>126</v>
      </c>
      <c r="B42" s="7">
        <v>45738</v>
      </c>
      <c r="C42" s="6" t="s">
        <v>75</v>
      </c>
      <c r="D42" s="6" t="s">
        <v>96</v>
      </c>
      <c r="E42" s="8">
        <v>10</v>
      </c>
      <c r="F42" s="9">
        <v>0.2</v>
      </c>
      <c r="G42" s="10" t="s">
        <v>61</v>
      </c>
      <c r="H42" s="10" t="s">
        <v>83</v>
      </c>
      <c r="I42" s="10" t="s">
        <v>73</v>
      </c>
    </row>
    <row r="43" spans="1:9" x14ac:dyDescent="0.25">
      <c r="A43" s="11" t="s">
        <v>127</v>
      </c>
      <c r="B43" s="12">
        <v>45997</v>
      </c>
      <c r="C43" s="11" t="s">
        <v>90</v>
      </c>
      <c r="D43" s="11" t="s">
        <v>54</v>
      </c>
      <c r="E43" s="13">
        <v>5</v>
      </c>
      <c r="F43" s="14">
        <v>0</v>
      </c>
      <c r="G43" s="15" t="s">
        <v>61</v>
      </c>
      <c r="H43" s="15" t="s">
        <v>83</v>
      </c>
      <c r="I43" s="15" t="s">
        <v>57</v>
      </c>
    </row>
    <row r="44" spans="1:9" x14ac:dyDescent="0.25">
      <c r="A44" s="6" t="s">
        <v>128</v>
      </c>
      <c r="B44" s="7">
        <v>45797</v>
      </c>
      <c r="C44" s="6" t="s">
        <v>80</v>
      </c>
      <c r="D44" s="6" t="s">
        <v>67</v>
      </c>
      <c r="E44" s="8">
        <v>12</v>
      </c>
      <c r="F44" s="9">
        <v>0.1</v>
      </c>
      <c r="G44" s="10" t="s">
        <v>55</v>
      </c>
      <c r="H44" s="10" t="s">
        <v>83</v>
      </c>
      <c r="I44" s="10" t="s">
        <v>73</v>
      </c>
    </row>
    <row r="45" spans="1:9" x14ac:dyDescent="0.25">
      <c r="A45" s="11" t="s">
        <v>129</v>
      </c>
      <c r="B45" s="12">
        <v>45916</v>
      </c>
      <c r="C45" s="11" t="s">
        <v>75</v>
      </c>
      <c r="D45" s="11" t="s">
        <v>96</v>
      </c>
      <c r="E45" s="13">
        <v>1</v>
      </c>
      <c r="F45" s="14">
        <v>0</v>
      </c>
      <c r="G45" s="15" t="s">
        <v>64</v>
      </c>
      <c r="H45" s="15" t="s">
        <v>69</v>
      </c>
      <c r="I45" s="15" t="s">
        <v>77</v>
      </c>
    </row>
    <row r="46" spans="1:9" x14ac:dyDescent="0.25">
      <c r="A46" s="6" t="s">
        <v>130</v>
      </c>
      <c r="B46" s="7">
        <v>45659</v>
      </c>
      <c r="C46" s="6" t="s">
        <v>90</v>
      </c>
      <c r="D46" s="6" t="s">
        <v>82</v>
      </c>
      <c r="E46" s="8">
        <v>11</v>
      </c>
      <c r="F46" s="9">
        <v>0.1</v>
      </c>
      <c r="G46" s="10" t="s">
        <v>55</v>
      </c>
      <c r="H46" s="10" t="s">
        <v>83</v>
      </c>
      <c r="I46" s="10" t="s">
        <v>65</v>
      </c>
    </row>
    <row r="47" spans="1:9" x14ac:dyDescent="0.25">
      <c r="A47" s="11" t="s">
        <v>131</v>
      </c>
      <c r="B47" s="12">
        <v>45940</v>
      </c>
      <c r="C47" s="11" t="s">
        <v>116</v>
      </c>
      <c r="D47" s="11" t="s">
        <v>85</v>
      </c>
      <c r="E47" s="13">
        <v>3</v>
      </c>
      <c r="F47" s="14">
        <v>0</v>
      </c>
      <c r="G47" s="15" t="s">
        <v>61</v>
      </c>
      <c r="H47" s="15" t="s">
        <v>83</v>
      </c>
      <c r="I47" s="15" t="s">
        <v>57</v>
      </c>
    </row>
    <row r="48" spans="1:9" x14ac:dyDescent="0.25">
      <c r="A48" s="6" t="s">
        <v>132</v>
      </c>
      <c r="B48" s="7">
        <v>45937</v>
      </c>
      <c r="C48" s="6" t="s">
        <v>71</v>
      </c>
      <c r="D48" s="6" t="s">
        <v>120</v>
      </c>
      <c r="E48" s="8">
        <v>10</v>
      </c>
      <c r="F48" s="9">
        <v>0.2</v>
      </c>
      <c r="G48" s="10" t="s">
        <v>55</v>
      </c>
      <c r="H48" s="10" t="s">
        <v>69</v>
      </c>
      <c r="I48" s="10" t="s">
        <v>57</v>
      </c>
    </row>
    <row r="49" spans="1:9" x14ac:dyDescent="0.25">
      <c r="A49" s="11" t="s">
        <v>133</v>
      </c>
      <c r="B49" s="12">
        <v>45679</v>
      </c>
      <c r="C49" s="11" t="s">
        <v>71</v>
      </c>
      <c r="D49" s="11" t="s">
        <v>67</v>
      </c>
      <c r="E49" s="13">
        <v>1</v>
      </c>
      <c r="F49" s="14">
        <v>0.1</v>
      </c>
      <c r="G49" s="15" t="s">
        <v>55</v>
      </c>
      <c r="H49" s="15" t="s">
        <v>83</v>
      </c>
      <c r="I49" s="15" t="s">
        <v>57</v>
      </c>
    </row>
    <row r="50" spans="1:9" x14ac:dyDescent="0.25">
      <c r="A50" s="6" t="s">
        <v>134</v>
      </c>
      <c r="B50" s="7">
        <v>45999</v>
      </c>
      <c r="C50" s="6" t="s">
        <v>71</v>
      </c>
      <c r="D50" s="6" t="s">
        <v>54</v>
      </c>
      <c r="E50" s="8">
        <v>9</v>
      </c>
      <c r="F50" s="9">
        <v>0.15</v>
      </c>
      <c r="G50" s="10" t="s">
        <v>55</v>
      </c>
      <c r="H50" s="10" t="s">
        <v>56</v>
      </c>
      <c r="I50" s="10" t="s">
        <v>57</v>
      </c>
    </row>
    <row r="51" spans="1:9" x14ac:dyDescent="0.25">
      <c r="A51" s="11" t="s">
        <v>135</v>
      </c>
      <c r="B51" s="12">
        <v>45748</v>
      </c>
      <c r="C51" s="11" t="s">
        <v>116</v>
      </c>
      <c r="D51" s="11" t="s">
        <v>103</v>
      </c>
      <c r="E51" s="13">
        <v>1</v>
      </c>
      <c r="F51" s="14">
        <v>0.05</v>
      </c>
      <c r="G51" s="15" t="s">
        <v>68</v>
      </c>
      <c r="H51" s="15" t="s">
        <v>69</v>
      </c>
      <c r="I51" s="15" t="s">
        <v>57</v>
      </c>
    </row>
    <row r="52" spans="1:9" x14ac:dyDescent="0.25">
      <c r="A52" s="6" t="s">
        <v>136</v>
      </c>
      <c r="B52" s="7">
        <v>45794</v>
      </c>
      <c r="C52" s="6" t="s">
        <v>59</v>
      </c>
      <c r="D52" s="6" t="s">
        <v>94</v>
      </c>
      <c r="E52" s="8">
        <v>7</v>
      </c>
      <c r="F52" s="9">
        <v>0</v>
      </c>
      <c r="G52" s="10" t="s">
        <v>64</v>
      </c>
      <c r="H52" s="10" t="s">
        <v>56</v>
      </c>
      <c r="I52" s="10" t="s">
        <v>57</v>
      </c>
    </row>
    <row r="53" spans="1:9" x14ac:dyDescent="0.25">
      <c r="A53" s="11" t="s">
        <v>137</v>
      </c>
      <c r="B53" s="12">
        <v>45893</v>
      </c>
      <c r="C53" s="11" t="s">
        <v>75</v>
      </c>
      <c r="D53" s="11" t="s">
        <v>82</v>
      </c>
      <c r="E53" s="13">
        <v>4</v>
      </c>
      <c r="F53" s="14">
        <v>0.05</v>
      </c>
      <c r="G53" s="15" t="s">
        <v>61</v>
      </c>
      <c r="H53" s="15" t="s">
        <v>83</v>
      </c>
      <c r="I53" s="15" t="s">
        <v>57</v>
      </c>
    </row>
    <row r="54" spans="1:9" x14ac:dyDescent="0.25">
      <c r="A54" s="6" t="s">
        <v>138</v>
      </c>
      <c r="B54" s="7">
        <v>45862</v>
      </c>
      <c r="C54" s="6" t="s">
        <v>75</v>
      </c>
      <c r="D54" s="6" t="s">
        <v>82</v>
      </c>
      <c r="E54" s="8">
        <v>2</v>
      </c>
      <c r="F54" s="9">
        <v>0.1</v>
      </c>
      <c r="G54" s="10" t="s">
        <v>68</v>
      </c>
      <c r="H54" s="10" t="s">
        <v>83</v>
      </c>
      <c r="I54" s="10" t="s">
        <v>65</v>
      </c>
    </row>
    <row r="55" spans="1:9" x14ac:dyDescent="0.25">
      <c r="A55" s="11" t="s">
        <v>139</v>
      </c>
      <c r="B55" s="12">
        <v>46005</v>
      </c>
      <c r="C55" s="11" t="s">
        <v>71</v>
      </c>
      <c r="D55" s="11" t="s">
        <v>111</v>
      </c>
      <c r="E55" s="13">
        <v>1</v>
      </c>
      <c r="F55" s="14">
        <v>0</v>
      </c>
      <c r="G55" s="15" t="s">
        <v>68</v>
      </c>
      <c r="H55" s="15" t="s">
        <v>56</v>
      </c>
      <c r="I55" s="15" t="s">
        <v>73</v>
      </c>
    </row>
    <row r="56" spans="1:9" x14ac:dyDescent="0.25">
      <c r="A56" s="6" t="s">
        <v>140</v>
      </c>
      <c r="B56" s="7">
        <v>45677</v>
      </c>
      <c r="C56" s="6" t="s">
        <v>116</v>
      </c>
      <c r="D56" s="6" t="s">
        <v>54</v>
      </c>
      <c r="E56" s="8">
        <v>6</v>
      </c>
      <c r="F56" s="9">
        <v>0.1</v>
      </c>
      <c r="G56" s="10" t="s">
        <v>64</v>
      </c>
      <c r="H56" s="10" t="s">
        <v>83</v>
      </c>
      <c r="I56" s="10" t="s">
        <v>77</v>
      </c>
    </row>
    <row r="57" spans="1:9" x14ac:dyDescent="0.25">
      <c r="A57" s="11" t="s">
        <v>141</v>
      </c>
      <c r="B57" s="12">
        <v>45855</v>
      </c>
      <c r="C57" s="11" t="s">
        <v>80</v>
      </c>
      <c r="D57" s="11" t="s">
        <v>103</v>
      </c>
      <c r="E57" s="13">
        <v>5</v>
      </c>
      <c r="F57" s="14">
        <v>0</v>
      </c>
      <c r="G57" s="15" t="s">
        <v>64</v>
      </c>
      <c r="H57" s="15" t="s">
        <v>56</v>
      </c>
      <c r="I57" s="15" t="s">
        <v>57</v>
      </c>
    </row>
    <row r="58" spans="1:9" x14ac:dyDescent="0.25">
      <c r="A58" s="6" t="s">
        <v>142</v>
      </c>
      <c r="B58" s="7">
        <v>45844</v>
      </c>
      <c r="C58" s="6" t="s">
        <v>59</v>
      </c>
      <c r="D58" s="6" t="s">
        <v>92</v>
      </c>
      <c r="E58" s="8">
        <v>11</v>
      </c>
      <c r="F58" s="9">
        <v>0.1</v>
      </c>
      <c r="G58" s="10" t="s">
        <v>68</v>
      </c>
      <c r="H58" s="10" t="s">
        <v>83</v>
      </c>
      <c r="I58" s="10" t="s">
        <v>77</v>
      </c>
    </row>
    <row r="59" spans="1:9" x14ac:dyDescent="0.25">
      <c r="A59" s="11" t="s">
        <v>143</v>
      </c>
      <c r="B59" s="12">
        <v>45811</v>
      </c>
      <c r="C59" s="11" t="s">
        <v>75</v>
      </c>
      <c r="D59" s="11" t="s">
        <v>63</v>
      </c>
      <c r="E59" s="13">
        <v>16</v>
      </c>
      <c r="F59" s="14">
        <v>0.1</v>
      </c>
      <c r="G59" s="15" t="s">
        <v>64</v>
      </c>
      <c r="H59" s="15" t="s">
        <v>83</v>
      </c>
      <c r="I59" s="15" t="s">
        <v>73</v>
      </c>
    </row>
    <row r="60" spans="1:9" x14ac:dyDescent="0.25">
      <c r="A60" s="6" t="s">
        <v>144</v>
      </c>
      <c r="B60" s="7">
        <v>45941</v>
      </c>
      <c r="C60" s="6" t="s">
        <v>80</v>
      </c>
      <c r="D60" s="6" t="s">
        <v>94</v>
      </c>
      <c r="E60" s="8">
        <v>7</v>
      </c>
      <c r="F60" s="9">
        <v>0.15</v>
      </c>
      <c r="G60" s="10" t="s">
        <v>55</v>
      </c>
      <c r="H60" s="10" t="s">
        <v>83</v>
      </c>
      <c r="I60" s="10" t="s">
        <v>73</v>
      </c>
    </row>
    <row r="61" spans="1:9" x14ac:dyDescent="0.25">
      <c r="A61" s="11" t="s">
        <v>145</v>
      </c>
      <c r="B61" s="12">
        <v>45865</v>
      </c>
      <c r="C61" s="11" t="s">
        <v>53</v>
      </c>
      <c r="D61" s="11" t="s">
        <v>63</v>
      </c>
      <c r="E61" s="13">
        <v>12</v>
      </c>
      <c r="F61" s="14">
        <v>0.05</v>
      </c>
      <c r="G61" s="15" t="s">
        <v>64</v>
      </c>
      <c r="H61" s="15" t="s">
        <v>83</v>
      </c>
      <c r="I61" s="15" t="s">
        <v>73</v>
      </c>
    </row>
    <row r="62" spans="1:9" x14ac:dyDescent="0.25">
      <c r="A62" s="6" t="s">
        <v>146</v>
      </c>
      <c r="B62" s="7">
        <v>45896</v>
      </c>
      <c r="C62" s="6" t="s">
        <v>105</v>
      </c>
      <c r="D62" s="6" t="s">
        <v>96</v>
      </c>
      <c r="E62" s="8">
        <v>11</v>
      </c>
      <c r="F62" s="9">
        <v>0.05</v>
      </c>
      <c r="G62" s="10" t="s">
        <v>64</v>
      </c>
      <c r="H62" s="10" t="s">
        <v>83</v>
      </c>
      <c r="I62" s="10" t="s">
        <v>57</v>
      </c>
    </row>
    <row r="63" spans="1:9" x14ac:dyDescent="0.25">
      <c r="A63" s="11" t="s">
        <v>147</v>
      </c>
      <c r="B63" s="12">
        <v>45995</v>
      </c>
      <c r="C63" s="11" t="s">
        <v>75</v>
      </c>
      <c r="D63" s="11" t="s">
        <v>54</v>
      </c>
      <c r="E63" s="13">
        <v>9</v>
      </c>
      <c r="F63" s="14">
        <v>0.2</v>
      </c>
      <c r="G63" s="15" t="s">
        <v>68</v>
      </c>
      <c r="H63" s="15" t="s">
        <v>56</v>
      </c>
      <c r="I63" s="15" t="s">
        <v>57</v>
      </c>
    </row>
    <row r="64" spans="1:9" x14ac:dyDescent="0.25">
      <c r="A64" s="6" t="s">
        <v>148</v>
      </c>
      <c r="B64" s="7">
        <v>46002</v>
      </c>
      <c r="C64" s="6" t="s">
        <v>80</v>
      </c>
      <c r="D64" s="6" t="s">
        <v>67</v>
      </c>
      <c r="E64" s="8">
        <v>4</v>
      </c>
      <c r="F64" s="9">
        <v>0.05</v>
      </c>
      <c r="G64" s="10" t="s">
        <v>61</v>
      </c>
      <c r="H64" s="10" t="s">
        <v>56</v>
      </c>
      <c r="I64" s="10" t="s">
        <v>57</v>
      </c>
    </row>
    <row r="65" spans="1:9" x14ac:dyDescent="0.25">
      <c r="A65" s="11" t="s">
        <v>149</v>
      </c>
      <c r="B65" s="12">
        <v>45901</v>
      </c>
      <c r="C65" s="11" t="s">
        <v>59</v>
      </c>
      <c r="D65" s="11" t="s">
        <v>76</v>
      </c>
      <c r="E65" s="13">
        <v>16</v>
      </c>
      <c r="F65" s="14">
        <v>0.2</v>
      </c>
      <c r="G65" s="15" t="s">
        <v>55</v>
      </c>
      <c r="H65" s="15" t="s">
        <v>83</v>
      </c>
      <c r="I65" s="15" t="s">
        <v>65</v>
      </c>
    </row>
    <row r="66" spans="1:9" x14ac:dyDescent="0.25">
      <c r="A66" s="6" t="s">
        <v>150</v>
      </c>
      <c r="B66" s="7">
        <v>45911</v>
      </c>
      <c r="C66" s="6" t="s">
        <v>80</v>
      </c>
      <c r="D66" s="6" t="s">
        <v>92</v>
      </c>
      <c r="E66" s="8">
        <v>3</v>
      </c>
      <c r="F66" s="9">
        <v>0</v>
      </c>
      <c r="G66" s="10" t="s">
        <v>61</v>
      </c>
      <c r="H66" s="10" t="s">
        <v>69</v>
      </c>
      <c r="I66" s="10" t="s">
        <v>57</v>
      </c>
    </row>
    <row r="67" spans="1:9" x14ac:dyDescent="0.25">
      <c r="A67" s="11" t="s">
        <v>151</v>
      </c>
      <c r="B67" s="12">
        <v>45748</v>
      </c>
      <c r="C67" s="11" t="s">
        <v>105</v>
      </c>
      <c r="D67" s="11" t="s">
        <v>72</v>
      </c>
      <c r="E67" s="13">
        <v>1</v>
      </c>
      <c r="F67" s="14">
        <v>0.2</v>
      </c>
      <c r="G67" s="15" t="s">
        <v>55</v>
      </c>
      <c r="H67" s="15" t="s">
        <v>56</v>
      </c>
      <c r="I67" s="15" t="s">
        <v>65</v>
      </c>
    </row>
    <row r="68" spans="1:9" x14ac:dyDescent="0.25">
      <c r="A68" s="6" t="s">
        <v>152</v>
      </c>
      <c r="B68" s="7">
        <v>45726</v>
      </c>
      <c r="C68" s="6" t="s">
        <v>105</v>
      </c>
      <c r="D68" s="6" t="s">
        <v>72</v>
      </c>
      <c r="E68" s="8">
        <v>11</v>
      </c>
      <c r="F68" s="9">
        <v>0.2</v>
      </c>
      <c r="G68" s="10" t="s">
        <v>68</v>
      </c>
      <c r="H68" s="10" t="s">
        <v>69</v>
      </c>
      <c r="I68" s="10" t="s">
        <v>65</v>
      </c>
    </row>
    <row r="69" spans="1:9" x14ac:dyDescent="0.25">
      <c r="A69" s="11" t="s">
        <v>153</v>
      </c>
      <c r="B69" s="12">
        <v>45938</v>
      </c>
      <c r="C69" s="11" t="s">
        <v>90</v>
      </c>
      <c r="D69" s="11" t="s">
        <v>96</v>
      </c>
      <c r="E69" s="13">
        <v>12</v>
      </c>
      <c r="F69" s="14">
        <v>0.15</v>
      </c>
      <c r="G69" s="15" t="s">
        <v>64</v>
      </c>
      <c r="H69" s="15" t="s">
        <v>69</v>
      </c>
      <c r="I69" s="15" t="s">
        <v>57</v>
      </c>
    </row>
    <row r="70" spans="1:9" x14ac:dyDescent="0.25">
      <c r="A70" s="6" t="s">
        <v>154</v>
      </c>
      <c r="B70" s="7">
        <v>45984</v>
      </c>
      <c r="C70" s="6" t="s">
        <v>105</v>
      </c>
      <c r="D70" s="6" t="s">
        <v>67</v>
      </c>
      <c r="E70" s="8">
        <v>11</v>
      </c>
      <c r="F70" s="9">
        <v>0.05</v>
      </c>
      <c r="G70" s="10" t="s">
        <v>68</v>
      </c>
      <c r="H70" s="10" t="s">
        <v>69</v>
      </c>
      <c r="I70" s="10" t="s">
        <v>77</v>
      </c>
    </row>
    <row r="71" spans="1:9" x14ac:dyDescent="0.25">
      <c r="A71" s="11" t="s">
        <v>155</v>
      </c>
      <c r="B71" s="12">
        <v>45804</v>
      </c>
      <c r="C71" s="11" t="s">
        <v>75</v>
      </c>
      <c r="D71" s="11" t="s">
        <v>88</v>
      </c>
      <c r="E71" s="13">
        <v>6</v>
      </c>
      <c r="F71" s="14">
        <v>0.1</v>
      </c>
      <c r="G71" s="15" t="s">
        <v>61</v>
      </c>
      <c r="H71" s="15" t="s">
        <v>56</v>
      </c>
      <c r="I71" s="15" t="s">
        <v>57</v>
      </c>
    </row>
    <row r="72" spans="1:9" x14ac:dyDescent="0.25">
      <c r="A72" s="6" t="s">
        <v>156</v>
      </c>
      <c r="B72" s="7">
        <v>45776</v>
      </c>
      <c r="C72" s="6" t="s">
        <v>90</v>
      </c>
      <c r="D72" s="6" t="s">
        <v>92</v>
      </c>
      <c r="E72" s="8">
        <v>12</v>
      </c>
      <c r="F72" s="9">
        <v>0.05</v>
      </c>
      <c r="G72" s="10" t="s">
        <v>61</v>
      </c>
      <c r="H72" s="10" t="s">
        <v>69</v>
      </c>
      <c r="I72" s="10" t="s">
        <v>65</v>
      </c>
    </row>
    <row r="73" spans="1:9" x14ac:dyDescent="0.25">
      <c r="A73" s="11" t="s">
        <v>157</v>
      </c>
      <c r="B73" s="12">
        <v>45827</v>
      </c>
      <c r="C73" s="11" t="s">
        <v>105</v>
      </c>
      <c r="D73" s="11" t="s">
        <v>63</v>
      </c>
      <c r="E73" s="13">
        <v>4</v>
      </c>
      <c r="F73" s="14">
        <v>0.05</v>
      </c>
      <c r="G73" s="15" t="s">
        <v>64</v>
      </c>
      <c r="H73" s="15" t="s">
        <v>69</v>
      </c>
      <c r="I73" s="15" t="s">
        <v>77</v>
      </c>
    </row>
    <row r="74" spans="1:9" x14ac:dyDescent="0.25">
      <c r="A74" s="6" t="s">
        <v>158</v>
      </c>
      <c r="B74" s="7">
        <v>45952</v>
      </c>
      <c r="C74" s="6" t="s">
        <v>105</v>
      </c>
      <c r="D74" s="6" t="s">
        <v>92</v>
      </c>
      <c r="E74" s="8">
        <v>1</v>
      </c>
      <c r="F74" s="9">
        <v>0.1</v>
      </c>
      <c r="G74" s="10" t="s">
        <v>68</v>
      </c>
      <c r="H74" s="10" t="s">
        <v>69</v>
      </c>
      <c r="I74" s="10" t="s">
        <v>65</v>
      </c>
    </row>
    <row r="75" spans="1:9" x14ac:dyDescent="0.25">
      <c r="A75" s="11" t="s">
        <v>159</v>
      </c>
      <c r="B75" s="12">
        <v>45933</v>
      </c>
      <c r="C75" s="11" t="s">
        <v>80</v>
      </c>
      <c r="D75" s="11" t="s">
        <v>85</v>
      </c>
      <c r="E75" s="13">
        <v>10</v>
      </c>
      <c r="F75" s="14">
        <v>0.1</v>
      </c>
      <c r="G75" s="15" t="s">
        <v>64</v>
      </c>
      <c r="H75" s="15" t="s">
        <v>69</v>
      </c>
      <c r="I75" s="15" t="s">
        <v>77</v>
      </c>
    </row>
    <row r="76" spans="1:9" x14ac:dyDescent="0.25">
      <c r="A76" s="6" t="s">
        <v>160</v>
      </c>
      <c r="B76" s="7">
        <v>45857</v>
      </c>
      <c r="C76" s="6" t="s">
        <v>116</v>
      </c>
      <c r="D76" s="6" t="s">
        <v>82</v>
      </c>
      <c r="E76" s="8">
        <v>12</v>
      </c>
      <c r="F76" s="9">
        <v>0.05</v>
      </c>
      <c r="G76" s="10" t="s">
        <v>64</v>
      </c>
      <c r="H76" s="10" t="s">
        <v>56</v>
      </c>
      <c r="I76" s="10" t="s">
        <v>77</v>
      </c>
    </row>
    <row r="77" spans="1:9" x14ac:dyDescent="0.25">
      <c r="A77" s="11" t="s">
        <v>161</v>
      </c>
      <c r="B77" s="12">
        <v>45859</v>
      </c>
      <c r="C77" s="11" t="s">
        <v>53</v>
      </c>
      <c r="D77" s="11" t="s">
        <v>76</v>
      </c>
      <c r="E77" s="13">
        <v>23</v>
      </c>
      <c r="F77" s="14">
        <v>0.15</v>
      </c>
      <c r="G77" s="15" t="s">
        <v>55</v>
      </c>
      <c r="H77" s="15" t="s">
        <v>69</v>
      </c>
      <c r="I77" s="15" t="s">
        <v>57</v>
      </c>
    </row>
    <row r="78" spans="1:9" x14ac:dyDescent="0.25">
      <c r="A78" s="6" t="s">
        <v>162</v>
      </c>
      <c r="B78" s="7">
        <v>45683</v>
      </c>
      <c r="C78" s="6" t="s">
        <v>116</v>
      </c>
      <c r="D78" s="6" t="s">
        <v>67</v>
      </c>
      <c r="E78" s="8">
        <v>6</v>
      </c>
      <c r="F78" s="9">
        <v>0.05</v>
      </c>
      <c r="G78" s="10" t="s">
        <v>64</v>
      </c>
      <c r="H78" s="10" t="s">
        <v>69</v>
      </c>
      <c r="I78" s="10" t="s">
        <v>73</v>
      </c>
    </row>
    <row r="79" spans="1:9" x14ac:dyDescent="0.25">
      <c r="A79" s="11" t="s">
        <v>163</v>
      </c>
      <c r="B79" s="12">
        <v>45852</v>
      </c>
      <c r="C79" s="11" t="s">
        <v>116</v>
      </c>
      <c r="D79" s="11" t="s">
        <v>67</v>
      </c>
      <c r="E79" s="13">
        <v>5</v>
      </c>
      <c r="F79" s="14">
        <v>0</v>
      </c>
      <c r="G79" s="15" t="s">
        <v>64</v>
      </c>
      <c r="H79" s="15" t="s">
        <v>56</v>
      </c>
      <c r="I79" s="15" t="s">
        <v>77</v>
      </c>
    </row>
    <row r="80" spans="1:9" x14ac:dyDescent="0.25">
      <c r="A80" s="6" t="s">
        <v>164</v>
      </c>
      <c r="B80" s="7">
        <v>45837</v>
      </c>
      <c r="C80" s="6" t="s">
        <v>59</v>
      </c>
      <c r="D80" s="6" t="s">
        <v>88</v>
      </c>
      <c r="E80" s="8">
        <v>11</v>
      </c>
      <c r="F80" s="9">
        <v>0</v>
      </c>
      <c r="G80" s="10" t="s">
        <v>61</v>
      </c>
      <c r="H80" s="10" t="s">
        <v>56</v>
      </c>
      <c r="I80" s="10" t="s">
        <v>57</v>
      </c>
    </row>
    <row r="81" spans="1:9" x14ac:dyDescent="0.25">
      <c r="A81" s="11" t="s">
        <v>165</v>
      </c>
      <c r="B81" s="12">
        <v>45668</v>
      </c>
      <c r="C81" s="11" t="s">
        <v>90</v>
      </c>
      <c r="D81" s="11" t="s">
        <v>76</v>
      </c>
      <c r="E81" s="13">
        <v>7</v>
      </c>
      <c r="F81" s="14">
        <v>0.15</v>
      </c>
      <c r="G81" s="15" t="s">
        <v>61</v>
      </c>
      <c r="H81" s="15" t="s">
        <v>83</v>
      </c>
      <c r="I81" s="15" t="s">
        <v>57</v>
      </c>
    </row>
    <row r="82" spans="1:9" x14ac:dyDescent="0.25">
      <c r="A82" s="6" t="s">
        <v>166</v>
      </c>
      <c r="B82" s="7">
        <v>45896</v>
      </c>
      <c r="C82" s="6" t="s">
        <v>75</v>
      </c>
      <c r="D82" s="6" t="s">
        <v>85</v>
      </c>
      <c r="E82" s="8">
        <v>8</v>
      </c>
      <c r="F82" s="9">
        <v>0.2</v>
      </c>
      <c r="G82" s="10" t="s">
        <v>61</v>
      </c>
      <c r="H82" s="10" t="s">
        <v>56</v>
      </c>
      <c r="I82" s="10" t="s">
        <v>73</v>
      </c>
    </row>
    <row r="83" spans="1:9" x14ac:dyDescent="0.25">
      <c r="A83" s="11" t="s">
        <v>167</v>
      </c>
      <c r="B83" s="12">
        <v>45713</v>
      </c>
      <c r="C83" s="11" t="s">
        <v>53</v>
      </c>
      <c r="D83" s="11" t="s">
        <v>76</v>
      </c>
      <c r="E83" s="13">
        <v>21</v>
      </c>
      <c r="F83" s="14">
        <v>0.15</v>
      </c>
      <c r="G83" s="15" t="s">
        <v>64</v>
      </c>
      <c r="H83" s="15" t="s">
        <v>83</v>
      </c>
      <c r="I83" s="15" t="s">
        <v>57</v>
      </c>
    </row>
    <row r="84" spans="1:9" x14ac:dyDescent="0.25">
      <c r="A84" s="6" t="s">
        <v>168</v>
      </c>
      <c r="B84" s="7">
        <v>45696</v>
      </c>
      <c r="C84" s="6" t="s">
        <v>80</v>
      </c>
      <c r="D84" s="6" t="s">
        <v>76</v>
      </c>
      <c r="E84" s="8">
        <v>25</v>
      </c>
      <c r="F84" s="9">
        <v>0.1</v>
      </c>
      <c r="G84" s="10" t="s">
        <v>61</v>
      </c>
      <c r="H84" s="10" t="s">
        <v>83</v>
      </c>
      <c r="I84" s="10" t="s">
        <v>77</v>
      </c>
    </row>
    <row r="85" spans="1:9" x14ac:dyDescent="0.25">
      <c r="A85" s="11" t="s">
        <v>169</v>
      </c>
      <c r="B85" s="12">
        <v>45835</v>
      </c>
      <c r="C85" s="11" t="s">
        <v>116</v>
      </c>
      <c r="D85" s="11" t="s">
        <v>63</v>
      </c>
      <c r="E85" s="13">
        <v>14</v>
      </c>
      <c r="F85" s="14">
        <v>0</v>
      </c>
      <c r="G85" s="15" t="s">
        <v>68</v>
      </c>
      <c r="H85" s="15" t="s">
        <v>56</v>
      </c>
      <c r="I85" s="15" t="s">
        <v>65</v>
      </c>
    </row>
    <row r="86" spans="1:9" x14ac:dyDescent="0.25">
      <c r="A86" s="6" t="s">
        <v>170</v>
      </c>
      <c r="B86" s="7">
        <v>45908</v>
      </c>
      <c r="C86" s="6" t="s">
        <v>116</v>
      </c>
      <c r="D86" s="6" t="s">
        <v>54</v>
      </c>
      <c r="E86" s="8">
        <v>6</v>
      </c>
      <c r="F86" s="9">
        <v>0.15</v>
      </c>
      <c r="G86" s="10" t="s">
        <v>55</v>
      </c>
      <c r="H86" s="10" t="s">
        <v>69</v>
      </c>
      <c r="I86" s="10" t="s">
        <v>57</v>
      </c>
    </row>
    <row r="87" spans="1:9" x14ac:dyDescent="0.25">
      <c r="A87" s="11" t="s">
        <v>171</v>
      </c>
      <c r="B87" s="12">
        <v>45925</v>
      </c>
      <c r="C87" s="11" t="s">
        <v>75</v>
      </c>
      <c r="D87" s="11" t="s">
        <v>60</v>
      </c>
      <c r="E87" s="13">
        <v>28</v>
      </c>
      <c r="F87" s="14">
        <v>0.2</v>
      </c>
      <c r="G87" s="15" t="s">
        <v>64</v>
      </c>
      <c r="H87" s="15" t="s">
        <v>69</v>
      </c>
      <c r="I87" s="15" t="s">
        <v>65</v>
      </c>
    </row>
    <row r="88" spans="1:9" x14ac:dyDescent="0.25">
      <c r="A88" s="6" t="s">
        <v>172</v>
      </c>
      <c r="B88" s="7">
        <v>45961</v>
      </c>
      <c r="C88" s="6" t="s">
        <v>71</v>
      </c>
      <c r="D88" s="6" t="s">
        <v>67</v>
      </c>
      <c r="E88" s="8">
        <v>4</v>
      </c>
      <c r="F88" s="9">
        <v>0</v>
      </c>
      <c r="G88" s="10" t="s">
        <v>68</v>
      </c>
      <c r="H88" s="10" t="s">
        <v>69</v>
      </c>
      <c r="I88" s="10" t="s">
        <v>57</v>
      </c>
    </row>
    <row r="89" spans="1:9" x14ac:dyDescent="0.25">
      <c r="A89" s="11" t="s">
        <v>173</v>
      </c>
      <c r="B89" s="12">
        <v>45895</v>
      </c>
      <c r="C89" s="11" t="s">
        <v>116</v>
      </c>
      <c r="D89" s="11" t="s">
        <v>76</v>
      </c>
      <c r="E89" s="13">
        <v>3</v>
      </c>
      <c r="F89" s="14">
        <v>0.15</v>
      </c>
      <c r="G89" s="15" t="s">
        <v>68</v>
      </c>
      <c r="H89" s="15" t="s">
        <v>56</v>
      </c>
      <c r="I89" s="15" t="s">
        <v>65</v>
      </c>
    </row>
    <row r="90" spans="1:9" x14ac:dyDescent="0.25">
      <c r="A90" s="6" t="s">
        <v>174</v>
      </c>
      <c r="B90" s="7">
        <v>45766</v>
      </c>
      <c r="C90" s="6" t="s">
        <v>75</v>
      </c>
      <c r="D90" s="6" t="s">
        <v>82</v>
      </c>
      <c r="E90" s="8">
        <v>6</v>
      </c>
      <c r="F90" s="9">
        <v>0.1</v>
      </c>
      <c r="G90" s="10" t="s">
        <v>68</v>
      </c>
      <c r="H90" s="10" t="s">
        <v>83</v>
      </c>
      <c r="I90" s="10" t="s">
        <v>77</v>
      </c>
    </row>
    <row r="91" spans="1:9" x14ac:dyDescent="0.25">
      <c r="A91" s="11" t="s">
        <v>175</v>
      </c>
      <c r="B91" s="12">
        <v>45922</v>
      </c>
      <c r="C91" s="11" t="s">
        <v>59</v>
      </c>
      <c r="D91" s="11" t="s">
        <v>88</v>
      </c>
      <c r="E91" s="13">
        <v>4</v>
      </c>
      <c r="F91" s="14">
        <v>0.15</v>
      </c>
      <c r="G91" s="15" t="s">
        <v>64</v>
      </c>
      <c r="H91" s="15" t="s">
        <v>83</v>
      </c>
      <c r="I91" s="15" t="s">
        <v>57</v>
      </c>
    </row>
    <row r="92" spans="1:9" x14ac:dyDescent="0.25">
      <c r="A92" s="6" t="s">
        <v>176</v>
      </c>
      <c r="B92" s="7">
        <v>46011</v>
      </c>
      <c r="C92" s="6" t="s">
        <v>105</v>
      </c>
      <c r="D92" s="6" t="s">
        <v>96</v>
      </c>
      <c r="E92" s="8">
        <v>8</v>
      </c>
      <c r="F92" s="9">
        <v>0</v>
      </c>
      <c r="G92" s="10" t="s">
        <v>61</v>
      </c>
      <c r="H92" s="10" t="s">
        <v>69</v>
      </c>
      <c r="I92" s="10" t="s">
        <v>57</v>
      </c>
    </row>
    <row r="93" spans="1:9" x14ac:dyDescent="0.25">
      <c r="A93" s="11" t="s">
        <v>177</v>
      </c>
      <c r="B93" s="12">
        <v>45865</v>
      </c>
      <c r="C93" s="11" t="s">
        <v>80</v>
      </c>
      <c r="D93" s="11" t="s">
        <v>85</v>
      </c>
      <c r="E93" s="13">
        <v>24</v>
      </c>
      <c r="F93" s="14">
        <v>0.2</v>
      </c>
      <c r="G93" s="15" t="s">
        <v>68</v>
      </c>
      <c r="H93" s="15" t="s">
        <v>69</v>
      </c>
      <c r="I93" s="15" t="s">
        <v>73</v>
      </c>
    </row>
    <row r="94" spans="1:9" x14ac:dyDescent="0.25">
      <c r="A94" s="6" t="s">
        <v>178</v>
      </c>
      <c r="B94" s="7">
        <v>45875</v>
      </c>
      <c r="C94" s="6" t="s">
        <v>71</v>
      </c>
      <c r="D94" s="6" t="s">
        <v>85</v>
      </c>
      <c r="E94" s="8">
        <v>25</v>
      </c>
      <c r="F94" s="9">
        <v>0.15</v>
      </c>
      <c r="G94" s="10" t="s">
        <v>68</v>
      </c>
      <c r="H94" s="10" t="s">
        <v>69</v>
      </c>
      <c r="I94" s="10" t="s">
        <v>73</v>
      </c>
    </row>
    <row r="95" spans="1:9" x14ac:dyDescent="0.25">
      <c r="A95" s="11" t="s">
        <v>179</v>
      </c>
      <c r="B95" s="12">
        <v>45776</v>
      </c>
      <c r="C95" s="11" t="s">
        <v>80</v>
      </c>
      <c r="D95" s="11" t="s">
        <v>54</v>
      </c>
      <c r="E95" s="13">
        <v>6</v>
      </c>
      <c r="F95" s="14">
        <v>0</v>
      </c>
      <c r="G95" s="15" t="s">
        <v>55</v>
      </c>
      <c r="H95" s="15" t="s">
        <v>56</v>
      </c>
      <c r="I95" s="15" t="s">
        <v>57</v>
      </c>
    </row>
    <row r="96" spans="1:9" x14ac:dyDescent="0.25">
      <c r="A96" s="6" t="s">
        <v>180</v>
      </c>
      <c r="B96" s="7">
        <v>45905</v>
      </c>
      <c r="C96" s="6" t="s">
        <v>75</v>
      </c>
      <c r="D96" s="6" t="s">
        <v>67</v>
      </c>
      <c r="E96" s="8">
        <v>2</v>
      </c>
      <c r="F96" s="9">
        <v>0.05</v>
      </c>
      <c r="G96" s="10" t="s">
        <v>68</v>
      </c>
      <c r="H96" s="10" t="s">
        <v>56</v>
      </c>
      <c r="I96" s="10" t="s">
        <v>73</v>
      </c>
    </row>
    <row r="97" spans="1:9" x14ac:dyDescent="0.25">
      <c r="A97" s="11" t="s">
        <v>181</v>
      </c>
      <c r="B97" s="12">
        <v>45749</v>
      </c>
      <c r="C97" s="11" t="s">
        <v>53</v>
      </c>
      <c r="D97" s="11" t="s">
        <v>67</v>
      </c>
      <c r="E97" s="13">
        <v>12</v>
      </c>
      <c r="F97" s="14">
        <v>0.2</v>
      </c>
      <c r="G97" s="15" t="s">
        <v>55</v>
      </c>
      <c r="H97" s="15" t="s">
        <v>69</v>
      </c>
      <c r="I97" s="15" t="s">
        <v>77</v>
      </c>
    </row>
    <row r="98" spans="1:9" x14ac:dyDescent="0.25">
      <c r="A98" s="6" t="s">
        <v>182</v>
      </c>
      <c r="B98" s="7">
        <v>45685</v>
      </c>
      <c r="C98" s="6" t="s">
        <v>75</v>
      </c>
      <c r="D98" s="6" t="s">
        <v>63</v>
      </c>
      <c r="E98" s="8">
        <v>7</v>
      </c>
      <c r="F98" s="9">
        <v>0.15</v>
      </c>
      <c r="G98" s="10" t="s">
        <v>61</v>
      </c>
      <c r="H98" s="10" t="s">
        <v>56</v>
      </c>
      <c r="I98" s="10" t="s">
        <v>73</v>
      </c>
    </row>
    <row r="99" spans="1:9" x14ac:dyDescent="0.25">
      <c r="A99" s="11" t="s">
        <v>183</v>
      </c>
      <c r="B99" s="12">
        <v>45898</v>
      </c>
      <c r="C99" s="11" t="s">
        <v>105</v>
      </c>
      <c r="D99" s="11" t="s">
        <v>96</v>
      </c>
      <c r="E99" s="13">
        <v>6</v>
      </c>
      <c r="F99" s="14">
        <v>0.05</v>
      </c>
      <c r="G99" s="15" t="s">
        <v>61</v>
      </c>
      <c r="H99" s="15" t="s">
        <v>69</v>
      </c>
      <c r="I99" s="15" t="s">
        <v>65</v>
      </c>
    </row>
    <row r="100" spans="1:9" x14ac:dyDescent="0.25">
      <c r="A100" s="6" t="s">
        <v>184</v>
      </c>
      <c r="B100" s="7">
        <v>45716</v>
      </c>
      <c r="C100" s="6" t="s">
        <v>59</v>
      </c>
      <c r="D100" s="6" t="s">
        <v>111</v>
      </c>
      <c r="E100" s="8">
        <v>7</v>
      </c>
      <c r="F100" s="9">
        <v>0.15</v>
      </c>
      <c r="G100" s="10" t="s">
        <v>61</v>
      </c>
      <c r="H100" s="10" t="s">
        <v>83</v>
      </c>
      <c r="I100" s="10" t="s">
        <v>77</v>
      </c>
    </row>
    <row r="101" spans="1:9" x14ac:dyDescent="0.25">
      <c r="A101" s="11" t="s">
        <v>185</v>
      </c>
      <c r="B101" s="12">
        <v>45735</v>
      </c>
      <c r="C101" s="11" t="s">
        <v>75</v>
      </c>
      <c r="D101" s="11" t="s">
        <v>94</v>
      </c>
      <c r="E101" s="13">
        <v>2</v>
      </c>
      <c r="F101" s="14">
        <v>0.05</v>
      </c>
      <c r="G101" s="15" t="s">
        <v>61</v>
      </c>
      <c r="H101" s="15" t="s">
        <v>83</v>
      </c>
      <c r="I101" s="15" t="s">
        <v>65</v>
      </c>
    </row>
    <row r="102" spans="1:9" x14ac:dyDescent="0.25">
      <c r="A102" s="6" t="s">
        <v>186</v>
      </c>
      <c r="B102" s="7">
        <v>45968</v>
      </c>
      <c r="C102" s="6" t="s">
        <v>80</v>
      </c>
      <c r="D102" s="6" t="s">
        <v>76</v>
      </c>
      <c r="E102" s="8">
        <v>15</v>
      </c>
      <c r="F102" s="9">
        <v>0.15</v>
      </c>
      <c r="G102" s="10" t="s">
        <v>64</v>
      </c>
      <c r="H102" s="10" t="s">
        <v>69</v>
      </c>
      <c r="I102" s="10" t="s">
        <v>65</v>
      </c>
    </row>
    <row r="103" spans="1:9" x14ac:dyDescent="0.25">
      <c r="A103" s="11" t="s">
        <v>187</v>
      </c>
      <c r="B103" s="12">
        <v>45814</v>
      </c>
      <c r="C103" s="11" t="s">
        <v>53</v>
      </c>
      <c r="D103" s="11" t="s">
        <v>76</v>
      </c>
      <c r="E103" s="13">
        <v>26</v>
      </c>
      <c r="F103" s="14">
        <v>0</v>
      </c>
      <c r="G103" s="15" t="s">
        <v>55</v>
      </c>
      <c r="H103" s="15" t="s">
        <v>83</v>
      </c>
      <c r="I103" s="15" t="s">
        <v>57</v>
      </c>
    </row>
    <row r="104" spans="1:9" x14ac:dyDescent="0.25">
      <c r="A104" s="6" t="s">
        <v>188</v>
      </c>
      <c r="B104" s="7">
        <v>45793</v>
      </c>
      <c r="C104" s="6" t="s">
        <v>59</v>
      </c>
      <c r="D104" s="6" t="s">
        <v>60</v>
      </c>
      <c r="E104" s="8">
        <v>10</v>
      </c>
      <c r="F104" s="9">
        <v>0.05</v>
      </c>
      <c r="G104" s="10" t="s">
        <v>61</v>
      </c>
      <c r="H104" s="10" t="s">
        <v>56</v>
      </c>
      <c r="I104" s="10" t="s">
        <v>77</v>
      </c>
    </row>
    <row r="105" spans="1:9" x14ac:dyDescent="0.25">
      <c r="A105" s="11" t="s">
        <v>189</v>
      </c>
      <c r="B105" s="12">
        <v>45867</v>
      </c>
      <c r="C105" s="11" t="s">
        <v>105</v>
      </c>
      <c r="D105" s="11" t="s">
        <v>96</v>
      </c>
      <c r="E105" s="13">
        <v>5</v>
      </c>
      <c r="F105" s="14">
        <v>0</v>
      </c>
      <c r="G105" s="15" t="s">
        <v>55</v>
      </c>
      <c r="H105" s="15" t="s">
        <v>69</v>
      </c>
      <c r="I105" s="15" t="s">
        <v>73</v>
      </c>
    </row>
    <row r="106" spans="1:9" x14ac:dyDescent="0.25">
      <c r="A106" s="6" t="s">
        <v>190</v>
      </c>
      <c r="B106" s="7">
        <v>46017</v>
      </c>
      <c r="C106" s="6" t="s">
        <v>105</v>
      </c>
      <c r="D106" s="6" t="s">
        <v>111</v>
      </c>
      <c r="E106" s="8">
        <v>2</v>
      </c>
      <c r="F106" s="9">
        <v>0.05</v>
      </c>
      <c r="G106" s="10" t="s">
        <v>68</v>
      </c>
      <c r="H106" s="10" t="s">
        <v>83</v>
      </c>
      <c r="I106" s="10" t="s">
        <v>57</v>
      </c>
    </row>
    <row r="107" spans="1:9" x14ac:dyDescent="0.25">
      <c r="A107" s="11" t="s">
        <v>191</v>
      </c>
      <c r="B107" s="12">
        <v>45875</v>
      </c>
      <c r="C107" s="11" t="s">
        <v>80</v>
      </c>
      <c r="D107" s="11" t="s">
        <v>54</v>
      </c>
      <c r="E107" s="13">
        <v>11</v>
      </c>
      <c r="F107" s="14">
        <v>0.05</v>
      </c>
      <c r="G107" s="15" t="s">
        <v>68</v>
      </c>
      <c r="H107" s="15" t="s">
        <v>56</v>
      </c>
      <c r="I107" s="15" t="s">
        <v>77</v>
      </c>
    </row>
    <row r="108" spans="1:9" x14ac:dyDescent="0.25">
      <c r="A108" s="6" t="s">
        <v>192</v>
      </c>
      <c r="B108" s="7">
        <v>45688</v>
      </c>
      <c r="C108" s="6" t="s">
        <v>75</v>
      </c>
      <c r="D108" s="6" t="s">
        <v>94</v>
      </c>
      <c r="E108" s="8">
        <v>10</v>
      </c>
      <c r="F108" s="9">
        <v>0.2</v>
      </c>
      <c r="G108" s="10" t="s">
        <v>68</v>
      </c>
      <c r="H108" s="10" t="s">
        <v>69</v>
      </c>
      <c r="I108" s="10" t="s">
        <v>77</v>
      </c>
    </row>
    <row r="109" spans="1:9" x14ac:dyDescent="0.25">
      <c r="A109" s="11" t="s">
        <v>193</v>
      </c>
      <c r="B109" s="12">
        <v>45897</v>
      </c>
      <c r="C109" s="11" t="s">
        <v>75</v>
      </c>
      <c r="D109" s="11" t="s">
        <v>85</v>
      </c>
      <c r="E109" s="13">
        <v>15</v>
      </c>
      <c r="F109" s="14">
        <v>0.1</v>
      </c>
      <c r="G109" s="15" t="s">
        <v>64</v>
      </c>
      <c r="H109" s="15" t="s">
        <v>69</v>
      </c>
      <c r="I109" s="15" t="s">
        <v>77</v>
      </c>
    </row>
    <row r="110" spans="1:9" x14ac:dyDescent="0.25">
      <c r="A110" s="6" t="s">
        <v>194</v>
      </c>
      <c r="B110" s="7">
        <v>45964</v>
      </c>
      <c r="C110" s="6" t="s">
        <v>116</v>
      </c>
      <c r="D110" s="6" t="s">
        <v>120</v>
      </c>
      <c r="E110" s="8">
        <v>12</v>
      </c>
      <c r="F110" s="9">
        <v>0.1</v>
      </c>
      <c r="G110" s="10" t="s">
        <v>68</v>
      </c>
      <c r="H110" s="10" t="s">
        <v>56</v>
      </c>
      <c r="I110" s="10" t="s">
        <v>77</v>
      </c>
    </row>
    <row r="111" spans="1:9" x14ac:dyDescent="0.25">
      <c r="A111" s="11" t="s">
        <v>195</v>
      </c>
      <c r="B111" s="12">
        <v>45775</v>
      </c>
      <c r="C111" s="11" t="s">
        <v>53</v>
      </c>
      <c r="D111" s="11" t="s">
        <v>60</v>
      </c>
      <c r="E111" s="13">
        <v>29</v>
      </c>
      <c r="F111" s="14">
        <v>0.1</v>
      </c>
      <c r="G111" s="15" t="s">
        <v>61</v>
      </c>
      <c r="H111" s="15" t="s">
        <v>56</v>
      </c>
      <c r="I111" s="15" t="s">
        <v>65</v>
      </c>
    </row>
    <row r="112" spans="1:9" x14ac:dyDescent="0.25">
      <c r="A112" s="6" t="s">
        <v>196</v>
      </c>
      <c r="B112" s="7">
        <v>45923</v>
      </c>
      <c r="C112" s="6" t="s">
        <v>105</v>
      </c>
      <c r="D112" s="6" t="s">
        <v>60</v>
      </c>
      <c r="E112" s="8">
        <v>8</v>
      </c>
      <c r="F112" s="9">
        <v>0.2</v>
      </c>
      <c r="G112" s="10" t="s">
        <v>64</v>
      </c>
      <c r="H112" s="10" t="s">
        <v>83</v>
      </c>
      <c r="I112" s="10" t="s">
        <v>65</v>
      </c>
    </row>
    <row r="113" spans="1:9" x14ac:dyDescent="0.25">
      <c r="A113" s="11" t="s">
        <v>197</v>
      </c>
      <c r="B113" s="12">
        <v>45704</v>
      </c>
      <c r="C113" s="11" t="s">
        <v>71</v>
      </c>
      <c r="D113" s="11" t="s">
        <v>96</v>
      </c>
      <c r="E113" s="13">
        <v>7</v>
      </c>
      <c r="F113" s="14">
        <v>0.1</v>
      </c>
      <c r="G113" s="15" t="s">
        <v>68</v>
      </c>
      <c r="H113" s="15" t="s">
        <v>83</v>
      </c>
      <c r="I113" s="15" t="s">
        <v>77</v>
      </c>
    </row>
    <row r="114" spans="1:9" x14ac:dyDescent="0.25">
      <c r="A114" s="6" t="s">
        <v>198</v>
      </c>
      <c r="B114" s="7">
        <v>45740</v>
      </c>
      <c r="C114" s="6" t="s">
        <v>116</v>
      </c>
      <c r="D114" s="6" t="s">
        <v>82</v>
      </c>
      <c r="E114" s="8">
        <v>12</v>
      </c>
      <c r="F114" s="9">
        <v>0.15</v>
      </c>
      <c r="G114" s="10" t="s">
        <v>68</v>
      </c>
      <c r="H114" s="10" t="s">
        <v>83</v>
      </c>
      <c r="I114" s="10" t="s">
        <v>65</v>
      </c>
    </row>
    <row r="115" spans="1:9" x14ac:dyDescent="0.25">
      <c r="A115" s="11" t="s">
        <v>199</v>
      </c>
      <c r="B115" s="12">
        <v>45939</v>
      </c>
      <c r="C115" s="11" t="s">
        <v>105</v>
      </c>
      <c r="D115" s="11" t="s">
        <v>120</v>
      </c>
      <c r="E115" s="13">
        <v>2</v>
      </c>
      <c r="F115" s="14">
        <v>0.1</v>
      </c>
      <c r="G115" s="15" t="s">
        <v>68</v>
      </c>
      <c r="H115" s="15" t="s">
        <v>69</v>
      </c>
      <c r="I115" s="15" t="s">
        <v>77</v>
      </c>
    </row>
    <row r="116" spans="1:9" x14ac:dyDescent="0.25">
      <c r="A116" s="6" t="s">
        <v>200</v>
      </c>
      <c r="B116" s="7">
        <v>45864</v>
      </c>
      <c r="C116" s="6" t="s">
        <v>53</v>
      </c>
      <c r="D116" s="6" t="s">
        <v>111</v>
      </c>
      <c r="E116" s="8">
        <v>11</v>
      </c>
      <c r="F116" s="9">
        <v>0.2</v>
      </c>
      <c r="G116" s="10" t="s">
        <v>64</v>
      </c>
      <c r="H116" s="10" t="s">
        <v>69</v>
      </c>
      <c r="I116" s="10" t="s">
        <v>77</v>
      </c>
    </row>
    <row r="117" spans="1:9" x14ac:dyDescent="0.25">
      <c r="A117" s="11" t="s">
        <v>201</v>
      </c>
      <c r="B117" s="12">
        <v>45754</v>
      </c>
      <c r="C117" s="11" t="s">
        <v>71</v>
      </c>
      <c r="D117" s="11" t="s">
        <v>63</v>
      </c>
      <c r="E117" s="13">
        <v>27</v>
      </c>
      <c r="F117" s="14">
        <v>0.15</v>
      </c>
      <c r="G117" s="15" t="s">
        <v>64</v>
      </c>
      <c r="H117" s="15" t="s">
        <v>56</v>
      </c>
      <c r="I117" s="15" t="s">
        <v>57</v>
      </c>
    </row>
    <row r="118" spans="1:9" x14ac:dyDescent="0.25">
      <c r="A118" s="6" t="s">
        <v>202</v>
      </c>
      <c r="B118" s="7">
        <v>45794</v>
      </c>
      <c r="C118" s="6" t="s">
        <v>90</v>
      </c>
      <c r="D118" s="6" t="s">
        <v>63</v>
      </c>
      <c r="E118" s="8">
        <v>17</v>
      </c>
      <c r="F118" s="9">
        <v>0.15</v>
      </c>
      <c r="G118" s="10" t="s">
        <v>61</v>
      </c>
      <c r="H118" s="10" t="s">
        <v>56</v>
      </c>
      <c r="I118" s="10" t="s">
        <v>57</v>
      </c>
    </row>
    <row r="119" spans="1:9" x14ac:dyDescent="0.25">
      <c r="A119" s="11" t="s">
        <v>203</v>
      </c>
      <c r="B119" s="12">
        <v>46021</v>
      </c>
      <c r="C119" s="11" t="s">
        <v>75</v>
      </c>
      <c r="D119" s="11" t="s">
        <v>94</v>
      </c>
      <c r="E119" s="13">
        <v>9</v>
      </c>
      <c r="F119" s="14">
        <v>0</v>
      </c>
      <c r="G119" s="15" t="s">
        <v>64</v>
      </c>
      <c r="H119" s="15" t="s">
        <v>56</v>
      </c>
      <c r="I119" s="15" t="s">
        <v>57</v>
      </c>
    </row>
    <row r="120" spans="1:9" x14ac:dyDescent="0.25">
      <c r="A120" s="6" t="s">
        <v>204</v>
      </c>
      <c r="B120" s="7">
        <v>45716</v>
      </c>
      <c r="C120" s="6" t="s">
        <v>59</v>
      </c>
      <c r="D120" s="6" t="s">
        <v>96</v>
      </c>
      <c r="E120" s="8">
        <v>11</v>
      </c>
      <c r="F120" s="9">
        <v>0.05</v>
      </c>
      <c r="G120" s="10" t="s">
        <v>64</v>
      </c>
      <c r="H120" s="10" t="s">
        <v>83</v>
      </c>
      <c r="I120" s="10" t="s">
        <v>73</v>
      </c>
    </row>
    <row r="121" spans="1:9" x14ac:dyDescent="0.25">
      <c r="A121" s="11" t="s">
        <v>205</v>
      </c>
      <c r="B121" s="12">
        <v>45918</v>
      </c>
      <c r="C121" s="11" t="s">
        <v>75</v>
      </c>
      <c r="D121" s="11" t="s">
        <v>85</v>
      </c>
      <c r="E121" s="13">
        <v>29</v>
      </c>
      <c r="F121" s="14">
        <v>0.15</v>
      </c>
      <c r="G121" s="15" t="s">
        <v>64</v>
      </c>
      <c r="H121" s="15" t="s">
        <v>56</v>
      </c>
      <c r="I121" s="15" t="s">
        <v>65</v>
      </c>
    </row>
    <row r="122" spans="1:9" x14ac:dyDescent="0.25">
      <c r="A122" s="6" t="s">
        <v>206</v>
      </c>
      <c r="B122" s="7">
        <v>45940</v>
      </c>
      <c r="C122" s="6" t="s">
        <v>116</v>
      </c>
      <c r="D122" s="6" t="s">
        <v>94</v>
      </c>
      <c r="E122" s="8">
        <v>4</v>
      </c>
      <c r="F122" s="9">
        <v>0.2</v>
      </c>
      <c r="G122" s="10" t="s">
        <v>55</v>
      </c>
      <c r="H122" s="10" t="s">
        <v>56</v>
      </c>
      <c r="I122" s="10" t="s">
        <v>73</v>
      </c>
    </row>
    <row r="123" spans="1:9" x14ac:dyDescent="0.25">
      <c r="A123" s="11" t="s">
        <v>207</v>
      </c>
      <c r="B123" s="12">
        <v>45870</v>
      </c>
      <c r="C123" s="11" t="s">
        <v>75</v>
      </c>
      <c r="D123" s="11" t="s">
        <v>82</v>
      </c>
      <c r="E123" s="13">
        <v>1</v>
      </c>
      <c r="F123" s="14">
        <v>0.1</v>
      </c>
      <c r="G123" s="15" t="s">
        <v>68</v>
      </c>
      <c r="H123" s="15" t="s">
        <v>83</v>
      </c>
      <c r="I123" s="15" t="s">
        <v>65</v>
      </c>
    </row>
    <row r="124" spans="1:9" x14ac:dyDescent="0.25">
      <c r="A124" s="6" t="s">
        <v>208</v>
      </c>
      <c r="B124" s="7">
        <v>45734</v>
      </c>
      <c r="C124" s="6" t="s">
        <v>105</v>
      </c>
      <c r="D124" s="6" t="s">
        <v>96</v>
      </c>
      <c r="E124" s="8">
        <v>6</v>
      </c>
      <c r="F124" s="9">
        <v>0.1</v>
      </c>
      <c r="G124" s="10" t="s">
        <v>64</v>
      </c>
      <c r="H124" s="10" t="s">
        <v>69</v>
      </c>
      <c r="I124" s="10" t="s">
        <v>73</v>
      </c>
    </row>
    <row r="125" spans="1:9" x14ac:dyDescent="0.25">
      <c r="A125" s="11" t="s">
        <v>209</v>
      </c>
      <c r="B125" s="12">
        <v>45754</v>
      </c>
      <c r="C125" s="11" t="s">
        <v>80</v>
      </c>
      <c r="D125" s="11" t="s">
        <v>85</v>
      </c>
      <c r="E125" s="13">
        <v>15</v>
      </c>
      <c r="F125" s="14">
        <v>0.05</v>
      </c>
      <c r="G125" s="15" t="s">
        <v>64</v>
      </c>
      <c r="H125" s="15" t="s">
        <v>56</v>
      </c>
      <c r="I125" s="15" t="s">
        <v>73</v>
      </c>
    </row>
    <row r="126" spans="1:9" x14ac:dyDescent="0.25">
      <c r="A126" s="6" t="s">
        <v>210</v>
      </c>
      <c r="B126" s="7">
        <v>45900</v>
      </c>
      <c r="C126" s="6" t="s">
        <v>116</v>
      </c>
      <c r="D126" s="6" t="s">
        <v>85</v>
      </c>
      <c r="E126" s="8">
        <v>24</v>
      </c>
      <c r="F126" s="9">
        <v>0.05</v>
      </c>
      <c r="G126" s="10" t="s">
        <v>64</v>
      </c>
      <c r="H126" s="10" t="s">
        <v>56</v>
      </c>
      <c r="I126" s="10" t="s">
        <v>57</v>
      </c>
    </row>
    <row r="127" spans="1:9" x14ac:dyDescent="0.25">
      <c r="A127" s="11" t="s">
        <v>211</v>
      </c>
      <c r="B127" s="12">
        <v>45915</v>
      </c>
      <c r="C127" s="11" t="s">
        <v>71</v>
      </c>
      <c r="D127" s="11" t="s">
        <v>76</v>
      </c>
      <c r="E127" s="13">
        <v>30</v>
      </c>
      <c r="F127" s="14">
        <v>0.15</v>
      </c>
      <c r="G127" s="15" t="s">
        <v>61</v>
      </c>
      <c r="H127" s="15" t="s">
        <v>83</v>
      </c>
      <c r="I127" s="15" t="s">
        <v>65</v>
      </c>
    </row>
    <row r="128" spans="1:9" x14ac:dyDescent="0.25">
      <c r="A128" s="6" t="s">
        <v>212</v>
      </c>
      <c r="B128" s="7">
        <v>45665</v>
      </c>
      <c r="C128" s="6" t="s">
        <v>90</v>
      </c>
      <c r="D128" s="6" t="s">
        <v>85</v>
      </c>
      <c r="E128" s="8">
        <v>30</v>
      </c>
      <c r="F128" s="9">
        <v>0.05</v>
      </c>
      <c r="G128" s="10" t="s">
        <v>61</v>
      </c>
      <c r="H128" s="10" t="s">
        <v>69</v>
      </c>
      <c r="I128" s="10" t="s">
        <v>73</v>
      </c>
    </row>
    <row r="129" spans="1:9" x14ac:dyDescent="0.25">
      <c r="A129" s="11" t="s">
        <v>213</v>
      </c>
      <c r="B129" s="12">
        <v>45831</v>
      </c>
      <c r="C129" s="11" t="s">
        <v>116</v>
      </c>
      <c r="D129" s="11" t="s">
        <v>76</v>
      </c>
      <c r="E129" s="13">
        <v>5</v>
      </c>
      <c r="F129" s="14">
        <v>0.1</v>
      </c>
      <c r="G129" s="15" t="s">
        <v>64</v>
      </c>
      <c r="H129" s="15" t="s">
        <v>69</v>
      </c>
      <c r="I129" s="15" t="s">
        <v>65</v>
      </c>
    </row>
    <row r="130" spans="1:9" x14ac:dyDescent="0.25">
      <c r="A130" s="6" t="s">
        <v>214</v>
      </c>
      <c r="B130" s="7">
        <v>45935</v>
      </c>
      <c r="C130" s="6" t="s">
        <v>59</v>
      </c>
      <c r="D130" s="6" t="s">
        <v>120</v>
      </c>
      <c r="E130" s="8">
        <v>4</v>
      </c>
      <c r="F130" s="9">
        <v>0.1</v>
      </c>
      <c r="G130" s="10" t="s">
        <v>55</v>
      </c>
      <c r="H130" s="10" t="s">
        <v>83</v>
      </c>
      <c r="I130" s="10" t="s">
        <v>77</v>
      </c>
    </row>
    <row r="131" spans="1:9" x14ac:dyDescent="0.25">
      <c r="A131" s="11" t="s">
        <v>215</v>
      </c>
      <c r="B131" s="12">
        <v>45880</v>
      </c>
      <c r="C131" s="11" t="s">
        <v>59</v>
      </c>
      <c r="D131" s="11" t="s">
        <v>54</v>
      </c>
      <c r="E131" s="13">
        <v>8</v>
      </c>
      <c r="F131" s="14">
        <v>0.05</v>
      </c>
      <c r="G131" s="15" t="s">
        <v>68</v>
      </c>
      <c r="H131" s="15" t="s">
        <v>56</v>
      </c>
      <c r="I131" s="15" t="s">
        <v>77</v>
      </c>
    </row>
    <row r="132" spans="1:9" x14ac:dyDescent="0.25">
      <c r="A132" s="6" t="s">
        <v>216</v>
      </c>
      <c r="B132" s="7">
        <v>45824</v>
      </c>
      <c r="C132" s="6" t="s">
        <v>53</v>
      </c>
      <c r="D132" s="6" t="s">
        <v>72</v>
      </c>
      <c r="E132" s="8">
        <v>5</v>
      </c>
      <c r="F132" s="9">
        <v>0.1</v>
      </c>
      <c r="G132" s="10" t="s">
        <v>68</v>
      </c>
      <c r="H132" s="10" t="s">
        <v>69</v>
      </c>
      <c r="I132" s="10" t="s">
        <v>57</v>
      </c>
    </row>
    <row r="133" spans="1:9" x14ac:dyDescent="0.25">
      <c r="A133" s="11" t="s">
        <v>217</v>
      </c>
      <c r="B133" s="12">
        <v>45783</v>
      </c>
      <c r="C133" s="11" t="s">
        <v>116</v>
      </c>
      <c r="D133" s="11" t="s">
        <v>63</v>
      </c>
      <c r="E133" s="13">
        <v>24</v>
      </c>
      <c r="F133" s="14">
        <v>0.05</v>
      </c>
      <c r="G133" s="15" t="s">
        <v>55</v>
      </c>
      <c r="H133" s="15" t="s">
        <v>56</v>
      </c>
      <c r="I133" s="15" t="s">
        <v>77</v>
      </c>
    </row>
    <row r="134" spans="1:9" x14ac:dyDescent="0.25">
      <c r="A134" s="6" t="s">
        <v>218</v>
      </c>
      <c r="B134" s="7">
        <v>45970</v>
      </c>
      <c r="C134" s="6" t="s">
        <v>116</v>
      </c>
      <c r="D134" s="6" t="s">
        <v>111</v>
      </c>
      <c r="E134" s="8">
        <v>10</v>
      </c>
      <c r="F134" s="9">
        <v>0.05</v>
      </c>
      <c r="G134" s="10" t="s">
        <v>64</v>
      </c>
      <c r="H134" s="10" t="s">
        <v>83</v>
      </c>
      <c r="I134" s="10" t="s">
        <v>57</v>
      </c>
    </row>
    <row r="135" spans="1:9" x14ac:dyDescent="0.25">
      <c r="A135" s="11" t="s">
        <v>219</v>
      </c>
      <c r="B135" s="12">
        <v>45776</v>
      </c>
      <c r="C135" s="11" t="s">
        <v>75</v>
      </c>
      <c r="D135" s="11" t="s">
        <v>96</v>
      </c>
      <c r="E135" s="13">
        <v>8</v>
      </c>
      <c r="F135" s="14">
        <v>0.1</v>
      </c>
      <c r="G135" s="15" t="s">
        <v>61</v>
      </c>
      <c r="H135" s="15" t="s">
        <v>69</v>
      </c>
      <c r="I135" s="15" t="s">
        <v>73</v>
      </c>
    </row>
    <row r="136" spans="1:9" x14ac:dyDescent="0.25">
      <c r="A136" s="6" t="s">
        <v>220</v>
      </c>
      <c r="B136" s="7">
        <v>46004</v>
      </c>
      <c r="C136" s="6" t="s">
        <v>90</v>
      </c>
      <c r="D136" s="6" t="s">
        <v>63</v>
      </c>
      <c r="E136" s="8">
        <v>17</v>
      </c>
      <c r="F136" s="9">
        <v>0.1</v>
      </c>
      <c r="G136" s="10" t="s">
        <v>68</v>
      </c>
      <c r="H136" s="10" t="s">
        <v>83</v>
      </c>
      <c r="I136" s="10" t="s">
        <v>65</v>
      </c>
    </row>
    <row r="137" spans="1:9" x14ac:dyDescent="0.25">
      <c r="A137" s="11" t="s">
        <v>221</v>
      </c>
      <c r="B137" s="12">
        <v>46011</v>
      </c>
      <c r="C137" s="11" t="s">
        <v>105</v>
      </c>
      <c r="D137" s="11" t="s">
        <v>67</v>
      </c>
      <c r="E137" s="13">
        <v>5</v>
      </c>
      <c r="F137" s="14">
        <v>0.05</v>
      </c>
      <c r="G137" s="15" t="s">
        <v>64</v>
      </c>
      <c r="H137" s="15" t="s">
        <v>69</v>
      </c>
      <c r="I137" s="15" t="s">
        <v>77</v>
      </c>
    </row>
    <row r="138" spans="1:9" x14ac:dyDescent="0.25">
      <c r="A138" s="6" t="s">
        <v>222</v>
      </c>
      <c r="B138" s="7">
        <v>45779</v>
      </c>
      <c r="C138" s="6" t="s">
        <v>71</v>
      </c>
      <c r="D138" s="6" t="s">
        <v>92</v>
      </c>
      <c r="E138" s="8">
        <v>10</v>
      </c>
      <c r="F138" s="9">
        <v>0.1</v>
      </c>
      <c r="G138" s="10" t="s">
        <v>68</v>
      </c>
      <c r="H138" s="10" t="s">
        <v>56</v>
      </c>
      <c r="I138" s="10" t="s">
        <v>65</v>
      </c>
    </row>
    <row r="139" spans="1:9" x14ac:dyDescent="0.25">
      <c r="A139" s="11" t="s">
        <v>223</v>
      </c>
      <c r="B139" s="12">
        <v>45798</v>
      </c>
      <c r="C139" s="11" t="s">
        <v>53</v>
      </c>
      <c r="D139" s="11" t="s">
        <v>120</v>
      </c>
      <c r="E139" s="13">
        <v>10</v>
      </c>
      <c r="F139" s="14">
        <v>0.15</v>
      </c>
      <c r="G139" s="15" t="s">
        <v>68</v>
      </c>
      <c r="H139" s="15" t="s">
        <v>56</v>
      </c>
      <c r="I139" s="15" t="s">
        <v>73</v>
      </c>
    </row>
    <row r="140" spans="1:9" x14ac:dyDescent="0.25">
      <c r="A140" s="6" t="s">
        <v>224</v>
      </c>
      <c r="B140" s="7">
        <v>45770</v>
      </c>
      <c r="C140" s="6" t="s">
        <v>80</v>
      </c>
      <c r="D140" s="6" t="s">
        <v>60</v>
      </c>
      <c r="E140" s="8">
        <v>11</v>
      </c>
      <c r="F140" s="9">
        <v>0.05</v>
      </c>
      <c r="G140" s="10" t="s">
        <v>61</v>
      </c>
      <c r="H140" s="10" t="s">
        <v>83</v>
      </c>
      <c r="I140" s="10" t="s">
        <v>77</v>
      </c>
    </row>
    <row r="141" spans="1:9" x14ac:dyDescent="0.25">
      <c r="A141" s="11" t="s">
        <v>225</v>
      </c>
      <c r="B141" s="12">
        <v>45816</v>
      </c>
      <c r="C141" s="11" t="s">
        <v>105</v>
      </c>
      <c r="D141" s="11" t="s">
        <v>72</v>
      </c>
      <c r="E141" s="13">
        <v>1</v>
      </c>
      <c r="F141" s="14">
        <v>0.2</v>
      </c>
      <c r="G141" s="15" t="s">
        <v>68</v>
      </c>
      <c r="H141" s="15" t="s">
        <v>83</v>
      </c>
      <c r="I141" s="15" t="s">
        <v>57</v>
      </c>
    </row>
    <row r="142" spans="1:9" x14ac:dyDescent="0.25">
      <c r="A142" s="6" t="s">
        <v>226</v>
      </c>
      <c r="B142" s="7">
        <v>45704</v>
      </c>
      <c r="C142" s="6" t="s">
        <v>75</v>
      </c>
      <c r="D142" s="6" t="s">
        <v>103</v>
      </c>
      <c r="E142" s="8">
        <v>6</v>
      </c>
      <c r="F142" s="9">
        <v>0.15</v>
      </c>
      <c r="G142" s="10" t="s">
        <v>55</v>
      </c>
      <c r="H142" s="10" t="s">
        <v>56</v>
      </c>
      <c r="I142" s="10" t="s">
        <v>57</v>
      </c>
    </row>
    <row r="143" spans="1:9" x14ac:dyDescent="0.25">
      <c r="A143" s="11" t="s">
        <v>227</v>
      </c>
      <c r="B143" s="12">
        <v>45934</v>
      </c>
      <c r="C143" s="11" t="s">
        <v>71</v>
      </c>
      <c r="D143" s="11" t="s">
        <v>103</v>
      </c>
      <c r="E143" s="13">
        <v>9</v>
      </c>
      <c r="F143" s="14">
        <v>0.2</v>
      </c>
      <c r="G143" s="15" t="s">
        <v>68</v>
      </c>
      <c r="H143" s="15" t="s">
        <v>56</v>
      </c>
      <c r="I143" s="15" t="s">
        <v>73</v>
      </c>
    </row>
    <row r="144" spans="1:9" x14ac:dyDescent="0.25">
      <c r="A144" s="6" t="s">
        <v>228</v>
      </c>
      <c r="B144" s="7">
        <v>45904</v>
      </c>
      <c r="C144" s="6" t="s">
        <v>75</v>
      </c>
      <c r="D144" s="6" t="s">
        <v>72</v>
      </c>
      <c r="E144" s="8">
        <v>12</v>
      </c>
      <c r="F144" s="9">
        <v>0.1</v>
      </c>
      <c r="G144" s="10" t="s">
        <v>61</v>
      </c>
      <c r="H144" s="10" t="s">
        <v>69</v>
      </c>
      <c r="I144" s="10" t="s">
        <v>77</v>
      </c>
    </row>
    <row r="145" spans="1:9" x14ac:dyDescent="0.25">
      <c r="A145" s="11" t="s">
        <v>229</v>
      </c>
      <c r="B145" s="12">
        <v>45730</v>
      </c>
      <c r="C145" s="11" t="s">
        <v>80</v>
      </c>
      <c r="D145" s="11" t="s">
        <v>72</v>
      </c>
      <c r="E145" s="13">
        <v>11</v>
      </c>
      <c r="F145" s="14">
        <v>0.15</v>
      </c>
      <c r="G145" s="15" t="s">
        <v>68</v>
      </c>
      <c r="H145" s="15" t="s">
        <v>56</v>
      </c>
      <c r="I145" s="15" t="s">
        <v>65</v>
      </c>
    </row>
    <row r="146" spans="1:9" x14ac:dyDescent="0.25">
      <c r="A146" s="6" t="s">
        <v>230</v>
      </c>
      <c r="B146" s="7">
        <v>45665</v>
      </c>
      <c r="C146" s="6" t="s">
        <v>59</v>
      </c>
      <c r="D146" s="6" t="s">
        <v>67</v>
      </c>
      <c r="E146" s="8">
        <v>8</v>
      </c>
      <c r="F146" s="9">
        <v>0.1</v>
      </c>
      <c r="G146" s="10" t="s">
        <v>68</v>
      </c>
      <c r="H146" s="10" t="s">
        <v>83</v>
      </c>
      <c r="I146" s="10" t="s">
        <v>65</v>
      </c>
    </row>
    <row r="147" spans="1:9" x14ac:dyDescent="0.25">
      <c r="A147" s="11" t="s">
        <v>231</v>
      </c>
      <c r="B147" s="12">
        <v>45984</v>
      </c>
      <c r="C147" s="11" t="s">
        <v>59</v>
      </c>
      <c r="D147" s="11" t="s">
        <v>82</v>
      </c>
      <c r="E147" s="13">
        <v>11</v>
      </c>
      <c r="F147" s="14">
        <v>0.05</v>
      </c>
      <c r="G147" s="15" t="s">
        <v>64</v>
      </c>
      <c r="H147" s="15" t="s">
        <v>56</v>
      </c>
      <c r="I147" s="15" t="s">
        <v>73</v>
      </c>
    </row>
    <row r="148" spans="1:9" x14ac:dyDescent="0.25">
      <c r="A148" s="6" t="s">
        <v>232</v>
      </c>
      <c r="B148" s="7">
        <v>45970</v>
      </c>
      <c r="C148" s="6" t="s">
        <v>59</v>
      </c>
      <c r="D148" s="6" t="s">
        <v>88</v>
      </c>
      <c r="E148" s="8">
        <v>11</v>
      </c>
      <c r="F148" s="9">
        <v>0.15</v>
      </c>
      <c r="G148" s="10" t="s">
        <v>68</v>
      </c>
      <c r="H148" s="10" t="s">
        <v>83</v>
      </c>
      <c r="I148" s="10" t="s">
        <v>65</v>
      </c>
    </row>
    <row r="149" spans="1:9" x14ac:dyDescent="0.25">
      <c r="A149" s="11" t="s">
        <v>233</v>
      </c>
      <c r="B149" s="12">
        <v>45717</v>
      </c>
      <c r="C149" s="11" t="s">
        <v>53</v>
      </c>
      <c r="D149" s="11" t="s">
        <v>94</v>
      </c>
      <c r="E149" s="13">
        <v>1</v>
      </c>
      <c r="F149" s="14">
        <v>0.1</v>
      </c>
      <c r="G149" s="15" t="s">
        <v>64</v>
      </c>
      <c r="H149" s="15" t="s">
        <v>56</v>
      </c>
      <c r="I149" s="15" t="s">
        <v>77</v>
      </c>
    </row>
    <row r="150" spans="1:9" x14ac:dyDescent="0.25">
      <c r="A150" s="6" t="s">
        <v>234</v>
      </c>
      <c r="B150" s="7">
        <v>45778</v>
      </c>
      <c r="C150" s="6" t="s">
        <v>90</v>
      </c>
      <c r="D150" s="6" t="s">
        <v>103</v>
      </c>
      <c r="E150" s="8">
        <v>7</v>
      </c>
      <c r="F150" s="9">
        <v>0.15</v>
      </c>
      <c r="G150" s="10" t="s">
        <v>68</v>
      </c>
      <c r="H150" s="10" t="s">
        <v>83</v>
      </c>
      <c r="I150" s="10" t="s">
        <v>65</v>
      </c>
    </row>
    <row r="151" spans="1:9" x14ac:dyDescent="0.25">
      <c r="A151" s="11" t="s">
        <v>235</v>
      </c>
      <c r="B151" s="12">
        <v>45958</v>
      </c>
      <c r="C151" s="11" t="s">
        <v>90</v>
      </c>
      <c r="D151" s="11" t="s">
        <v>85</v>
      </c>
      <c r="E151" s="13">
        <v>23</v>
      </c>
      <c r="F151" s="14">
        <v>0</v>
      </c>
      <c r="G151" s="15" t="s">
        <v>64</v>
      </c>
      <c r="H151" s="15" t="s">
        <v>83</v>
      </c>
      <c r="I151" s="15" t="s">
        <v>65</v>
      </c>
    </row>
    <row r="152" spans="1:9" x14ac:dyDescent="0.25">
      <c r="A152" s="6" t="s">
        <v>236</v>
      </c>
      <c r="B152" s="7">
        <v>45801</v>
      </c>
      <c r="C152" s="6" t="s">
        <v>71</v>
      </c>
      <c r="D152" s="6" t="s">
        <v>120</v>
      </c>
      <c r="E152" s="8">
        <v>4</v>
      </c>
      <c r="F152" s="9">
        <v>0.15</v>
      </c>
      <c r="G152" s="10" t="s">
        <v>64</v>
      </c>
      <c r="H152" s="10" t="s">
        <v>56</v>
      </c>
      <c r="I152" s="10" t="s">
        <v>73</v>
      </c>
    </row>
    <row r="153" spans="1:9" x14ac:dyDescent="0.25">
      <c r="A153" s="11" t="s">
        <v>237</v>
      </c>
      <c r="B153" s="12">
        <v>45708</v>
      </c>
      <c r="C153" s="11" t="s">
        <v>71</v>
      </c>
      <c r="D153" s="11" t="s">
        <v>60</v>
      </c>
      <c r="E153" s="13">
        <v>23</v>
      </c>
      <c r="F153" s="14">
        <v>0.1</v>
      </c>
      <c r="G153" s="15" t="s">
        <v>61</v>
      </c>
      <c r="H153" s="15" t="s">
        <v>69</v>
      </c>
      <c r="I153" s="15" t="s">
        <v>73</v>
      </c>
    </row>
    <row r="154" spans="1:9" x14ac:dyDescent="0.25">
      <c r="A154" s="6" t="s">
        <v>238</v>
      </c>
      <c r="B154" s="7">
        <v>45755</v>
      </c>
      <c r="C154" s="6" t="s">
        <v>105</v>
      </c>
      <c r="D154" s="6" t="s">
        <v>54</v>
      </c>
      <c r="E154" s="8">
        <v>2</v>
      </c>
      <c r="F154" s="9">
        <v>0.05</v>
      </c>
      <c r="G154" s="10" t="s">
        <v>61</v>
      </c>
      <c r="H154" s="10" t="s">
        <v>56</v>
      </c>
      <c r="I154" s="10" t="s">
        <v>73</v>
      </c>
    </row>
    <row r="155" spans="1:9" x14ac:dyDescent="0.25">
      <c r="A155" s="11" t="s">
        <v>239</v>
      </c>
      <c r="B155" s="12">
        <v>45782</v>
      </c>
      <c r="C155" s="11" t="s">
        <v>80</v>
      </c>
      <c r="D155" s="11" t="s">
        <v>94</v>
      </c>
      <c r="E155" s="13">
        <v>2</v>
      </c>
      <c r="F155" s="14">
        <v>0.2</v>
      </c>
      <c r="G155" s="15" t="s">
        <v>55</v>
      </c>
      <c r="H155" s="15" t="s">
        <v>83</v>
      </c>
      <c r="I155" s="15" t="s">
        <v>57</v>
      </c>
    </row>
    <row r="156" spans="1:9" x14ac:dyDescent="0.25">
      <c r="A156" s="6" t="s">
        <v>240</v>
      </c>
      <c r="B156" s="7">
        <v>45777</v>
      </c>
      <c r="C156" s="6" t="s">
        <v>90</v>
      </c>
      <c r="D156" s="6" t="s">
        <v>82</v>
      </c>
      <c r="E156" s="8">
        <v>10</v>
      </c>
      <c r="F156" s="9">
        <v>0</v>
      </c>
      <c r="G156" s="10" t="s">
        <v>68</v>
      </c>
      <c r="H156" s="10" t="s">
        <v>56</v>
      </c>
      <c r="I156" s="10" t="s">
        <v>57</v>
      </c>
    </row>
    <row r="157" spans="1:9" x14ac:dyDescent="0.25">
      <c r="A157" s="11" t="s">
        <v>241</v>
      </c>
      <c r="B157" s="12">
        <v>45934</v>
      </c>
      <c r="C157" s="11" t="s">
        <v>90</v>
      </c>
      <c r="D157" s="11" t="s">
        <v>67</v>
      </c>
      <c r="E157" s="13">
        <v>2</v>
      </c>
      <c r="F157" s="14">
        <v>0</v>
      </c>
      <c r="G157" s="15" t="s">
        <v>55</v>
      </c>
      <c r="H157" s="15" t="s">
        <v>56</v>
      </c>
      <c r="I157" s="15" t="s">
        <v>73</v>
      </c>
    </row>
    <row r="158" spans="1:9" x14ac:dyDescent="0.25">
      <c r="A158" s="6" t="s">
        <v>242</v>
      </c>
      <c r="B158" s="7">
        <v>45779</v>
      </c>
      <c r="C158" s="6" t="s">
        <v>71</v>
      </c>
      <c r="D158" s="6" t="s">
        <v>76</v>
      </c>
      <c r="E158" s="8">
        <v>8</v>
      </c>
      <c r="F158" s="9">
        <v>0.1</v>
      </c>
      <c r="G158" s="10" t="s">
        <v>61</v>
      </c>
      <c r="H158" s="10" t="s">
        <v>56</v>
      </c>
      <c r="I158" s="10" t="s">
        <v>65</v>
      </c>
    </row>
    <row r="159" spans="1:9" x14ac:dyDescent="0.25">
      <c r="A159" s="11" t="s">
        <v>243</v>
      </c>
      <c r="B159" s="12">
        <v>45927</v>
      </c>
      <c r="C159" s="11" t="s">
        <v>59</v>
      </c>
      <c r="D159" s="11" t="s">
        <v>54</v>
      </c>
      <c r="E159" s="13">
        <v>8</v>
      </c>
      <c r="F159" s="14">
        <v>0.15</v>
      </c>
      <c r="G159" s="15" t="s">
        <v>68</v>
      </c>
      <c r="H159" s="15" t="s">
        <v>83</v>
      </c>
      <c r="I159" s="15" t="s">
        <v>77</v>
      </c>
    </row>
    <row r="160" spans="1:9" x14ac:dyDescent="0.25">
      <c r="A160" s="6" t="s">
        <v>244</v>
      </c>
      <c r="B160" s="7">
        <v>45889</v>
      </c>
      <c r="C160" s="6" t="s">
        <v>80</v>
      </c>
      <c r="D160" s="6" t="s">
        <v>63</v>
      </c>
      <c r="E160" s="8">
        <v>4</v>
      </c>
      <c r="F160" s="9">
        <v>0.2</v>
      </c>
      <c r="G160" s="10" t="s">
        <v>68</v>
      </c>
      <c r="H160" s="10" t="s">
        <v>69</v>
      </c>
      <c r="I160" s="10" t="s">
        <v>77</v>
      </c>
    </row>
    <row r="161" spans="1:9" x14ac:dyDescent="0.25">
      <c r="A161" s="11" t="s">
        <v>245</v>
      </c>
      <c r="B161" s="12">
        <v>45689</v>
      </c>
      <c r="C161" s="11" t="s">
        <v>116</v>
      </c>
      <c r="D161" s="11" t="s">
        <v>96</v>
      </c>
      <c r="E161" s="13">
        <v>7</v>
      </c>
      <c r="F161" s="14">
        <v>0</v>
      </c>
      <c r="G161" s="15" t="s">
        <v>64</v>
      </c>
      <c r="H161" s="15" t="s">
        <v>83</v>
      </c>
      <c r="I161" s="15" t="s">
        <v>65</v>
      </c>
    </row>
    <row r="162" spans="1:9" x14ac:dyDescent="0.25">
      <c r="A162" s="6" t="s">
        <v>246</v>
      </c>
      <c r="B162" s="7">
        <v>45695</v>
      </c>
      <c r="C162" s="6" t="s">
        <v>59</v>
      </c>
      <c r="D162" s="6" t="s">
        <v>103</v>
      </c>
      <c r="E162" s="8">
        <v>6</v>
      </c>
      <c r="F162" s="9">
        <v>0.2</v>
      </c>
      <c r="G162" s="10" t="s">
        <v>55</v>
      </c>
      <c r="H162" s="10" t="s">
        <v>56</v>
      </c>
      <c r="I162" s="10" t="s">
        <v>57</v>
      </c>
    </row>
    <row r="163" spans="1:9" x14ac:dyDescent="0.25">
      <c r="A163" s="11" t="s">
        <v>247</v>
      </c>
      <c r="B163" s="12">
        <v>45798</v>
      </c>
      <c r="C163" s="11" t="s">
        <v>71</v>
      </c>
      <c r="D163" s="11" t="s">
        <v>76</v>
      </c>
      <c r="E163" s="13">
        <v>22</v>
      </c>
      <c r="F163" s="14">
        <v>0.2</v>
      </c>
      <c r="G163" s="15" t="s">
        <v>68</v>
      </c>
      <c r="H163" s="15" t="s">
        <v>69</v>
      </c>
      <c r="I163" s="15" t="s">
        <v>65</v>
      </c>
    </row>
    <row r="164" spans="1:9" x14ac:dyDescent="0.25">
      <c r="A164" s="6" t="s">
        <v>248</v>
      </c>
      <c r="B164" s="7">
        <v>45708</v>
      </c>
      <c r="C164" s="6" t="s">
        <v>59</v>
      </c>
      <c r="D164" s="6" t="s">
        <v>72</v>
      </c>
      <c r="E164" s="8">
        <v>11</v>
      </c>
      <c r="F164" s="9">
        <v>0.2</v>
      </c>
      <c r="G164" s="10" t="s">
        <v>55</v>
      </c>
      <c r="H164" s="10" t="s">
        <v>69</v>
      </c>
      <c r="I164" s="10" t="s">
        <v>65</v>
      </c>
    </row>
    <row r="165" spans="1:9" x14ac:dyDescent="0.25">
      <c r="A165" s="11" t="s">
        <v>249</v>
      </c>
      <c r="B165" s="12">
        <v>45774</v>
      </c>
      <c r="C165" s="11" t="s">
        <v>71</v>
      </c>
      <c r="D165" s="11" t="s">
        <v>92</v>
      </c>
      <c r="E165" s="13">
        <v>8</v>
      </c>
      <c r="F165" s="14">
        <v>0.15</v>
      </c>
      <c r="G165" s="15" t="s">
        <v>64</v>
      </c>
      <c r="H165" s="15" t="s">
        <v>83</v>
      </c>
      <c r="I165" s="15" t="s">
        <v>77</v>
      </c>
    </row>
    <row r="166" spans="1:9" x14ac:dyDescent="0.25">
      <c r="A166" s="6" t="s">
        <v>250</v>
      </c>
      <c r="B166" s="7">
        <v>45818</v>
      </c>
      <c r="C166" s="6" t="s">
        <v>71</v>
      </c>
      <c r="D166" s="6" t="s">
        <v>92</v>
      </c>
      <c r="E166" s="8">
        <v>11</v>
      </c>
      <c r="F166" s="9">
        <v>0.1</v>
      </c>
      <c r="G166" s="10" t="s">
        <v>68</v>
      </c>
      <c r="H166" s="10" t="s">
        <v>56</v>
      </c>
      <c r="I166" s="10" t="s">
        <v>65</v>
      </c>
    </row>
    <row r="167" spans="1:9" x14ac:dyDescent="0.25">
      <c r="A167" s="11" t="s">
        <v>251</v>
      </c>
      <c r="B167" s="12">
        <v>45692</v>
      </c>
      <c r="C167" s="11" t="s">
        <v>59</v>
      </c>
      <c r="D167" s="11" t="s">
        <v>54</v>
      </c>
      <c r="E167" s="13">
        <v>2</v>
      </c>
      <c r="F167" s="14">
        <v>0.15</v>
      </c>
      <c r="G167" s="15" t="s">
        <v>61</v>
      </c>
      <c r="H167" s="15" t="s">
        <v>83</v>
      </c>
      <c r="I167" s="15" t="s">
        <v>73</v>
      </c>
    </row>
    <row r="168" spans="1:9" x14ac:dyDescent="0.25">
      <c r="A168" s="6" t="s">
        <v>252</v>
      </c>
      <c r="B168" s="7">
        <v>45724</v>
      </c>
      <c r="C168" s="6" t="s">
        <v>53</v>
      </c>
      <c r="D168" s="6" t="s">
        <v>63</v>
      </c>
      <c r="E168" s="8">
        <v>20</v>
      </c>
      <c r="F168" s="9">
        <v>0.2</v>
      </c>
      <c r="G168" s="10" t="s">
        <v>68</v>
      </c>
      <c r="H168" s="10" t="s">
        <v>83</v>
      </c>
      <c r="I168" s="10" t="s">
        <v>77</v>
      </c>
    </row>
    <row r="169" spans="1:9" x14ac:dyDescent="0.25">
      <c r="A169" s="11" t="s">
        <v>253</v>
      </c>
      <c r="B169" s="12">
        <v>45868</v>
      </c>
      <c r="C169" s="11" t="s">
        <v>116</v>
      </c>
      <c r="D169" s="11" t="s">
        <v>82</v>
      </c>
      <c r="E169" s="13">
        <v>12</v>
      </c>
      <c r="F169" s="14">
        <v>0</v>
      </c>
      <c r="G169" s="15" t="s">
        <v>68</v>
      </c>
      <c r="H169" s="15" t="s">
        <v>83</v>
      </c>
      <c r="I169" s="15" t="s">
        <v>73</v>
      </c>
    </row>
    <row r="170" spans="1:9" x14ac:dyDescent="0.25">
      <c r="A170" s="6" t="s">
        <v>254</v>
      </c>
      <c r="B170" s="7">
        <v>45838</v>
      </c>
      <c r="C170" s="6" t="s">
        <v>80</v>
      </c>
      <c r="D170" s="6" t="s">
        <v>54</v>
      </c>
      <c r="E170" s="8">
        <v>3</v>
      </c>
      <c r="F170" s="9">
        <v>0.15</v>
      </c>
      <c r="G170" s="10" t="s">
        <v>55</v>
      </c>
      <c r="H170" s="10" t="s">
        <v>56</v>
      </c>
      <c r="I170" s="10" t="s">
        <v>73</v>
      </c>
    </row>
    <row r="171" spans="1:9" x14ac:dyDescent="0.25">
      <c r="A171" s="11" t="s">
        <v>255</v>
      </c>
      <c r="B171" s="12">
        <v>45942</v>
      </c>
      <c r="C171" s="11" t="s">
        <v>59</v>
      </c>
      <c r="D171" s="11" t="s">
        <v>82</v>
      </c>
      <c r="E171" s="13">
        <v>5</v>
      </c>
      <c r="F171" s="14">
        <v>0.2</v>
      </c>
      <c r="G171" s="15" t="s">
        <v>55</v>
      </c>
      <c r="H171" s="15" t="s">
        <v>69</v>
      </c>
      <c r="I171" s="15" t="s">
        <v>77</v>
      </c>
    </row>
    <row r="172" spans="1:9" x14ac:dyDescent="0.25">
      <c r="A172" s="6" t="s">
        <v>256</v>
      </c>
      <c r="B172" s="7">
        <v>45969</v>
      </c>
      <c r="C172" s="6" t="s">
        <v>75</v>
      </c>
      <c r="D172" s="6" t="s">
        <v>103</v>
      </c>
      <c r="E172" s="8">
        <v>1</v>
      </c>
      <c r="F172" s="9">
        <v>0.05</v>
      </c>
      <c r="G172" s="10" t="s">
        <v>68</v>
      </c>
      <c r="H172" s="10" t="s">
        <v>83</v>
      </c>
      <c r="I172" s="10" t="s">
        <v>73</v>
      </c>
    </row>
    <row r="173" spans="1:9" x14ac:dyDescent="0.25">
      <c r="A173" s="11" t="s">
        <v>257</v>
      </c>
      <c r="B173" s="12">
        <v>45831</v>
      </c>
      <c r="C173" s="11" t="s">
        <v>53</v>
      </c>
      <c r="D173" s="11" t="s">
        <v>82</v>
      </c>
      <c r="E173" s="13">
        <v>3</v>
      </c>
      <c r="F173" s="14">
        <v>0.05</v>
      </c>
      <c r="G173" s="15" t="s">
        <v>64</v>
      </c>
      <c r="H173" s="15" t="s">
        <v>56</v>
      </c>
      <c r="I173" s="15" t="s">
        <v>57</v>
      </c>
    </row>
    <row r="174" spans="1:9" x14ac:dyDescent="0.25">
      <c r="A174" s="6" t="s">
        <v>258</v>
      </c>
      <c r="B174" s="7">
        <v>45982</v>
      </c>
      <c r="C174" s="6" t="s">
        <v>59</v>
      </c>
      <c r="D174" s="6" t="s">
        <v>120</v>
      </c>
      <c r="E174" s="8">
        <v>12</v>
      </c>
      <c r="F174" s="9">
        <v>0.2</v>
      </c>
      <c r="G174" s="10" t="s">
        <v>55</v>
      </c>
      <c r="H174" s="10" t="s">
        <v>69</v>
      </c>
      <c r="I174" s="10" t="s">
        <v>65</v>
      </c>
    </row>
    <row r="175" spans="1:9" x14ac:dyDescent="0.25">
      <c r="A175" s="11" t="s">
        <v>259</v>
      </c>
      <c r="B175" s="12">
        <v>45890</v>
      </c>
      <c r="C175" s="11" t="s">
        <v>90</v>
      </c>
      <c r="D175" s="11" t="s">
        <v>82</v>
      </c>
      <c r="E175" s="13">
        <v>6</v>
      </c>
      <c r="F175" s="14">
        <v>0.1</v>
      </c>
      <c r="G175" s="15" t="s">
        <v>68</v>
      </c>
      <c r="H175" s="15" t="s">
        <v>83</v>
      </c>
      <c r="I175" s="15" t="s">
        <v>77</v>
      </c>
    </row>
    <row r="176" spans="1:9" x14ac:dyDescent="0.25">
      <c r="A176" s="6" t="s">
        <v>260</v>
      </c>
      <c r="B176" s="7">
        <v>45684</v>
      </c>
      <c r="C176" s="6" t="s">
        <v>90</v>
      </c>
      <c r="D176" s="6" t="s">
        <v>94</v>
      </c>
      <c r="E176" s="8">
        <v>10</v>
      </c>
      <c r="F176" s="9">
        <v>0</v>
      </c>
      <c r="G176" s="10" t="s">
        <v>61</v>
      </c>
      <c r="H176" s="10" t="s">
        <v>69</v>
      </c>
      <c r="I176" s="10" t="s">
        <v>65</v>
      </c>
    </row>
    <row r="177" spans="1:9" x14ac:dyDescent="0.25">
      <c r="A177" s="11" t="s">
        <v>261</v>
      </c>
      <c r="B177" s="12">
        <v>45996</v>
      </c>
      <c r="C177" s="11" t="s">
        <v>105</v>
      </c>
      <c r="D177" s="11" t="s">
        <v>92</v>
      </c>
      <c r="E177" s="13">
        <v>10</v>
      </c>
      <c r="F177" s="14">
        <v>0.15</v>
      </c>
      <c r="G177" s="15" t="s">
        <v>64</v>
      </c>
      <c r="H177" s="15" t="s">
        <v>69</v>
      </c>
      <c r="I177" s="15" t="s">
        <v>57</v>
      </c>
    </row>
    <row r="178" spans="1:9" x14ac:dyDescent="0.25">
      <c r="A178" s="6" t="s">
        <v>262</v>
      </c>
      <c r="B178" s="7">
        <v>45920</v>
      </c>
      <c r="C178" s="6" t="s">
        <v>71</v>
      </c>
      <c r="D178" s="6" t="s">
        <v>54</v>
      </c>
      <c r="E178" s="8">
        <v>7</v>
      </c>
      <c r="F178" s="9">
        <v>0</v>
      </c>
      <c r="G178" s="10" t="s">
        <v>68</v>
      </c>
      <c r="H178" s="10" t="s">
        <v>83</v>
      </c>
      <c r="I178" s="10" t="s">
        <v>65</v>
      </c>
    </row>
    <row r="179" spans="1:9" x14ac:dyDescent="0.25">
      <c r="A179" s="11" t="s">
        <v>263</v>
      </c>
      <c r="B179" s="12">
        <v>45927</v>
      </c>
      <c r="C179" s="11" t="s">
        <v>75</v>
      </c>
      <c r="D179" s="11" t="s">
        <v>60</v>
      </c>
      <c r="E179" s="13">
        <v>10</v>
      </c>
      <c r="F179" s="14">
        <v>0.15</v>
      </c>
      <c r="G179" s="15" t="s">
        <v>61</v>
      </c>
      <c r="H179" s="15" t="s">
        <v>56</v>
      </c>
      <c r="I179" s="15" t="s">
        <v>57</v>
      </c>
    </row>
    <row r="180" spans="1:9" x14ac:dyDescent="0.25">
      <c r="A180" s="6" t="s">
        <v>264</v>
      </c>
      <c r="B180" s="7">
        <v>45812</v>
      </c>
      <c r="C180" s="6" t="s">
        <v>90</v>
      </c>
      <c r="D180" s="6" t="s">
        <v>88</v>
      </c>
      <c r="E180" s="8">
        <v>5</v>
      </c>
      <c r="F180" s="9">
        <v>0.1</v>
      </c>
      <c r="G180" s="10" t="s">
        <v>68</v>
      </c>
      <c r="H180" s="10" t="s">
        <v>56</v>
      </c>
      <c r="I180" s="10" t="s">
        <v>77</v>
      </c>
    </row>
    <row r="181" spans="1:9" x14ac:dyDescent="0.25">
      <c r="A181" s="11" t="s">
        <v>265</v>
      </c>
      <c r="B181" s="12">
        <v>45912</v>
      </c>
      <c r="C181" s="11" t="s">
        <v>116</v>
      </c>
      <c r="D181" s="11" t="s">
        <v>85</v>
      </c>
      <c r="E181" s="13">
        <v>7</v>
      </c>
      <c r="F181" s="14">
        <v>0.15</v>
      </c>
      <c r="G181" s="15" t="s">
        <v>55</v>
      </c>
      <c r="H181" s="15" t="s">
        <v>83</v>
      </c>
      <c r="I181" s="15" t="s">
        <v>73</v>
      </c>
    </row>
    <row r="182" spans="1:9" x14ac:dyDescent="0.25">
      <c r="A182" s="6" t="s">
        <v>266</v>
      </c>
      <c r="B182" s="7">
        <v>45694</v>
      </c>
      <c r="C182" s="6" t="s">
        <v>53</v>
      </c>
      <c r="D182" s="6" t="s">
        <v>92</v>
      </c>
      <c r="E182" s="8">
        <v>7</v>
      </c>
      <c r="F182" s="9">
        <v>0</v>
      </c>
      <c r="G182" s="10" t="s">
        <v>64</v>
      </c>
      <c r="H182" s="10" t="s">
        <v>56</v>
      </c>
      <c r="I182" s="10" t="s">
        <v>73</v>
      </c>
    </row>
    <row r="183" spans="1:9" x14ac:dyDescent="0.25">
      <c r="A183" s="11" t="s">
        <v>267</v>
      </c>
      <c r="B183" s="12">
        <v>45952</v>
      </c>
      <c r="C183" s="11" t="s">
        <v>116</v>
      </c>
      <c r="D183" s="11" t="s">
        <v>92</v>
      </c>
      <c r="E183" s="13">
        <v>12</v>
      </c>
      <c r="F183" s="14">
        <v>0.15</v>
      </c>
      <c r="G183" s="15" t="s">
        <v>68</v>
      </c>
      <c r="H183" s="15" t="s">
        <v>56</v>
      </c>
      <c r="I183" s="15" t="s">
        <v>65</v>
      </c>
    </row>
    <row r="184" spans="1:9" x14ac:dyDescent="0.25">
      <c r="A184" s="6" t="s">
        <v>268</v>
      </c>
      <c r="B184" s="7">
        <v>45668</v>
      </c>
      <c r="C184" s="6" t="s">
        <v>90</v>
      </c>
      <c r="D184" s="6" t="s">
        <v>82</v>
      </c>
      <c r="E184" s="8">
        <v>10</v>
      </c>
      <c r="F184" s="9">
        <v>0.15</v>
      </c>
      <c r="G184" s="10" t="s">
        <v>68</v>
      </c>
      <c r="H184" s="10" t="s">
        <v>56</v>
      </c>
      <c r="I184" s="10" t="s">
        <v>65</v>
      </c>
    </row>
    <row r="185" spans="1:9" x14ac:dyDescent="0.25">
      <c r="A185" s="11" t="s">
        <v>269</v>
      </c>
      <c r="B185" s="12">
        <v>45712</v>
      </c>
      <c r="C185" s="11" t="s">
        <v>116</v>
      </c>
      <c r="D185" s="11" t="s">
        <v>88</v>
      </c>
      <c r="E185" s="13">
        <v>10</v>
      </c>
      <c r="F185" s="14">
        <v>0.15</v>
      </c>
      <c r="G185" s="15" t="s">
        <v>61</v>
      </c>
      <c r="H185" s="15" t="s">
        <v>69</v>
      </c>
      <c r="I185" s="15" t="s">
        <v>73</v>
      </c>
    </row>
    <row r="186" spans="1:9" x14ac:dyDescent="0.25">
      <c r="A186" s="6" t="s">
        <v>270</v>
      </c>
      <c r="B186" s="7">
        <v>45831</v>
      </c>
      <c r="C186" s="6" t="s">
        <v>71</v>
      </c>
      <c r="D186" s="6" t="s">
        <v>88</v>
      </c>
      <c r="E186" s="8">
        <v>3</v>
      </c>
      <c r="F186" s="9">
        <v>0</v>
      </c>
      <c r="G186" s="10" t="s">
        <v>61</v>
      </c>
      <c r="H186" s="10" t="s">
        <v>83</v>
      </c>
      <c r="I186" s="10" t="s">
        <v>57</v>
      </c>
    </row>
    <row r="187" spans="1:9" x14ac:dyDescent="0.25">
      <c r="A187" s="11" t="s">
        <v>271</v>
      </c>
      <c r="B187" s="12">
        <v>45836</v>
      </c>
      <c r="C187" s="11" t="s">
        <v>90</v>
      </c>
      <c r="D187" s="11" t="s">
        <v>82</v>
      </c>
      <c r="E187" s="13">
        <v>4</v>
      </c>
      <c r="F187" s="14">
        <v>0</v>
      </c>
      <c r="G187" s="15" t="s">
        <v>55</v>
      </c>
      <c r="H187" s="15" t="s">
        <v>69</v>
      </c>
      <c r="I187" s="15" t="s">
        <v>57</v>
      </c>
    </row>
    <row r="188" spans="1:9" x14ac:dyDescent="0.25">
      <c r="A188" s="6" t="s">
        <v>272</v>
      </c>
      <c r="B188" s="7">
        <v>45746</v>
      </c>
      <c r="C188" s="6" t="s">
        <v>90</v>
      </c>
      <c r="D188" s="6" t="s">
        <v>76</v>
      </c>
      <c r="E188" s="8">
        <v>5</v>
      </c>
      <c r="F188" s="9">
        <v>0.05</v>
      </c>
      <c r="G188" s="10" t="s">
        <v>64</v>
      </c>
      <c r="H188" s="10" t="s">
        <v>69</v>
      </c>
      <c r="I188" s="10" t="s">
        <v>65</v>
      </c>
    </row>
    <row r="189" spans="1:9" x14ac:dyDescent="0.25">
      <c r="A189" s="11" t="s">
        <v>273</v>
      </c>
      <c r="B189" s="12">
        <v>46006</v>
      </c>
      <c r="C189" s="11" t="s">
        <v>71</v>
      </c>
      <c r="D189" s="11" t="s">
        <v>103</v>
      </c>
      <c r="E189" s="13">
        <v>11</v>
      </c>
      <c r="F189" s="14">
        <v>0.1</v>
      </c>
      <c r="G189" s="15" t="s">
        <v>55</v>
      </c>
      <c r="H189" s="15" t="s">
        <v>69</v>
      </c>
      <c r="I189" s="15" t="s">
        <v>77</v>
      </c>
    </row>
    <row r="190" spans="1:9" x14ac:dyDescent="0.25">
      <c r="A190" s="6" t="s">
        <v>274</v>
      </c>
      <c r="B190" s="7">
        <v>45898</v>
      </c>
      <c r="C190" s="6" t="s">
        <v>75</v>
      </c>
      <c r="D190" s="6" t="s">
        <v>96</v>
      </c>
      <c r="E190" s="8">
        <v>5</v>
      </c>
      <c r="F190" s="9">
        <v>0.2</v>
      </c>
      <c r="G190" s="10" t="s">
        <v>61</v>
      </c>
      <c r="H190" s="10" t="s">
        <v>69</v>
      </c>
      <c r="I190" s="10" t="s">
        <v>77</v>
      </c>
    </row>
    <row r="191" spans="1:9" x14ac:dyDescent="0.25">
      <c r="A191" s="11" t="s">
        <v>275</v>
      </c>
      <c r="B191" s="12">
        <v>45816</v>
      </c>
      <c r="C191" s="11" t="s">
        <v>105</v>
      </c>
      <c r="D191" s="11" t="s">
        <v>96</v>
      </c>
      <c r="E191" s="13">
        <v>1</v>
      </c>
      <c r="F191" s="14">
        <v>0</v>
      </c>
      <c r="G191" s="15" t="s">
        <v>68</v>
      </c>
      <c r="H191" s="15" t="s">
        <v>69</v>
      </c>
      <c r="I191" s="15" t="s">
        <v>77</v>
      </c>
    </row>
    <row r="192" spans="1:9" x14ac:dyDescent="0.25">
      <c r="A192" s="6" t="s">
        <v>276</v>
      </c>
      <c r="B192" s="7">
        <v>45988</v>
      </c>
      <c r="C192" s="6" t="s">
        <v>59</v>
      </c>
      <c r="D192" s="6" t="s">
        <v>111</v>
      </c>
      <c r="E192" s="8">
        <v>10</v>
      </c>
      <c r="F192" s="9">
        <v>0.2</v>
      </c>
      <c r="G192" s="10" t="s">
        <v>64</v>
      </c>
      <c r="H192" s="10" t="s">
        <v>69</v>
      </c>
      <c r="I192" s="10" t="s">
        <v>77</v>
      </c>
    </row>
    <row r="193" spans="1:9" x14ac:dyDescent="0.25">
      <c r="A193" s="11" t="s">
        <v>277</v>
      </c>
      <c r="B193" s="12">
        <v>45888</v>
      </c>
      <c r="C193" s="11" t="s">
        <v>80</v>
      </c>
      <c r="D193" s="11" t="s">
        <v>103</v>
      </c>
      <c r="E193" s="13">
        <v>6</v>
      </c>
      <c r="F193" s="14">
        <v>0.2</v>
      </c>
      <c r="G193" s="15" t="s">
        <v>64</v>
      </c>
      <c r="H193" s="15" t="s">
        <v>83</v>
      </c>
      <c r="I193" s="15" t="s">
        <v>57</v>
      </c>
    </row>
    <row r="194" spans="1:9" x14ac:dyDescent="0.25">
      <c r="A194" s="6" t="s">
        <v>278</v>
      </c>
      <c r="B194" s="7">
        <v>45689</v>
      </c>
      <c r="C194" s="6" t="s">
        <v>59</v>
      </c>
      <c r="D194" s="6" t="s">
        <v>96</v>
      </c>
      <c r="E194" s="8">
        <v>6</v>
      </c>
      <c r="F194" s="9">
        <v>0</v>
      </c>
      <c r="G194" s="10" t="s">
        <v>55</v>
      </c>
      <c r="H194" s="10" t="s">
        <v>56</v>
      </c>
      <c r="I194" s="10" t="s">
        <v>57</v>
      </c>
    </row>
    <row r="195" spans="1:9" x14ac:dyDescent="0.25">
      <c r="A195" s="11" t="s">
        <v>279</v>
      </c>
      <c r="B195" s="12">
        <v>46020</v>
      </c>
      <c r="C195" s="11" t="s">
        <v>105</v>
      </c>
      <c r="D195" s="11" t="s">
        <v>96</v>
      </c>
      <c r="E195" s="13">
        <v>9</v>
      </c>
      <c r="F195" s="14">
        <v>0.2</v>
      </c>
      <c r="G195" s="15" t="s">
        <v>55</v>
      </c>
      <c r="H195" s="15" t="s">
        <v>69</v>
      </c>
      <c r="I195" s="15" t="s">
        <v>73</v>
      </c>
    </row>
    <row r="196" spans="1:9" x14ac:dyDescent="0.25">
      <c r="A196" s="6" t="s">
        <v>280</v>
      </c>
      <c r="B196" s="7">
        <v>45802</v>
      </c>
      <c r="C196" s="6" t="s">
        <v>116</v>
      </c>
      <c r="D196" s="6" t="s">
        <v>92</v>
      </c>
      <c r="E196" s="8">
        <v>6</v>
      </c>
      <c r="F196" s="9">
        <v>0.2</v>
      </c>
      <c r="G196" s="10" t="s">
        <v>61</v>
      </c>
      <c r="H196" s="10" t="s">
        <v>83</v>
      </c>
      <c r="I196" s="10" t="s">
        <v>73</v>
      </c>
    </row>
    <row r="197" spans="1:9" x14ac:dyDescent="0.25">
      <c r="A197" s="11" t="s">
        <v>281</v>
      </c>
      <c r="B197" s="12">
        <v>45691</v>
      </c>
      <c r="C197" s="11" t="s">
        <v>59</v>
      </c>
      <c r="D197" s="11" t="s">
        <v>82</v>
      </c>
      <c r="E197" s="13">
        <v>9</v>
      </c>
      <c r="F197" s="14">
        <v>0.15</v>
      </c>
      <c r="G197" s="15" t="s">
        <v>68</v>
      </c>
      <c r="H197" s="15" t="s">
        <v>69</v>
      </c>
      <c r="I197" s="15" t="s">
        <v>57</v>
      </c>
    </row>
    <row r="198" spans="1:9" x14ac:dyDescent="0.25">
      <c r="A198" s="6" t="s">
        <v>282</v>
      </c>
      <c r="B198" s="7">
        <v>45828</v>
      </c>
      <c r="C198" s="6" t="s">
        <v>90</v>
      </c>
      <c r="D198" s="6" t="s">
        <v>54</v>
      </c>
      <c r="E198" s="8">
        <v>6</v>
      </c>
      <c r="F198" s="9">
        <v>0.1</v>
      </c>
      <c r="G198" s="10" t="s">
        <v>64</v>
      </c>
      <c r="H198" s="10" t="s">
        <v>56</v>
      </c>
      <c r="I198" s="10" t="s">
        <v>77</v>
      </c>
    </row>
    <row r="199" spans="1:9" x14ac:dyDescent="0.25">
      <c r="A199" s="11" t="s">
        <v>283</v>
      </c>
      <c r="B199" s="12">
        <v>45816</v>
      </c>
      <c r="C199" s="11" t="s">
        <v>116</v>
      </c>
      <c r="D199" s="11" t="s">
        <v>63</v>
      </c>
      <c r="E199" s="13">
        <v>28</v>
      </c>
      <c r="F199" s="14">
        <v>0.1</v>
      </c>
      <c r="G199" s="15" t="s">
        <v>55</v>
      </c>
      <c r="H199" s="15" t="s">
        <v>83</v>
      </c>
      <c r="I199" s="15" t="s">
        <v>77</v>
      </c>
    </row>
    <row r="200" spans="1:9" x14ac:dyDescent="0.25">
      <c r="A200" s="6" t="s">
        <v>284</v>
      </c>
      <c r="B200" s="7">
        <v>45988</v>
      </c>
      <c r="C200" s="6" t="s">
        <v>116</v>
      </c>
      <c r="D200" s="6" t="s">
        <v>60</v>
      </c>
      <c r="E200" s="8">
        <v>14</v>
      </c>
      <c r="F200" s="9">
        <v>0</v>
      </c>
      <c r="G200" s="10" t="s">
        <v>68</v>
      </c>
      <c r="H200" s="10" t="s">
        <v>69</v>
      </c>
      <c r="I200" s="10" t="s">
        <v>57</v>
      </c>
    </row>
    <row r="201" spans="1:9" x14ac:dyDescent="0.25">
      <c r="A201" s="11" t="s">
        <v>285</v>
      </c>
      <c r="B201" s="12">
        <v>45767</v>
      </c>
      <c r="C201" s="11" t="s">
        <v>105</v>
      </c>
      <c r="D201" s="11" t="s">
        <v>82</v>
      </c>
      <c r="E201" s="13">
        <v>4</v>
      </c>
      <c r="F201" s="14">
        <v>0.05</v>
      </c>
      <c r="G201" s="15" t="s">
        <v>55</v>
      </c>
      <c r="H201" s="15" t="s">
        <v>56</v>
      </c>
      <c r="I201" s="15" t="s">
        <v>77</v>
      </c>
    </row>
    <row r="202" spans="1:9" x14ac:dyDescent="0.25">
      <c r="A202" s="6" t="s">
        <v>286</v>
      </c>
      <c r="B202" s="7">
        <v>45809</v>
      </c>
      <c r="C202" s="6" t="s">
        <v>59</v>
      </c>
      <c r="D202" s="6" t="s">
        <v>111</v>
      </c>
      <c r="E202" s="8">
        <v>9</v>
      </c>
      <c r="F202" s="9">
        <v>0.2</v>
      </c>
      <c r="G202" s="10" t="s">
        <v>61</v>
      </c>
      <c r="H202" s="10" t="s">
        <v>83</v>
      </c>
      <c r="I202" s="10" t="s">
        <v>73</v>
      </c>
    </row>
    <row r="203" spans="1:9" x14ac:dyDescent="0.25">
      <c r="A203" s="11" t="s">
        <v>287</v>
      </c>
      <c r="B203" s="12">
        <v>45974</v>
      </c>
      <c r="C203" s="11" t="s">
        <v>116</v>
      </c>
      <c r="D203" s="11" t="s">
        <v>94</v>
      </c>
      <c r="E203" s="13">
        <v>3</v>
      </c>
      <c r="F203" s="14">
        <v>0.05</v>
      </c>
      <c r="G203" s="15" t="s">
        <v>55</v>
      </c>
      <c r="H203" s="15" t="s">
        <v>83</v>
      </c>
      <c r="I203" s="15" t="s">
        <v>57</v>
      </c>
    </row>
    <row r="204" spans="1:9" x14ac:dyDescent="0.25">
      <c r="A204" s="6" t="s">
        <v>288</v>
      </c>
      <c r="B204" s="7">
        <v>45882</v>
      </c>
      <c r="C204" s="6" t="s">
        <v>116</v>
      </c>
      <c r="D204" s="6" t="s">
        <v>120</v>
      </c>
      <c r="E204" s="8">
        <v>6</v>
      </c>
      <c r="F204" s="9">
        <v>0.05</v>
      </c>
      <c r="G204" s="10" t="s">
        <v>64</v>
      </c>
      <c r="H204" s="10" t="s">
        <v>83</v>
      </c>
      <c r="I204" s="10" t="s">
        <v>73</v>
      </c>
    </row>
    <row r="205" spans="1:9" x14ac:dyDescent="0.25">
      <c r="A205" s="11" t="s">
        <v>289</v>
      </c>
      <c r="B205" s="12">
        <v>45887</v>
      </c>
      <c r="C205" s="11" t="s">
        <v>80</v>
      </c>
      <c r="D205" s="11" t="s">
        <v>88</v>
      </c>
      <c r="E205" s="13">
        <v>5</v>
      </c>
      <c r="F205" s="14">
        <v>0.15</v>
      </c>
      <c r="G205" s="15" t="s">
        <v>55</v>
      </c>
      <c r="H205" s="15" t="s">
        <v>69</v>
      </c>
      <c r="I205" s="15" t="s">
        <v>65</v>
      </c>
    </row>
    <row r="206" spans="1:9" x14ac:dyDescent="0.25">
      <c r="A206" s="6" t="s">
        <v>290</v>
      </c>
      <c r="B206" s="7">
        <v>45894</v>
      </c>
      <c r="C206" s="6" t="s">
        <v>75</v>
      </c>
      <c r="D206" s="6" t="s">
        <v>72</v>
      </c>
      <c r="E206" s="8">
        <v>7</v>
      </c>
      <c r="F206" s="9">
        <v>0.2</v>
      </c>
      <c r="G206" s="10" t="s">
        <v>64</v>
      </c>
      <c r="H206" s="10" t="s">
        <v>56</v>
      </c>
      <c r="I206" s="10" t="s">
        <v>57</v>
      </c>
    </row>
    <row r="207" spans="1:9" x14ac:dyDescent="0.25">
      <c r="A207" s="11" t="s">
        <v>291</v>
      </c>
      <c r="B207" s="12">
        <v>45967</v>
      </c>
      <c r="C207" s="11" t="s">
        <v>75</v>
      </c>
      <c r="D207" s="11" t="s">
        <v>94</v>
      </c>
      <c r="E207" s="13">
        <v>1</v>
      </c>
      <c r="F207" s="14">
        <v>0.15</v>
      </c>
      <c r="G207" s="15" t="s">
        <v>68</v>
      </c>
      <c r="H207" s="15" t="s">
        <v>83</v>
      </c>
      <c r="I207" s="15" t="s">
        <v>77</v>
      </c>
    </row>
    <row r="208" spans="1:9" x14ac:dyDescent="0.25">
      <c r="A208" s="6" t="s">
        <v>292</v>
      </c>
      <c r="B208" s="7">
        <v>46022</v>
      </c>
      <c r="C208" s="6" t="s">
        <v>59</v>
      </c>
      <c r="D208" s="6" t="s">
        <v>111</v>
      </c>
      <c r="E208" s="8">
        <v>5</v>
      </c>
      <c r="F208" s="9">
        <v>0</v>
      </c>
      <c r="G208" s="10" t="s">
        <v>55</v>
      </c>
      <c r="H208" s="10" t="s">
        <v>69</v>
      </c>
      <c r="I208" s="10" t="s">
        <v>65</v>
      </c>
    </row>
    <row r="209" spans="1:9" x14ac:dyDescent="0.25">
      <c r="A209" s="11" t="s">
        <v>293</v>
      </c>
      <c r="B209" s="12">
        <v>45920</v>
      </c>
      <c r="C209" s="11" t="s">
        <v>116</v>
      </c>
      <c r="D209" s="11" t="s">
        <v>94</v>
      </c>
      <c r="E209" s="13">
        <v>2</v>
      </c>
      <c r="F209" s="14">
        <v>0.05</v>
      </c>
      <c r="G209" s="15" t="s">
        <v>64</v>
      </c>
      <c r="H209" s="15" t="s">
        <v>69</v>
      </c>
      <c r="I209" s="15" t="s">
        <v>77</v>
      </c>
    </row>
    <row r="210" spans="1:9" x14ac:dyDescent="0.25">
      <c r="A210" s="6" t="s">
        <v>294</v>
      </c>
      <c r="B210" s="7">
        <v>45870</v>
      </c>
      <c r="C210" s="6" t="s">
        <v>116</v>
      </c>
      <c r="D210" s="6" t="s">
        <v>120</v>
      </c>
      <c r="E210" s="8">
        <v>9</v>
      </c>
      <c r="F210" s="9">
        <v>0.1</v>
      </c>
      <c r="G210" s="10" t="s">
        <v>55</v>
      </c>
      <c r="H210" s="10" t="s">
        <v>69</v>
      </c>
      <c r="I210" s="10" t="s">
        <v>77</v>
      </c>
    </row>
    <row r="211" spans="1:9" x14ac:dyDescent="0.25">
      <c r="A211" s="11" t="s">
        <v>295</v>
      </c>
      <c r="B211" s="12">
        <v>45849</v>
      </c>
      <c r="C211" s="11" t="s">
        <v>53</v>
      </c>
      <c r="D211" s="11" t="s">
        <v>88</v>
      </c>
      <c r="E211" s="13">
        <v>6</v>
      </c>
      <c r="F211" s="14">
        <v>0</v>
      </c>
      <c r="G211" s="15" t="s">
        <v>68</v>
      </c>
      <c r="H211" s="15" t="s">
        <v>56</v>
      </c>
      <c r="I211" s="15" t="s">
        <v>57</v>
      </c>
    </row>
    <row r="212" spans="1:9" x14ac:dyDescent="0.25">
      <c r="A212" s="6" t="s">
        <v>296</v>
      </c>
      <c r="B212" s="7">
        <v>45677</v>
      </c>
      <c r="C212" s="6" t="s">
        <v>105</v>
      </c>
      <c r="D212" s="6" t="s">
        <v>67</v>
      </c>
      <c r="E212" s="8">
        <v>12</v>
      </c>
      <c r="F212" s="9">
        <v>0.05</v>
      </c>
      <c r="G212" s="10" t="s">
        <v>64</v>
      </c>
      <c r="H212" s="10" t="s">
        <v>69</v>
      </c>
      <c r="I212" s="10" t="s">
        <v>77</v>
      </c>
    </row>
    <row r="213" spans="1:9" x14ac:dyDescent="0.25">
      <c r="A213" s="11" t="s">
        <v>297</v>
      </c>
      <c r="B213" s="12">
        <v>45698</v>
      </c>
      <c r="C213" s="11" t="s">
        <v>75</v>
      </c>
      <c r="D213" s="11" t="s">
        <v>120</v>
      </c>
      <c r="E213" s="13">
        <v>4</v>
      </c>
      <c r="F213" s="14">
        <v>0.05</v>
      </c>
      <c r="G213" s="15" t="s">
        <v>64</v>
      </c>
      <c r="H213" s="15" t="s">
        <v>56</v>
      </c>
      <c r="I213" s="15" t="s">
        <v>73</v>
      </c>
    </row>
    <row r="214" spans="1:9" x14ac:dyDescent="0.25">
      <c r="A214" s="6" t="s">
        <v>298</v>
      </c>
      <c r="B214" s="7">
        <v>45779</v>
      </c>
      <c r="C214" s="6" t="s">
        <v>59</v>
      </c>
      <c r="D214" s="6" t="s">
        <v>67</v>
      </c>
      <c r="E214" s="8">
        <v>1</v>
      </c>
      <c r="F214" s="9">
        <v>0.05</v>
      </c>
      <c r="G214" s="10" t="s">
        <v>64</v>
      </c>
      <c r="H214" s="10" t="s">
        <v>83</v>
      </c>
      <c r="I214" s="10" t="s">
        <v>65</v>
      </c>
    </row>
    <row r="215" spans="1:9" x14ac:dyDescent="0.25">
      <c r="A215" s="11" t="s">
        <v>299</v>
      </c>
      <c r="B215" s="12">
        <v>45690</v>
      </c>
      <c r="C215" s="11" t="s">
        <v>105</v>
      </c>
      <c r="D215" s="11" t="s">
        <v>54</v>
      </c>
      <c r="E215" s="13">
        <v>10</v>
      </c>
      <c r="F215" s="14">
        <v>0.2</v>
      </c>
      <c r="G215" s="15" t="s">
        <v>61</v>
      </c>
      <c r="H215" s="15" t="s">
        <v>83</v>
      </c>
      <c r="I215" s="15" t="s">
        <v>57</v>
      </c>
    </row>
    <row r="216" spans="1:9" x14ac:dyDescent="0.25">
      <c r="A216" s="6" t="s">
        <v>300</v>
      </c>
      <c r="B216" s="7">
        <v>45731</v>
      </c>
      <c r="C216" s="6" t="s">
        <v>116</v>
      </c>
      <c r="D216" s="6" t="s">
        <v>67</v>
      </c>
      <c r="E216" s="8">
        <v>1</v>
      </c>
      <c r="F216" s="9">
        <v>0.2</v>
      </c>
      <c r="G216" s="10" t="s">
        <v>68</v>
      </c>
      <c r="H216" s="10" t="s">
        <v>56</v>
      </c>
      <c r="I216" s="10" t="s">
        <v>65</v>
      </c>
    </row>
    <row r="217" spans="1:9" x14ac:dyDescent="0.25">
      <c r="A217" s="11" t="s">
        <v>301</v>
      </c>
      <c r="B217" s="12">
        <v>45753</v>
      </c>
      <c r="C217" s="11" t="s">
        <v>59</v>
      </c>
      <c r="D217" s="11" t="s">
        <v>60</v>
      </c>
      <c r="E217" s="13">
        <v>14</v>
      </c>
      <c r="F217" s="14">
        <v>0</v>
      </c>
      <c r="G217" s="15" t="s">
        <v>61</v>
      </c>
      <c r="H217" s="15" t="s">
        <v>69</v>
      </c>
      <c r="I217" s="15" t="s">
        <v>65</v>
      </c>
    </row>
    <row r="218" spans="1:9" x14ac:dyDescent="0.25">
      <c r="A218" s="6" t="s">
        <v>302</v>
      </c>
      <c r="B218" s="7">
        <v>45680</v>
      </c>
      <c r="C218" s="6" t="s">
        <v>116</v>
      </c>
      <c r="D218" s="6" t="s">
        <v>60</v>
      </c>
      <c r="E218" s="8">
        <v>11</v>
      </c>
      <c r="F218" s="9">
        <v>0</v>
      </c>
      <c r="G218" s="10" t="s">
        <v>68</v>
      </c>
      <c r="H218" s="10" t="s">
        <v>56</v>
      </c>
      <c r="I218" s="10" t="s">
        <v>73</v>
      </c>
    </row>
    <row r="219" spans="1:9" x14ac:dyDescent="0.25">
      <c r="A219" s="11" t="s">
        <v>303</v>
      </c>
      <c r="B219" s="12">
        <v>45781</v>
      </c>
      <c r="C219" s="11" t="s">
        <v>59</v>
      </c>
      <c r="D219" s="11" t="s">
        <v>85</v>
      </c>
      <c r="E219" s="13">
        <v>26</v>
      </c>
      <c r="F219" s="14">
        <v>0.1</v>
      </c>
      <c r="G219" s="15" t="s">
        <v>55</v>
      </c>
      <c r="H219" s="15" t="s">
        <v>56</v>
      </c>
      <c r="I219" s="15" t="s">
        <v>73</v>
      </c>
    </row>
    <row r="220" spans="1:9" x14ac:dyDescent="0.25">
      <c r="A220" s="6" t="s">
        <v>304</v>
      </c>
      <c r="B220" s="7">
        <v>45937</v>
      </c>
      <c r="C220" s="6" t="s">
        <v>90</v>
      </c>
      <c r="D220" s="6" t="s">
        <v>82</v>
      </c>
      <c r="E220" s="8">
        <v>11</v>
      </c>
      <c r="F220" s="9">
        <v>0.15</v>
      </c>
      <c r="G220" s="10" t="s">
        <v>64</v>
      </c>
      <c r="H220" s="10" t="s">
        <v>83</v>
      </c>
      <c r="I220" s="10" t="s">
        <v>57</v>
      </c>
    </row>
    <row r="221" spans="1:9" x14ac:dyDescent="0.25">
      <c r="A221" s="11" t="s">
        <v>305</v>
      </c>
      <c r="B221" s="12">
        <v>45727</v>
      </c>
      <c r="C221" s="11" t="s">
        <v>105</v>
      </c>
      <c r="D221" s="11" t="s">
        <v>54</v>
      </c>
      <c r="E221" s="13">
        <v>1</v>
      </c>
      <c r="F221" s="14">
        <v>0.1</v>
      </c>
      <c r="G221" s="15" t="s">
        <v>55</v>
      </c>
      <c r="H221" s="15" t="s">
        <v>56</v>
      </c>
      <c r="I221" s="15" t="s">
        <v>57</v>
      </c>
    </row>
    <row r="222" spans="1:9" x14ac:dyDescent="0.25">
      <c r="A222" s="6" t="s">
        <v>306</v>
      </c>
      <c r="B222" s="7">
        <v>45679</v>
      </c>
      <c r="C222" s="6" t="s">
        <v>75</v>
      </c>
      <c r="D222" s="6" t="s">
        <v>82</v>
      </c>
      <c r="E222" s="8">
        <v>9</v>
      </c>
      <c r="F222" s="9">
        <v>0.15</v>
      </c>
      <c r="G222" s="10" t="s">
        <v>64</v>
      </c>
      <c r="H222" s="10" t="s">
        <v>69</v>
      </c>
      <c r="I222" s="10" t="s">
        <v>77</v>
      </c>
    </row>
    <row r="223" spans="1:9" x14ac:dyDescent="0.25">
      <c r="A223" s="11" t="s">
        <v>307</v>
      </c>
      <c r="B223" s="12">
        <v>45989</v>
      </c>
      <c r="C223" s="11" t="s">
        <v>75</v>
      </c>
      <c r="D223" s="11" t="s">
        <v>88</v>
      </c>
      <c r="E223" s="13">
        <v>6</v>
      </c>
      <c r="F223" s="14">
        <v>0</v>
      </c>
      <c r="G223" s="15" t="s">
        <v>68</v>
      </c>
      <c r="H223" s="15" t="s">
        <v>69</v>
      </c>
      <c r="I223" s="15" t="s">
        <v>77</v>
      </c>
    </row>
    <row r="224" spans="1:9" x14ac:dyDescent="0.25">
      <c r="A224" s="6" t="s">
        <v>308</v>
      </c>
      <c r="B224" s="7">
        <v>45846</v>
      </c>
      <c r="C224" s="6" t="s">
        <v>116</v>
      </c>
      <c r="D224" s="6" t="s">
        <v>92</v>
      </c>
      <c r="E224" s="8">
        <v>12</v>
      </c>
      <c r="F224" s="9">
        <v>0.15</v>
      </c>
      <c r="G224" s="10" t="s">
        <v>64</v>
      </c>
      <c r="H224" s="10" t="s">
        <v>69</v>
      </c>
      <c r="I224" s="10" t="s">
        <v>57</v>
      </c>
    </row>
    <row r="225" spans="1:9" x14ac:dyDescent="0.25">
      <c r="A225" s="11" t="s">
        <v>309</v>
      </c>
      <c r="B225" s="12">
        <v>45912</v>
      </c>
      <c r="C225" s="11" t="s">
        <v>105</v>
      </c>
      <c r="D225" s="11" t="s">
        <v>85</v>
      </c>
      <c r="E225" s="13">
        <v>28</v>
      </c>
      <c r="F225" s="14">
        <v>0.2</v>
      </c>
      <c r="G225" s="15" t="s">
        <v>68</v>
      </c>
      <c r="H225" s="15" t="s">
        <v>56</v>
      </c>
      <c r="I225" s="15" t="s">
        <v>65</v>
      </c>
    </row>
    <row r="226" spans="1:9" x14ac:dyDescent="0.25">
      <c r="A226" s="6" t="s">
        <v>310</v>
      </c>
      <c r="B226" s="7">
        <v>45698</v>
      </c>
      <c r="C226" s="6" t="s">
        <v>90</v>
      </c>
      <c r="D226" s="6" t="s">
        <v>92</v>
      </c>
      <c r="E226" s="8">
        <v>9</v>
      </c>
      <c r="F226" s="9">
        <v>0.1</v>
      </c>
      <c r="G226" s="10" t="s">
        <v>68</v>
      </c>
      <c r="H226" s="10" t="s">
        <v>56</v>
      </c>
      <c r="I226" s="10" t="s">
        <v>77</v>
      </c>
    </row>
    <row r="227" spans="1:9" x14ac:dyDescent="0.25">
      <c r="A227" s="11" t="s">
        <v>311</v>
      </c>
      <c r="B227" s="12">
        <v>45825</v>
      </c>
      <c r="C227" s="11" t="s">
        <v>75</v>
      </c>
      <c r="D227" s="11" t="s">
        <v>60</v>
      </c>
      <c r="E227" s="13">
        <v>17</v>
      </c>
      <c r="F227" s="14">
        <v>0.2</v>
      </c>
      <c r="G227" s="15" t="s">
        <v>64</v>
      </c>
      <c r="H227" s="15" t="s">
        <v>56</v>
      </c>
      <c r="I227" s="15" t="s">
        <v>65</v>
      </c>
    </row>
    <row r="228" spans="1:9" x14ac:dyDescent="0.25">
      <c r="A228" s="6" t="s">
        <v>312</v>
      </c>
      <c r="B228" s="7">
        <v>45837</v>
      </c>
      <c r="C228" s="6" t="s">
        <v>53</v>
      </c>
      <c r="D228" s="6" t="s">
        <v>96</v>
      </c>
      <c r="E228" s="8">
        <v>12</v>
      </c>
      <c r="F228" s="9">
        <v>0.1</v>
      </c>
      <c r="G228" s="10" t="s">
        <v>64</v>
      </c>
      <c r="H228" s="10" t="s">
        <v>69</v>
      </c>
      <c r="I228" s="10" t="s">
        <v>77</v>
      </c>
    </row>
    <row r="229" spans="1:9" x14ac:dyDescent="0.25">
      <c r="A229" s="11" t="s">
        <v>313</v>
      </c>
      <c r="B229" s="12">
        <v>45696</v>
      </c>
      <c r="C229" s="11" t="s">
        <v>116</v>
      </c>
      <c r="D229" s="11" t="s">
        <v>60</v>
      </c>
      <c r="E229" s="13">
        <v>19</v>
      </c>
      <c r="F229" s="14">
        <v>0.05</v>
      </c>
      <c r="G229" s="15" t="s">
        <v>61</v>
      </c>
      <c r="H229" s="15" t="s">
        <v>56</v>
      </c>
      <c r="I229" s="15" t="s">
        <v>65</v>
      </c>
    </row>
    <row r="230" spans="1:9" x14ac:dyDescent="0.25">
      <c r="A230" s="6" t="s">
        <v>314</v>
      </c>
      <c r="B230" s="7">
        <v>45675</v>
      </c>
      <c r="C230" s="6" t="s">
        <v>59</v>
      </c>
      <c r="D230" s="6" t="s">
        <v>94</v>
      </c>
      <c r="E230" s="8">
        <v>4</v>
      </c>
      <c r="F230" s="9">
        <v>0.1</v>
      </c>
      <c r="G230" s="10" t="s">
        <v>68</v>
      </c>
      <c r="H230" s="10" t="s">
        <v>69</v>
      </c>
      <c r="I230" s="10" t="s">
        <v>77</v>
      </c>
    </row>
    <row r="231" spans="1:9" x14ac:dyDescent="0.25">
      <c r="A231" s="11" t="s">
        <v>315</v>
      </c>
      <c r="B231" s="12">
        <v>45967</v>
      </c>
      <c r="C231" s="11" t="s">
        <v>105</v>
      </c>
      <c r="D231" s="11" t="s">
        <v>94</v>
      </c>
      <c r="E231" s="13">
        <v>6</v>
      </c>
      <c r="F231" s="14">
        <v>0.1</v>
      </c>
      <c r="G231" s="15" t="s">
        <v>64</v>
      </c>
      <c r="H231" s="15" t="s">
        <v>56</v>
      </c>
      <c r="I231" s="15" t="s">
        <v>57</v>
      </c>
    </row>
    <row r="232" spans="1:9" x14ac:dyDescent="0.25">
      <c r="A232" s="6" t="s">
        <v>316</v>
      </c>
      <c r="B232" s="7">
        <v>45929</v>
      </c>
      <c r="C232" s="6" t="s">
        <v>116</v>
      </c>
      <c r="D232" s="6" t="s">
        <v>82</v>
      </c>
      <c r="E232" s="8">
        <v>6</v>
      </c>
      <c r="F232" s="9">
        <v>0.1</v>
      </c>
      <c r="G232" s="10" t="s">
        <v>55</v>
      </c>
      <c r="H232" s="10" t="s">
        <v>56</v>
      </c>
      <c r="I232" s="10" t="s">
        <v>77</v>
      </c>
    </row>
    <row r="233" spans="1:9" x14ac:dyDescent="0.25">
      <c r="A233" s="11" t="s">
        <v>317</v>
      </c>
      <c r="B233" s="12">
        <v>45753</v>
      </c>
      <c r="C233" s="11" t="s">
        <v>116</v>
      </c>
      <c r="D233" s="11" t="s">
        <v>96</v>
      </c>
      <c r="E233" s="13">
        <v>9</v>
      </c>
      <c r="F233" s="14">
        <v>0</v>
      </c>
      <c r="G233" s="15" t="s">
        <v>68</v>
      </c>
      <c r="H233" s="15" t="s">
        <v>69</v>
      </c>
      <c r="I233" s="15" t="s">
        <v>65</v>
      </c>
    </row>
    <row r="234" spans="1:9" x14ac:dyDescent="0.25">
      <c r="A234" s="6" t="s">
        <v>318</v>
      </c>
      <c r="B234" s="7">
        <v>45767</v>
      </c>
      <c r="C234" s="6" t="s">
        <v>75</v>
      </c>
      <c r="D234" s="6" t="s">
        <v>76</v>
      </c>
      <c r="E234" s="8">
        <v>18</v>
      </c>
      <c r="F234" s="9">
        <v>0.05</v>
      </c>
      <c r="G234" s="10" t="s">
        <v>61</v>
      </c>
      <c r="H234" s="10" t="s">
        <v>56</v>
      </c>
      <c r="I234" s="10" t="s">
        <v>77</v>
      </c>
    </row>
    <row r="235" spans="1:9" x14ac:dyDescent="0.25">
      <c r="A235" s="11" t="s">
        <v>319</v>
      </c>
      <c r="B235" s="12">
        <v>45889</v>
      </c>
      <c r="C235" s="11" t="s">
        <v>105</v>
      </c>
      <c r="D235" s="11" t="s">
        <v>94</v>
      </c>
      <c r="E235" s="13">
        <v>2</v>
      </c>
      <c r="F235" s="14">
        <v>0.1</v>
      </c>
      <c r="G235" s="15" t="s">
        <v>68</v>
      </c>
      <c r="H235" s="15" t="s">
        <v>83</v>
      </c>
      <c r="I235" s="15" t="s">
        <v>77</v>
      </c>
    </row>
    <row r="236" spans="1:9" x14ac:dyDescent="0.25">
      <c r="A236" s="6" t="s">
        <v>320</v>
      </c>
      <c r="B236" s="7">
        <v>45939</v>
      </c>
      <c r="C236" s="6" t="s">
        <v>75</v>
      </c>
      <c r="D236" s="6" t="s">
        <v>63</v>
      </c>
      <c r="E236" s="8">
        <v>30</v>
      </c>
      <c r="F236" s="9">
        <v>0.05</v>
      </c>
      <c r="G236" s="10" t="s">
        <v>55</v>
      </c>
      <c r="H236" s="10" t="s">
        <v>69</v>
      </c>
      <c r="I236" s="10" t="s">
        <v>57</v>
      </c>
    </row>
    <row r="237" spans="1:9" x14ac:dyDescent="0.25">
      <c r="A237" s="11" t="s">
        <v>321</v>
      </c>
      <c r="B237" s="12">
        <v>45720</v>
      </c>
      <c r="C237" s="11" t="s">
        <v>90</v>
      </c>
      <c r="D237" s="11" t="s">
        <v>88</v>
      </c>
      <c r="E237" s="13">
        <v>4</v>
      </c>
      <c r="F237" s="14">
        <v>0.15</v>
      </c>
      <c r="G237" s="15" t="s">
        <v>61</v>
      </c>
      <c r="H237" s="15" t="s">
        <v>69</v>
      </c>
      <c r="I237" s="15" t="s">
        <v>73</v>
      </c>
    </row>
    <row r="238" spans="1:9" x14ac:dyDescent="0.25">
      <c r="A238" s="6" t="s">
        <v>322</v>
      </c>
      <c r="B238" s="7">
        <v>45897</v>
      </c>
      <c r="C238" s="6" t="s">
        <v>90</v>
      </c>
      <c r="D238" s="6" t="s">
        <v>72</v>
      </c>
      <c r="E238" s="8">
        <v>10</v>
      </c>
      <c r="F238" s="9">
        <v>0</v>
      </c>
      <c r="G238" s="10" t="s">
        <v>61</v>
      </c>
      <c r="H238" s="10" t="s">
        <v>69</v>
      </c>
      <c r="I238" s="10" t="s">
        <v>65</v>
      </c>
    </row>
    <row r="239" spans="1:9" x14ac:dyDescent="0.25">
      <c r="A239" s="11" t="s">
        <v>323</v>
      </c>
      <c r="B239" s="12">
        <v>45903</v>
      </c>
      <c r="C239" s="11" t="s">
        <v>116</v>
      </c>
      <c r="D239" s="11" t="s">
        <v>63</v>
      </c>
      <c r="E239" s="13">
        <v>29</v>
      </c>
      <c r="F239" s="14">
        <v>0.2</v>
      </c>
      <c r="G239" s="15" t="s">
        <v>61</v>
      </c>
      <c r="H239" s="15" t="s">
        <v>56</v>
      </c>
      <c r="I239" s="15" t="s">
        <v>73</v>
      </c>
    </row>
    <row r="240" spans="1:9" x14ac:dyDescent="0.25">
      <c r="A240" s="6" t="s">
        <v>324</v>
      </c>
      <c r="B240" s="7">
        <v>45986</v>
      </c>
      <c r="C240" s="6" t="s">
        <v>105</v>
      </c>
      <c r="D240" s="6" t="s">
        <v>54</v>
      </c>
      <c r="E240" s="8">
        <v>8</v>
      </c>
      <c r="F240" s="9">
        <v>0.2</v>
      </c>
      <c r="G240" s="10" t="s">
        <v>68</v>
      </c>
      <c r="H240" s="10" t="s">
        <v>56</v>
      </c>
      <c r="I240" s="10" t="s">
        <v>57</v>
      </c>
    </row>
    <row r="241" spans="1:9" x14ac:dyDescent="0.25">
      <c r="A241" s="11" t="s">
        <v>325</v>
      </c>
      <c r="B241" s="12">
        <v>45724</v>
      </c>
      <c r="C241" s="11" t="s">
        <v>53</v>
      </c>
      <c r="D241" s="11" t="s">
        <v>92</v>
      </c>
      <c r="E241" s="13">
        <v>2</v>
      </c>
      <c r="F241" s="14">
        <v>0.2</v>
      </c>
      <c r="G241" s="15" t="s">
        <v>55</v>
      </c>
      <c r="H241" s="15" t="s">
        <v>69</v>
      </c>
      <c r="I241" s="15" t="s">
        <v>57</v>
      </c>
    </row>
    <row r="242" spans="1:9" x14ac:dyDescent="0.25">
      <c r="A242" s="6" t="s">
        <v>326</v>
      </c>
      <c r="B242" s="7">
        <v>45740</v>
      </c>
      <c r="C242" s="6" t="s">
        <v>80</v>
      </c>
      <c r="D242" s="6" t="s">
        <v>82</v>
      </c>
      <c r="E242" s="8">
        <v>6</v>
      </c>
      <c r="F242" s="9">
        <v>0.2</v>
      </c>
      <c r="G242" s="10" t="s">
        <v>68</v>
      </c>
      <c r="H242" s="10" t="s">
        <v>56</v>
      </c>
      <c r="I242" s="10" t="s">
        <v>73</v>
      </c>
    </row>
    <row r="243" spans="1:9" x14ac:dyDescent="0.25">
      <c r="A243" s="11" t="s">
        <v>327</v>
      </c>
      <c r="B243" s="12">
        <v>45758</v>
      </c>
      <c r="C243" s="11" t="s">
        <v>75</v>
      </c>
      <c r="D243" s="11" t="s">
        <v>60</v>
      </c>
      <c r="E243" s="13">
        <v>23</v>
      </c>
      <c r="F243" s="14">
        <v>0.1</v>
      </c>
      <c r="G243" s="15" t="s">
        <v>61</v>
      </c>
      <c r="H243" s="15" t="s">
        <v>83</v>
      </c>
      <c r="I243" s="15" t="s">
        <v>57</v>
      </c>
    </row>
    <row r="244" spans="1:9" x14ac:dyDescent="0.25">
      <c r="A244" s="6" t="s">
        <v>328</v>
      </c>
      <c r="B244" s="7">
        <v>45961</v>
      </c>
      <c r="C244" s="6" t="s">
        <v>90</v>
      </c>
      <c r="D244" s="6" t="s">
        <v>76</v>
      </c>
      <c r="E244" s="8">
        <v>24</v>
      </c>
      <c r="F244" s="9">
        <v>0.2</v>
      </c>
      <c r="G244" s="10" t="s">
        <v>68</v>
      </c>
      <c r="H244" s="10" t="s">
        <v>83</v>
      </c>
      <c r="I244" s="10" t="s">
        <v>77</v>
      </c>
    </row>
    <row r="245" spans="1:9" x14ac:dyDescent="0.25">
      <c r="A245" s="11" t="s">
        <v>329</v>
      </c>
      <c r="B245" s="12">
        <v>45672</v>
      </c>
      <c r="C245" s="11" t="s">
        <v>53</v>
      </c>
      <c r="D245" s="11" t="s">
        <v>54</v>
      </c>
      <c r="E245" s="13">
        <v>11</v>
      </c>
      <c r="F245" s="14">
        <v>0.2</v>
      </c>
      <c r="G245" s="15" t="s">
        <v>68</v>
      </c>
      <c r="H245" s="15" t="s">
        <v>83</v>
      </c>
      <c r="I245" s="15" t="s">
        <v>57</v>
      </c>
    </row>
    <row r="246" spans="1:9" x14ac:dyDescent="0.25">
      <c r="A246" s="6" t="s">
        <v>330</v>
      </c>
      <c r="B246" s="7">
        <v>45950</v>
      </c>
      <c r="C246" s="6" t="s">
        <v>53</v>
      </c>
      <c r="D246" s="6" t="s">
        <v>92</v>
      </c>
      <c r="E246" s="8">
        <v>8</v>
      </c>
      <c r="F246" s="9">
        <v>0.2</v>
      </c>
      <c r="G246" s="10" t="s">
        <v>68</v>
      </c>
      <c r="H246" s="10" t="s">
        <v>83</v>
      </c>
      <c r="I246" s="10" t="s">
        <v>73</v>
      </c>
    </row>
    <row r="247" spans="1:9" x14ac:dyDescent="0.25">
      <c r="A247" s="11" t="s">
        <v>331</v>
      </c>
      <c r="B247" s="12">
        <v>45905</v>
      </c>
      <c r="C247" s="11" t="s">
        <v>116</v>
      </c>
      <c r="D247" s="11" t="s">
        <v>88</v>
      </c>
      <c r="E247" s="13">
        <v>5</v>
      </c>
      <c r="F247" s="14">
        <v>0.15</v>
      </c>
      <c r="G247" s="15" t="s">
        <v>61</v>
      </c>
      <c r="H247" s="15" t="s">
        <v>83</v>
      </c>
      <c r="I247" s="15" t="s">
        <v>77</v>
      </c>
    </row>
    <row r="248" spans="1:9" x14ac:dyDescent="0.25">
      <c r="A248" s="6" t="s">
        <v>332</v>
      </c>
      <c r="B248" s="7">
        <v>45738</v>
      </c>
      <c r="C248" s="6" t="s">
        <v>116</v>
      </c>
      <c r="D248" s="6" t="s">
        <v>96</v>
      </c>
      <c r="E248" s="8">
        <v>8</v>
      </c>
      <c r="F248" s="9">
        <v>0.15</v>
      </c>
      <c r="G248" s="10" t="s">
        <v>55</v>
      </c>
      <c r="H248" s="10" t="s">
        <v>69</v>
      </c>
      <c r="I248" s="10" t="s">
        <v>57</v>
      </c>
    </row>
    <row r="249" spans="1:9" x14ac:dyDescent="0.25">
      <c r="A249" s="11" t="s">
        <v>333</v>
      </c>
      <c r="B249" s="12">
        <v>45818</v>
      </c>
      <c r="C249" s="11" t="s">
        <v>71</v>
      </c>
      <c r="D249" s="11" t="s">
        <v>111</v>
      </c>
      <c r="E249" s="13">
        <v>12</v>
      </c>
      <c r="F249" s="14">
        <v>0.1</v>
      </c>
      <c r="G249" s="15" t="s">
        <v>64</v>
      </c>
      <c r="H249" s="15" t="s">
        <v>56</v>
      </c>
      <c r="I249" s="15" t="s">
        <v>73</v>
      </c>
    </row>
    <row r="250" spans="1:9" x14ac:dyDescent="0.25">
      <c r="A250" s="6" t="s">
        <v>334</v>
      </c>
      <c r="B250" s="7">
        <v>45921</v>
      </c>
      <c r="C250" s="6" t="s">
        <v>59</v>
      </c>
      <c r="D250" s="6" t="s">
        <v>63</v>
      </c>
      <c r="E250" s="8">
        <v>10</v>
      </c>
      <c r="F250" s="9">
        <v>0.15</v>
      </c>
      <c r="G250" s="10" t="s">
        <v>61</v>
      </c>
      <c r="H250" s="10" t="s">
        <v>69</v>
      </c>
      <c r="I250" s="10" t="s">
        <v>65</v>
      </c>
    </row>
    <row r="251" spans="1:9" x14ac:dyDescent="0.25">
      <c r="A251" s="11" t="s">
        <v>335</v>
      </c>
      <c r="B251" s="12">
        <v>45784</v>
      </c>
      <c r="C251" s="11" t="s">
        <v>59</v>
      </c>
      <c r="D251" s="11" t="s">
        <v>94</v>
      </c>
      <c r="E251" s="13">
        <v>1</v>
      </c>
      <c r="F251" s="14">
        <v>0.1</v>
      </c>
      <c r="G251" s="15" t="s">
        <v>64</v>
      </c>
      <c r="H251" s="15" t="s">
        <v>83</v>
      </c>
      <c r="I251" s="15" t="s">
        <v>65</v>
      </c>
    </row>
    <row r="252" spans="1:9" x14ac:dyDescent="0.25">
      <c r="A252" s="6" t="s">
        <v>336</v>
      </c>
      <c r="B252" s="7">
        <v>45785</v>
      </c>
      <c r="C252" s="6" t="s">
        <v>90</v>
      </c>
      <c r="D252" s="6" t="s">
        <v>111</v>
      </c>
      <c r="E252" s="8">
        <v>6</v>
      </c>
      <c r="F252" s="9">
        <v>0.2</v>
      </c>
      <c r="G252" s="10" t="s">
        <v>68</v>
      </c>
      <c r="H252" s="10" t="s">
        <v>56</v>
      </c>
      <c r="I252" s="10" t="s">
        <v>57</v>
      </c>
    </row>
    <row r="253" spans="1:9" x14ac:dyDescent="0.25">
      <c r="A253" s="11" t="s">
        <v>337</v>
      </c>
      <c r="B253" s="12">
        <v>45913</v>
      </c>
      <c r="C253" s="11" t="s">
        <v>105</v>
      </c>
      <c r="D253" s="11" t="s">
        <v>63</v>
      </c>
      <c r="E253" s="13">
        <v>12</v>
      </c>
      <c r="F253" s="14">
        <v>0.15</v>
      </c>
      <c r="G253" s="15" t="s">
        <v>61</v>
      </c>
      <c r="H253" s="15" t="s">
        <v>56</v>
      </c>
      <c r="I253" s="15" t="s">
        <v>65</v>
      </c>
    </row>
    <row r="254" spans="1:9" x14ac:dyDescent="0.25">
      <c r="A254" s="6" t="s">
        <v>338</v>
      </c>
      <c r="B254" s="7">
        <v>45916</v>
      </c>
      <c r="C254" s="6" t="s">
        <v>80</v>
      </c>
      <c r="D254" s="6" t="s">
        <v>96</v>
      </c>
      <c r="E254" s="8">
        <v>4</v>
      </c>
      <c r="F254" s="9">
        <v>0.2</v>
      </c>
      <c r="G254" s="10" t="s">
        <v>68</v>
      </c>
      <c r="H254" s="10" t="s">
        <v>56</v>
      </c>
      <c r="I254" s="10" t="s">
        <v>77</v>
      </c>
    </row>
    <row r="255" spans="1:9" x14ac:dyDescent="0.25">
      <c r="A255" s="11" t="s">
        <v>339</v>
      </c>
      <c r="B255" s="12">
        <v>45802</v>
      </c>
      <c r="C255" s="11" t="s">
        <v>105</v>
      </c>
      <c r="D255" s="11" t="s">
        <v>96</v>
      </c>
      <c r="E255" s="13">
        <v>5</v>
      </c>
      <c r="F255" s="14">
        <v>0.2</v>
      </c>
      <c r="G255" s="15" t="s">
        <v>61</v>
      </c>
      <c r="H255" s="15" t="s">
        <v>56</v>
      </c>
      <c r="I255" s="15" t="s">
        <v>65</v>
      </c>
    </row>
    <row r="256" spans="1:9" x14ac:dyDescent="0.25">
      <c r="A256" s="6" t="s">
        <v>340</v>
      </c>
      <c r="B256" s="7">
        <v>45726</v>
      </c>
      <c r="C256" s="6" t="s">
        <v>75</v>
      </c>
      <c r="D256" s="6" t="s">
        <v>103</v>
      </c>
      <c r="E256" s="8">
        <v>12</v>
      </c>
      <c r="F256" s="9">
        <v>0.1</v>
      </c>
      <c r="G256" s="10" t="s">
        <v>64</v>
      </c>
      <c r="H256" s="10" t="s">
        <v>69</v>
      </c>
      <c r="I256" s="10" t="s">
        <v>77</v>
      </c>
    </row>
    <row r="257" spans="1:9" x14ac:dyDescent="0.25">
      <c r="A257" s="11" t="s">
        <v>341</v>
      </c>
      <c r="B257" s="12">
        <v>45863</v>
      </c>
      <c r="C257" s="11" t="s">
        <v>80</v>
      </c>
      <c r="D257" s="11" t="s">
        <v>120</v>
      </c>
      <c r="E257" s="13">
        <v>6</v>
      </c>
      <c r="F257" s="14">
        <v>0.2</v>
      </c>
      <c r="G257" s="15" t="s">
        <v>68</v>
      </c>
      <c r="H257" s="15" t="s">
        <v>56</v>
      </c>
      <c r="I257" s="15" t="s">
        <v>65</v>
      </c>
    </row>
    <row r="258" spans="1:9" x14ac:dyDescent="0.25">
      <c r="A258" s="6" t="s">
        <v>342</v>
      </c>
      <c r="B258" s="7">
        <v>45916</v>
      </c>
      <c r="C258" s="6" t="s">
        <v>75</v>
      </c>
      <c r="D258" s="6" t="s">
        <v>96</v>
      </c>
      <c r="E258" s="8">
        <v>10</v>
      </c>
      <c r="F258" s="9">
        <v>0.2</v>
      </c>
      <c r="G258" s="10" t="s">
        <v>61</v>
      </c>
      <c r="H258" s="10" t="s">
        <v>56</v>
      </c>
      <c r="I258" s="10" t="s">
        <v>77</v>
      </c>
    </row>
    <row r="259" spans="1:9" x14ac:dyDescent="0.25">
      <c r="A259" s="11" t="s">
        <v>343</v>
      </c>
      <c r="B259" s="12">
        <v>45859</v>
      </c>
      <c r="C259" s="11" t="s">
        <v>71</v>
      </c>
      <c r="D259" s="11" t="s">
        <v>82</v>
      </c>
      <c r="E259" s="13">
        <v>9</v>
      </c>
      <c r="F259" s="14">
        <v>0.1</v>
      </c>
      <c r="G259" s="15" t="s">
        <v>55</v>
      </c>
      <c r="H259" s="15" t="s">
        <v>56</v>
      </c>
      <c r="I259" s="15" t="s">
        <v>65</v>
      </c>
    </row>
    <row r="260" spans="1:9" x14ac:dyDescent="0.25">
      <c r="A260" s="6" t="s">
        <v>344</v>
      </c>
      <c r="B260" s="7">
        <v>45914</v>
      </c>
      <c r="C260" s="6" t="s">
        <v>53</v>
      </c>
      <c r="D260" s="6" t="s">
        <v>120</v>
      </c>
      <c r="E260" s="8">
        <v>1</v>
      </c>
      <c r="F260" s="9">
        <v>0.05</v>
      </c>
      <c r="G260" s="10" t="s">
        <v>68</v>
      </c>
      <c r="H260" s="10" t="s">
        <v>69</v>
      </c>
      <c r="I260" s="10" t="s">
        <v>65</v>
      </c>
    </row>
    <row r="261" spans="1:9" x14ac:dyDescent="0.25">
      <c r="A261" s="11" t="s">
        <v>345</v>
      </c>
      <c r="B261" s="12">
        <v>45734</v>
      </c>
      <c r="C261" s="11" t="s">
        <v>90</v>
      </c>
      <c r="D261" s="11" t="s">
        <v>76</v>
      </c>
      <c r="E261" s="13">
        <v>22</v>
      </c>
      <c r="F261" s="14">
        <v>0.1</v>
      </c>
      <c r="G261" s="15" t="s">
        <v>55</v>
      </c>
      <c r="H261" s="15" t="s">
        <v>69</v>
      </c>
      <c r="I261" s="15" t="s">
        <v>73</v>
      </c>
    </row>
    <row r="262" spans="1:9" x14ac:dyDescent="0.25">
      <c r="A262" s="6" t="s">
        <v>346</v>
      </c>
      <c r="B262" s="7">
        <v>45961</v>
      </c>
      <c r="C262" s="6" t="s">
        <v>105</v>
      </c>
      <c r="D262" s="6" t="s">
        <v>82</v>
      </c>
      <c r="E262" s="8">
        <v>12</v>
      </c>
      <c r="F262" s="9">
        <v>0.2</v>
      </c>
      <c r="G262" s="10" t="s">
        <v>68</v>
      </c>
      <c r="H262" s="10" t="s">
        <v>69</v>
      </c>
      <c r="I262" s="10" t="s">
        <v>77</v>
      </c>
    </row>
    <row r="263" spans="1:9" x14ac:dyDescent="0.25">
      <c r="A263" s="11" t="s">
        <v>347</v>
      </c>
      <c r="B263" s="12">
        <v>45846</v>
      </c>
      <c r="C263" s="11" t="s">
        <v>59</v>
      </c>
      <c r="D263" s="11" t="s">
        <v>82</v>
      </c>
      <c r="E263" s="13">
        <v>7</v>
      </c>
      <c r="F263" s="14">
        <v>0.2</v>
      </c>
      <c r="G263" s="15" t="s">
        <v>68</v>
      </c>
      <c r="H263" s="15" t="s">
        <v>83</v>
      </c>
      <c r="I263" s="15" t="s">
        <v>77</v>
      </c>
    </row>
    <row r="264" spans="1:9" x14ac:dyDescent="0.25">
      <c r="A264" s="6" t="s">
        <v>348</v>
      </c>
      <c r="B264" s="7">
        <v>45963</v>
      </c>
      <c r="C264" s="6" t="s">
        <v>75</v>
      </c>
      <c r="D264" s="6" t="s">
        <v>96</v>
      </c>
      <c r="E264" s="8">
        <v>11</v>
      </c>
      <c r="F264" s="9">
        <v>0.2</v>
      </c>
      <c r="G264" s="10" t="s">
        <v>55</v>
      </c>
      <c r="H264" s="10" t="s">
        <v>83</v>
      </c>
      <c r="I264" s="10" t="s">
        <v>77</v>
      </c>
    </row>
    <row r="265" spans="1:9" x14ac:dyDescent="0.25">
      <c r="A265" s="11" t="s">
        <v>349</v>
      </c>
      <c r="B265" s="12">
        <v>45956</v>
      </c>
      <c r="C265" s="11" t="s">
        <v>90</v>
      </c>
      <c r="D265" s="11" t="s">
        <v>96</v>
      </c>
      <c r="E265" s="13">
        <v>9</v>
      </c>
      <c r="F265" s="14">
        <v>0.2</v>
      </c>
      <c r="G265" s="15" t="s">
        <v>64</v>
      </c>
      <c r="H265" s="15" t="s">
        <v>56</v>
      </c>
      <c r="I265" s="15" t="s">
        <v>57</v>
      </c>
    </row>
    <row r="266" spans="1:9" x14ac:dyDescent="0.25">
      <c r="A266" s="6" t="s">
        <v>350</v>
      </c>
      <c r="B266" s="7">
        <v>45674</v>
      </c>
      <c r="C266" s="6" t="s">
        <v>59</v>
      </c>
      <c r="D266" s="6" t="s">
        <v>76</v>
      </c>
      <c r="E266" s="8">
        <v>3</v>
      </c>
      <c r="F266" s="9">
        <v>0.15</v>
      </c>
      <c r="G266" s="10" t="s">
        <v>68</v>
      </c>
      <c r="H266" s="10" t="s">
        <v>69</v>
      </c>
      <c r="I266" s="10" t="s">
        <v>57</v>
      </c>
    </row>
    <row r="267" spans="1:9" x14ac:dyDescent="0.25">
      <c r="A267" s="11" t="s">
        <v>351</v>
      </c>
      <c r="B267" s="12">
        <v>45869</v>
      </c>
      <c r="C267" s="11" t="s">
        <v>80</v>
      </c>
      <c r="D267" s="11" t="s">
        <v>85</v>
      </c>
      <c r="E267" s="13">
        <v>19</v>
      </c>
      <c r="F267" s="14">
        <v>0.2</v>
      </c>
      <c r="G267" s="15" t="s">
        <v>64</v>
      </c>
      <c r="H267" s="15" t="s">
        <v>83</v>
      </c>
      <c r="I267" s="15" t="s">
        <v>77</v>
      </c>
    </row>
    <row r="268" spans="1:9" x14ac:dyDescent="0.25">
      <c r="A268" s="6" t="s">
        <v>352</v>
      </c>
      <c r="B268" s="7">
        <v>46019</v>
      </c>
      <c r="C268" s="6" t="s">
        <v>80</v>
      </c>
      <c r="D268" s="6" t="s">
        <v>94</v>
      </c>
      <c r="E268" s="8">
        <v>9</v>
      </c>
      <c r="F268" s="9">
        <v>0.1</v>
      </c>
      <c r="G268" s="10" t="s">
        <v>64</v>
      </c>
      <c r="H268" s="10" t="s">
        <v>83</v>
      </c>
      <c r="I268" s="10" t="s">
        <v>65</v>
      </c>
    </row>
    <row r="269" spans="1:9" x14ac:dyDescent="0.25">
      <c r="A269" s="11" t="s">
        <v>353</v>
      </c>
      <c r="B269" s="12">
        <v>45818</v>
      </c>
      <c r="C269" s="11" t="s">
        <v>105</v>
      </c>
      <c r="D269" s="11" t="s">
        <v>94</v>
      </c>
      <c r="E269" s="13">
        <v>9</v>
      </c>
      <c r="F269" s="14">
        <v>0.1</v>
      </c>
      <c r="G269" s="15" t="s">
        <v>68</v>
      </c>
      <c r="H269" s="15" t="s">
        <v>83</v>
      </c>
      <c r="I269" s="15" t="s">
        <v>73</v>
      </c>
    </row>
    <row r="270" spans="1:9" x14ac:dyDescent="0.25">
      <c r="A270" s="6" t="s">
        <v>354</v>
      </c>
      <c r="B270" s="7">
        <v>45970</v>
      </c>
      <c r="C270" s="6" t="s">
        <v>80</v>
      </c>
      <c r="D270" s="6" t="s">
        <v>96</v>
      </c>
      <c r="E270" s="8">
        <v>4</v>
      </c>
      <c r="F270" s="9">
        <v>0.1</v>
      </c>
      <c r="G270" s="10" t="s">
        <v>68</v>
      </c>
      <c r="H270" s="10" t="s">
        <v>56</v>
      </c>
      <c r="I270" s="10" t="s">
        <v>73</v>
      </c>
    </row>
    <row r="271" spans="1:9" x14ac:dyDescent="0.25">
      <c r="A271" s="11" t="s">
        <v>355</v>
      </c>
      <c r="B271" s="12">
        <v>45805</v>
      </c>
      <c r="C271" s="11" t="s">
        <v>80</v>
      </c>
      <c r="D271" s="11" t="s">
        <v>85</v>
      </c>
      <c r="E271" s="13">
        <v>25</v>
      </c>
      <c r="F271" s="14">
        <v>0.15</v>
      </c>
      <c r="G271" s="15" t="s">
        <v>68</v>
      </c>
      <c r="H271" s="15" t="s">
        <v>69</v>
      </c>
      <c r="I271" s="15" t="s">
        <v>73</v>
      </c>
    </row>
    <row r="272" spans="1:9" x14ac:dyDescent="0.25">
      <c r="A272" s="6" t="s">
        <v>356</v>
      </c>
      <c r="B272" s="7">
        <v>45944</v>
      </c>
      <c r="C272" s="6" t="s">
        <v>75</v>
      </c>
      <c r="D272" s="6" t="s">
        <v>103</v>
      </c>
      <c r="E272" s="8">
        <v>5</v>
      </c>
      <c r="F272" s="9">
        <v>0</v>
      </c>
      <c r="G272" s="10" t="s">
        <v>64</v>
      </c>
      <c r="H272" s="10" t="s">
        <v>69</v>
      </c>
      <c r="I272" s="10" t="s">
        <v>73</v>
      </c>
    </row>
    <row r="273" spans="1:9" x14ac:dyDescent="0.25">
      <c r="A273" s="11" t="s">
        <v>357</v>
      </c>
      <c r="B273" s="12">
        <v>45732</v>
      </c>
      <c r="C273" s="11" t="s">
        <v>53</v>
      </c>
      <c r="D273" s="11" t="s">
        <v>67</v>
      </c>
      <c r="E273" s="13">
        <v>5</v>
      </c>
      <c r="F273" s="14">
        <v>0</v>
      </c>
      <c r="G273" s="15" t="s">
        <v>68</v>
      </c>
      <c r="H273" s="15" t="s">
        <v>69</v>
      </c>
      <c r="I273" s="15" t="s">
        <v>73</v>
      </c>
    </row>
    <row r="274" spans="1:9" x14ac:dyDescent="0.25">
      <c r="A274" s="6" t="s">
        <v>358</v>
      </c>
      <c r="B274" s="7">
        <v>45903</v>
      </c>
      <c r="C274" s="6" t="s">
        <v>80</v>
      </c>
      <c r="D274" s="6" t="s">
        <v>88</v>
      </c>
      <c r="E274" s="8">
        <v>9</v>
      </c>
      <c r="F274" s="9">
        <v>0.1</v>
      </c>
      <c r="G274" s="10" t="s">
        <v>68</v>
      </c>
      <c r="H274" s="10" t="s">
        <v>56</v>
      </c>
      <c r="I274" s="10" t="s">
        <v>77</v>
      </c>
    </row>
    <row r="275" spans="1:9" x14ac:dyDescent="0.25">
      <c r="A275" s="11" t="s">
        <v>359</v>
      </c>
      <c r="B275" s="12">
        <v>45973</v>
      </c>
      <c r="C275" s="11" t="s">
        <v>80</v>
      </c>
      <c r="D275" s="11" t="s">
        <v>85</v>
      </c>
      <c r="E275" s="13">
        <v>4</v>
      </c>
      <c r="F275" s="14">
        <v>0.2</v>
      </c>
      <c r="G275" s="15" t="s">
        <v>55</v>
      </c>
      <c r="H275" s="15" t="s">
        <v>83</v>
      </c>
      <c r="I275" s="15" t="s">
        <v>57</v>
      </c>
    </row>
    <row r="276" spans="1:9" x14ac:dyDescent="0.25">
      <c r="A276" s="6" t="s">
        <v>360</v>
      </c>
      <c r="B276" s="7">
        <v>45684</v>
      </c>
      <c r="C276" s="6" t="s">
        <v>116</v>
      </c>
      <c r="D276" s="6" t="s">
        <v>54</v>
      </c>
      <c r="E276" s="8">
        <v>6</v>
      </c>
      <c r="F276" s="9">
        <v>0.15</v>
      </c>
      <c r="G276" s="10" t="s">
        <v>61</v>
      </c>
      <c r="H276" s="10" t="s">
        <v>83</v>
      </c>
      <c r="I276" s="10" t="s">
        <v>57</v>
      </c>
    </row>
    <row r="277" spans="1:9" x14ac:dyDescent="0.25">
      <c r="A277" s="11" t="s">
        <v>361</v>
      </c>
      <c r="B277" s="12">
        <v>45660</v>
      </c>
      <c r="C277" s="11" t="s">
        <v>90</v>
      </c>
      <c r="D277" s="11" t="s">
        <v>63</v>
      </c>
      <c r="E277" s="13">
        <v>23</v>
      </c>
      <c r="F277" s="14">
        <v>0.15</v>
      </c>
      <c r="G277" s="15" t="s">
        <v>64</v>
      </c>
      <c r="H277" s="15" t="s">
        <v>83</v>
      </c>
      <c r="I277" s="15" t="s">
        <v>57</v>
      </c>
    </row>
    <row r="278" spans="1:9" x14ac:dyDescent="0.25">
      <c r="A278" s="6" t="s">
        <v>362</v>
      </c>
      <c r="B278" s="7">
        <v>45805</v>
      </c>
      <c r="C278" s="6" t="s">
        <v>75</v>
      </c>
      <c r="D278" s="6" t="s">
        <v>82</v>
      </c>
      <c r="E278" s="8">
        <v>11</v>
      </c>
      <c r="F278" s="9">
        <v>0</v>
      </c>
      <c r="G278" s="10" t="s">
        <v>61</v>
      </c>
      <c r="H278" s="10" t="s">
        <v>83</v>
      </c>
      <c r="I278" s="10" t="s">
        <v>57</v>
      </c>
    </row>
    <row r="279" spans="1:9" x14ac:dyDescent="0.25">
      <c r="A279" s="11" t="s">
        <v>363</v>
      </c>
      <c r="B279" s="12">
        <v>45931</v>
      </c>
      <c r="C279" s="11" t="s">
        <v>53</v>
      </c>
      <c r="D279" s="11" t="s">
        <v>85</v>
      </c>
      <c r="E279" s="13">
        <v>16</v>
      </c>
      <c r="F279" s="14">
        <v>0.05</v>
      </c>
      <c r="G279" s="15" t="s">
        <v>61</v>
      </c>
      <c r="H279" s="15" t="s">
        <v>69</v>
      </c>
      <c r="I279" s="15" t="s">
        <v>65</v>
      </c>
    </row>
    <row r="280" spans="1:9" x14ac:dyDescent="0.25">
      <c r="A280" s="6" t="s">
        <v>364</v>
      </c>
      <c r="B280" s="7">
        <v>45753</v>
      </c>
      <c r="C280" s="6" t="s">
        <v>75</v>
      </c>
      <c r="D280" s="6" t="s">
        <v>103</v>
      </c>
      <c r="E280" s="8">
        <v>1</v>
      </c>
      <c r="F280" s="9">
        <v>0</v>
      </c>
      <c r="G280" s="10" t="s">
        <v>68</v>
      </c>
      <c r="H280" s="10" t="s">
        <v>83</v>
      </c>
      <c r="I280" s="10" t="s">
        <v>77</v>
      </c>
    </row>
    <row r="281" spans="1:9" x14ac:dyDescent="0.25">
      <c r="A281" s="11" t="s">
        <v>365</v>
      </c>
      <c r="B281" s="12">
        <v>45829</v>
      </c>
      <c r="C281" s="11" t="s">
        <v>105</v>
      </c>
      <c r="D281" s="11" t="s">
        <v>67</v>
      </c>
      <c r="E281" s="13">
        <v>11</v>
      </c>
      <c r="F281" s="14">
        <v>0.2</v>
      </c>
      <c r="G281" s="15" t="s">
        <v>64</v>
      </c>
      <c r="H281" s="15" t="s">
        <v>56</v>
      </c>
      <c r="I281" s="15" t="s">
        <v>65</v>
      </c>
    </row>
    <row r="282" spans="1:9" x14ac:dyDescent="0.25">
      <c r="A282" s="6" t="s">
        <v>366</v>
      </c>
      <c r="B282" s="7">
        <v>45797</v>
      </c>
      <c r="C282" s="6" t="s">
        <v>59</v>
      </c>
      <c r="D282" s="6" t="s">
        <v>88</v>
      </c>
      <c r="E282" s="8">
        <v>6</v>
      </c>
      <c r="F282" s="9">
        <v>0.05</v>
      </c>
      <c r="G282" s="10" t="s">
        <v>64</v>
      </c>
      <c r="H282" s="10" t="s">
        <v>83</v>
      </c>
      <c r="I282" s="10" t="s">
        <v>73</v>
      </c>
    </row>
    <row r="283" spans="1:9" x14ac:dyDescent="0.25">
      <c r="A283" s="11" t="s">
        <v>367</v>
      </c>
      <c r="B283" s="12">
        <v>45753</v>
      </c>
      <c r="C283" s="11" t="s">
        <v>71</v>
      </c>
      <c r="D283" s="11" t="s">
        <v>120</v>
      </c>
      <c r="E283" s="13">
        <v>5</v>
      </c>
      <c r="F283" s="14">
        <v>0.2</v>
      </c>
      <c r="G283" s="15" t="s">
        <v>55</v>
      </c>
      <c r="H283" s="15" t="s">
        <v>56</v>
      </c>
      <c r="I283" s="15" t="s">
        <v>65</v>
      </c>
    </row>
    <row r="284" spans="1:9" x14ac:dyDescent="0.25">
      <c r="A284" s="6" t="s">
        <v>368</v>
      </c>
      <c r="B284" s="7">
        <v>45876</v>
      </c>
      <c r="C284" s="6" t="s">
        <v>71</v>
      </c>
      <c r="D284" s="6" t="s">
        <v>63</v>
      </c>
      <c r="E284" s="8">
        <v>15</v>
      </c>
      <c r="F284" s="9">
        <v>0</v>
      </c>
      <c r="G284" s="10" t="s">
        <v>55</v>
      </c>
      <c r="H284" s="10" t="s">
        <v>56</v>
      </c>
      <c r="I284" s="10" t="s">
        <v>65</v>
      </c>
    </row>
    <row r="285" spans="1:9" x14ac:dyDescent="0.25">
      <c r="A285" s="11" t="s">
        <v>369</v>
      </c>
      <c r="B285" s="12">
        <v>45823</v>
      </c>
      <c r="C285" s="11" t="s">
        <v>80</v>
      </c>
      <c r="D285" s="11" t="s">
        <v>103</v>
      </c>
      <c r="E285" s="13">
        <v>1</v>
      </c>
      <c r="F285" s="14">
        <v>0.1</v>
      </c>
      <c r="G285" s="15" t="s">
        <v>64</v>
      </c>
      <c r="H285" s="15" t="s">
        <v>56</v>
      </c>
      <c r="I285" s="15" t="s">
        <v>65</v>
      </c>
    </row>
    <row r="286" spans="1:9" x14ac:dyDescent="0.25">
      <c r="A286" s="6" t="s">
        <v>370</v>
      </c>
      <c r="B286" s="7">
        <v>45794</v>
      </c>
      <c r="C286" s="6" t="s">
        <v>75</v>
      </c>
      <c r="D286" s="6" t="s">
        <v>82</v>
      </c>
      <c r="E286" s="8">
        <v>10</v>
      </c>
      <c r="F286" s="9">
        <v>0.2</v>
      </c>
      <c r="G286" s="10" t="s">
        <v>61</v>
      </c>
      <c r="H286" s="10" t="s">
        <v>69</v>
      </c>
      <c r="I286" s="10" t="s">
        <v>73</v>
      </c>
    </row>
    <row r="287" spans="1:9" x14ac:dyDescent="0.25">
      <c r="A287" s="11" t="s">
        <v>371</v>
      </c>
      <c r="B287" s="12">
        <v>46012</v>
      </c>
      <c r="C287" s="11" t="s">
        <v>53</v>
      </c>
      <c r="D287" s="11" t="s">
        <v>88</v>
      </c>
      <c r="E287" s="13">
        <v>11</v>
      </c>
      <c r="F287" s="14">
        <v>0</v>
      </c>
      <c r="G287" s="15" t="s">
        <v>64</v>
      </c>
      <c r="H287" s="15" t="s">
        <v>69</v>
      </c>
      <c r="I287" s="15" t="s">
        <v>57</v>
      </c>
    </row>
    <row r="288" spans="1:9" x14ac:dyDescent="0.25">
      <c r="A288" s="6" t="s">
        <v>372</v>
      </c>
      <c r="B288" s="7">
        <v>45865</v>
      </c>
      <c r="C288" s="6" t="s">
        <v>75</v>
      </c>
      <c r="D288" s="6" t="s">
        <v>60</v>
      </c>
      <c r="E288" s="8">
        <v>6</v>
      </c>
      <c r="F288" s="9">
        <v>0.1</v>
      </c>
      <c r="G288" s="10" t="s">
        <v>68</v>
      </c>
      <c r="H288" s="10" t="s">
        <v>83</v>
      </c>
      <c r="I288" s="10" t="s">
        <v>57</v>
      </c>
    </row>
    <row r="289" spans="1:9" x14ac:dyDescent="0.25">
      <c r="A289" s="11" t="s">
        <v>373</v>
      </c>
      <c r="B289" s="12">
        <v>45770</v>
      </c>
      <c r="C289" s="11" t="s">
        <v>105</v>
      </c>
      <c r="D289" s="11" t="s">
        <v>94</v>
      </c>
      <c r="E289" s="13">
        <v>3</v>
      </c>
      <c r="F289" s="14">
        <v>0.15</v>
      </c>
      <c r="G289" s="15" t="s">
        <v>68</v>
      </c>
      <c r="H289" s="15" t="s">
        <v>69</v>
      </c>
      <c r="I289" s="15" t="s">
        <v>65</v>
      </c>
    </row>
    <row r="290" spans="1:9" x14ac:dyDescent="0.25">
      <c r="A290" s="6" t="s">
        <v>374</v>
      </c>
      <c r="B290" s="7">
        <v>45933</v>
      </c>
      <c r="C290" s="6" t="s">
        <v>80</v>
      </c>
      <c r="D290" s="6" t="s">
        <v>72</v>
      </c>
      <c r="E290" s="8">
        <v>4</v>
      </c>
      <c r="F290" s="9">
        <v>0.2</v>
      </c>
      <c r="G290" s="10" t="s">
        <v>61</v>
      </c>
      <c r="H290" s="10" t="s">
        <v>83</v>
      </c>
      <c r="I290" s="10" t="s">
        <v>65</v>
      </c>
    </row>
    <row r="291" spans="1:9" x14ac:dyDescent="0.25">
      <c r="A291" s="11" t="s">
        <v>375</v>
      </c>
      <c r="B291" s="12">
        <v>45928</v>
      </c>
      <c r="C291" s="11" t="s">
        <v>71</v>
      </c>
      <c r="D291" s="11" t="s">
        <v>85</v>
      </c>
      <c r="E291" s="13">
        <v>21</v>
      </c>
      <c r="F291" s="14">
        <v>0</v>
      </c>
      <c r="G291" s="15" t="s">
        <v>61</v>
      </c>
      <c r="H291" s="15" t="s">
        <v>83</v>
      </c>
      <c r="I291" s="15" t="s">
        <v>57</v>
      </c>
    </row>
    <row r="292" spans="1:9" x14ac:dyDescent="0.25">
      <c r="A292" s="6" t="s">
        <v>376</v>
      </c>
      <c r="B292" s="7">
        <v>45951</v>
      </c>
      <c r="C292" s="6" t="s">
        <v>90</v>
      </c>
      <c r="D292" s="6" t="s">
        <v>63</v>
      </c>
      <c r="E292" s="8">
        <v>13</v>
      </c>
      <c r="F292" s="9">
        <v>0.2</v>
      </c>
      <c r="G292" s="10" t="s">
        <v>64</v>
      </c>
      <c r="H292" s="10" t="s">
        <v>56</v>
      </c>
      <c r="I292" s="10" t="s">
        <v>57</v>
      </c>
    </row>
    <row r="293" spans="1:9" x14ac:dyDescent="0.25">
      <c r="A293" s="11" t="s">
        <v>377</v>
      </c>
      <c r="B293" s="12">
        <v>45956</v>
      </c>
      <c r="C293" s="11" t="s">
        <v>59</v>
      </c>
      <c r="D293" s="11" t="s">
        <v>96</v>
      </c>
      <c r="E293" s="13">
        <v>9</v>
      </c>
      <c r="F293" s="14">
        <v>0.15</v>
      </c>
      <c r="G293" s="15" t="s">
        <v>61</v>
      </c>
      <c r="H293" s="15" t="s">
        <v>69</v>
      </c>
      <c r="I293" s="15" t="s">
        <v>57</v>
      </c>
    </row>
    <row r="294" spans="1:9" x14ac:dyDescent="0.25">
      <c r="A294" s="6" t="s">
        <v>378</v>
      </c>
      <c r="B294" s="7">
        <v>45920</v>
      </c>
      <c r="C294" s="6" t="s">
        <v>105</v>
      </c>
      <c r="D294" s="6" t="s">
        <v>92</v>
      </c>
      <c r="E294" s="8">
        <v>10</v>
      </c>
      <c r="F294" s="9">
        <v>0</v>
      </c>
      <c r="G294" s="10" t="s">
        <v>64</v>
      </c>
      <c r="H294" s="10" t="s">
        <v>83</v>
      </c>
      <c r="I294" s="10" t="s">
        <v>73</v>
      </c>
    </row>
    <row r="295" spans="1:9" x14ac:dyDescent="0.25">
      <c r="A295" s="11" t="s">
        <v>379</v>
      </c>
      <c r="B295" s="12">
        <v>45669</v>
      </c>
      <c r="C295" s="11" t="s">
        <v>75</v>
      </c>
      <c r="D295" s="11" t="s">
        <v>92</v>
      </c>
      <c r="E295" s="13">
        <v>1</v>
      </c>
      <c r="F295" s="14">
        <v>0.05</v>
      </c>
      <c r="G295" s="15" t="s">
        <v>61</v>
      </c>
      <c r="H295" s="15" t="s">
        <v>56</v>
      </c>
      <c r="I295" s="15" t="s">
        <v>65</v>
      </c>
    </row>
    <row r="296" spans="1:9" x14ac:dyDescent="0.25">
      <c r="A296" s="6" t="s">
        <v>380</v>
      </c>
      <c r="B296" s="7">
        <v>45834</v>
      </c>
      <c r="C296" s="6" t="s">
        <v>59</v>
      </c>
      <c r="D296" s="6" t="s">
        <v>85</v>
      </c>
      <c r="E296" s="8">
        <v>4</v>
      </c>
      <c r="F296" s="9">
        <v>0</v>
      </c>
      <c r="G296" s="10" t="s">
        <v>64</v>
      </c>
      <c r="H296" s="10" t="s">
        <v>56</v>
      </c>
      <c r="I296" s="10" t="s">
        <v>73</v>
      </c>
    </row>
    <row r="297" spans="1:9" x14ac:dyDescent="0.25">
      <c r="A297" s="11" t="s">
        <v>381</v>
      </c>
      <c r="B297" s="12">
        <v>45867</v>
      </c>
      <c r="C297" s="11" t="s">
        <v>90</v>
      </c>
      <c r="D297" s="11" t="s">
        <v>94</v>
      </c>
      <c r="E297" s="13">
        <v>11</v>
      </c>
      <c r="F297" s="14">
        <v>0.15</v>
      </c>
      <c r="G297" s="15" t="s">
        <v>68</v>
      </c>
      <c r="H297" s="15" t="s">
        <v>69</v>
      </c>
      <c r="I297" s="15" t="s">
        <v>65</v>
      </c>
    </row>
    <row r="298" spans="1:9" x14ac:dyDescent="0.25">
      <c r="A298" s="6" t="s">
        <v>382</v>
      </c>
      <c r="B298" s="7">
        <v>45851</v>
      </c>
      <c r="C298" s="6" t="s">
        <v>59</v>
      </c>
      <c r="D298" s="6" t="s">
        <v>92</v>
      </c>
      <c r="E298" s="8">
        <v>11</v>
      </c>
      <c r="F298" s="9">
        <v>0.2</v>
      </c>
      <c r="G298" s="10" t="s">
        <v>55</v>
      </c>
      <c r="H298" s="10" t="s">
        <v>83</v>
      </c>
      <c r="I298" s="10" t="s">
        <v>73</v>
      </c>
    </row>
    <row r="299" spans="1:9" x14ac:dyDescent="0.25">
      <c r="A299" s="11" t="s">
        <v>383</v>
      </c>
      <c r="B299" s="12">
        <v>45718</v>
      </c>
      <c r="C299" s="11" t="s">
        <v>116</v>
      </c>
      <c r="D299" s="11" t="s">
        <v>94</v>
      </c>
      <c r="E299" s="13">
        <v>9</v>
      </c>
      <c r="F299" s="14">
        <v>0.05</v>
      </c>
      <c r="G299" s="15" t="s">
        <v>55</v>
      </c>
      <c r="H299" s="15" t="s">
        <v>56</v>
      </c>
      <c r="I299" s="15" t="s">
        <v>77</v>
      </c>
    </row>
    <row r="300" spans="1:9" x14ac:dyDescent="0.25">
      <c r="A300" s="6" t="s">
        <v>384</v>
      </c>
      <c r="B300" s="7">
        <v>45810</v>
      </c>
      <c r="C300" s="6" t="s">
        <v>116</v>
      </c>
      <c r="D300" s="6" t="s">
        <v>96</v>
      </c>
      <c r="E300" s="8">
        <v>9</v>
      </c>
      <c r="F300" s="9">
        <v>0.15</v>
      </c>
      <c r="G300" s="10" t="s">
        <v>55</v>
      </c>
      <c r="H300" s="10" t="s">
        <v>56</v>
      </c>
      <c r="I300" s="10" t="s">
        <v>65</v>
      </c>
    </row>
    <row r="301" spans="1:9" x14ac:dyDescent="0.25">
      <c r="A301" s="11" t="s">
        <v>385</v>
      </c>
      <c r="B301" s="12">
        <v>45835</v>
      </c>
      <c r="C301" s="11" t="s">
        <v>75</v>
      </c>
      <c r="D301" s="11" t="s">
        <v>94</v>
      </c>
      <c r="E301" s="13">
        <v>4</v>
      </c>
      <c r="F301" s="14">
        <v>0</v>
      </c>
      <c r="G301" s="15" t="s">
        <v>61</v>
      </c>
      <c r="H301" s="15" t="s">
        <v>83</v>
      </c>
      <c r="I301" s="15" t="s">
        <v>65</v>
      </c>
    </row>
    <row r="302" spans="1:9" x14ac:dyDescent="0.25">
      <c r="A302" s="6" t="s">
        <v>386</v>
      </c>
      <c r="B302" s="7">
        <v>45972</v>
      </c>
      <c r="C302" s="6" t="s">
        <v>53</v>
      </c>
      <c r="D302" s="6" t="s">
        <v>72</v>
      </c>
      <c r="E302" s="8">
        <v>4</v>
      </c>
      <c r="F302" s="9">
        <v>0.05</v>
      </c>
      <c r="G302" s="10" t="s">
        <v>61</v>
      </c>
      <c r="H302" s="10" t="s">
        <v>56</v>
      </c>
      <c r="I302" s="10" t="s">
        <v>77</v>
      </c>
    </row>
    <row r="303" spans="1:9" x14ac:dyDescent="0.25">
      <c r="A303" s="11" t="s">
        <v>387</v>
      </c>
      <c r="B303" s="12">
        <v>45886</v>
      </c>
      <c r="C303" s="11" t="s">
        <v>53</v>
      </c>
      <c r="D303" s="11" t="s">
        <v>76</v>
      </c>
      <c r="E303" s="13">
        <v>26</v>
      </c>
      <c r="F303" s="14">
        <v>0</v>
      </c>
      <c r="G303" s="15" t="s">
        <v>64</v>
      </c>
      <c r="H303" s="15" t="s">
        <v>69</v>
      </c>
      <c r="I303" s="15" t="s">
        <v>57</v>
      </c>
    </row>
    <row r="304" spans="1:9" x14ac:dyDescent="0.25">
      <c r="A304" s="6" t="s">
        <v>388</v>
      </c>
      <c r="B304" s="7">
        <v>45934</v>
      </c>
      <c r="C304" s="6" t="s">
        <v>53</v>
      </c>
      <c r="D304" s="6" t="s">
        <v>88</v>
      </c>
      <c r="E304" s="8">
        <v>3</v>
      </c>
      <c r="F304" s="9">
        <v>0.2</v>
      </c>
      <c r="G304" s="10" t="s">
        <v>68</v>
      </c>
      <c r="H304" s="10" t="s">
        <v>56</v>
      </c>
      <c r="I304" s="10" t="s">
        <v>73</v>
      </c>
    </row>
    <row r="305" spans="1:9" x14ac:dyDescent="0.25">
      <c r="A305" s="11" t="s">
        <v>389</v>
      </c>
      <c r="B305" s="12">
        <v>45953</v>
      </c>
      <c r="C305" s="11" t="s">
        <v>71</v>
      </c>
      <c r="D305" s="11" t="s">
        <v>76</v>
      </c>
      <c r="E305" s="13">
        <v>12</v>
      </c>
      <c r="F305" s="14">
        <v>0.05</v>
      </c>
      <c r="G305" s="15" t="s">
        <v>55</v>
      </c>
      <c r="H305" s="15" t="s">
        <v>69</v>
      </c>
      <c r="I305" s="15" t="s">
        <v>73</v>
      </c>
    </row>
    <row r="306" spans="1:9" x14ac:dyDescent="0.25">
      <c r="A306" s="6" t="s">
        <v>390</v>
      </c>
      <c r="B306" s="7">
        <v>45798</v>
      </c>
      <c r="C306" s="6" t="s">
        <v>90</v>
      </c>
      <c r="D306" s="6" t="s">
        <v>120</v>
      </c>
      <c r="E306" s="8">
        <v>11</v>
      </c>
      <c r="F306" s="9">
        <v>0.15</v>
      </c>
      <c r="G306" s="10" t="s">
        <v>64</v>
      </c>
      <c r="H306" s="10" t="s">
        <v>56</v>
      </c>
      <c r="I306" s="10" t="s">
        <v>73</v>
      </c>
    </row>
    <row r="307" spans="1:9" x14ac:dyDescent="0.25">
      <c r="A307" s="11" t="s">
        <v>391</v>
      </c>
      <c r="B307" s="12">
        <v>45987</v>
      </c>
      <c r="C307" s="11" t="s">
        <v>116</v>
      </c>
      <c r="D307" s="11" t="s">
        <v>60</v>
      </c>
      <c r="E307" s="13">
        <v>13</v>
      </c>
      <c r="F307" s="14">
        <v>0.15</v>
      </c>
      <c r="G307" s="15" t="s">
        <v>64</v>
      </c>
      <c r="H307" s="15" t="s">
        <v>56</v>
      </c>
      <c r="I307" s="15" t="s">
        <v>73</v>
      </c>
    </row>
    <row r="308" spans="1:9" x14ac:dyDescent="0.25">
      <c r="A308" s="6" t="s">
        <v>392</v>
      </c>
      <c r="B308" s="7">
        <v>45850</v>
      </c>
      <c r="C308" s="6" t="s">
        <v>105</v>
      </c>
      <c r="D308" s="6" t="s">
        <v>94</v>
      </c>
      <c r="E308" s="8">
        <v>4</v>
      </c>
      <c r="F308" s="9">
        <v>0.05</v>
      </c>
      <c r="G308" s="10" t="s">
        <v>68</v>
      </c>
      <c r="H308" s="10" t="s">
        <v>83</v>
      </c>
      <c r="I308" s="10" t="s">
        <v>57</v>
      </c>
    </row>
    <row r="309" spans="1:9" x14ac:dyDescent="0.25">
      <c r="A309" s="11" t="s">
        <v>393</v>
      </c>
      <c r="B309" s="12">
        <v>45895</v>
      </c>
      <c r="C309" s="11" t="s">
        <v>53</v>
      </c>
      <c r="D309" s="11" t="s">
        <v>103</v>
      </c>
      <c r="E309" s="13">
        <v>9</v>
      </c>
      <c r="F309" s="14">
        <v>0.15</v>
      </c>
      <c r="G309" s="15" t="s">
        <v>64</v>
      </c>
      <c r="H309" s="15" t="s">
        <v>83</v>
      </c>
      <c r="I309" s="15" t="s">
        <v>57</v>
      </c>
    </row>
    <row r="310" spans="1:9" x14ac:dyDescent="0.25">
      <c r="A310" s="6" t="s">
        <v>394</v>
      </c>
      <c r="B310" s="7">
        <v>45856</v>
      </c>
      <c r="C310" s="6" t="s">
        <v>75</v>
      </c>
      <c r="D310" s="6" t="s">
        <v>88</v>
      </c>
      <c r="E310" s="8">
        <v>4</v>
      </c>
      <c r="F310" s="9">
        <v>0.1</v>
      </c>
      <c r="G310" s="10" t="s">
        <v>61</v>
      </c>
      <c r="H310" s="10" t="s">
        <v>69</v>
      </c>
      <c r="I310" s="10" t="s">
        <v>73</v>
      </c>
    </row>
    <row r="311" spans="1:9" x14ac:dyDescent="0.25">
      <c r="A311" s="11" t="s">
        <v>395</v>
      </c>
      <c r="B311" s="12">
        <v>45705</v>
      </c>
      <c r="C311" s="11" t="s">
        <v>80</v>
      </c>
      <c r="D311" s="11" t="s">
        <v>63</v>
      </c>
      <c r="E311" s="13">
        <v>11</v>
      </c>
      <c r="F311" s="14">
        <v>0.15</v>
      </c>
      <c r="G311" s="15" t="s">
        <v>61</v>
      </c>
      <c r="H311" s="15" t="s">
        <v>56</v>
      </c>
      <c r="I311" s="15" t="s">
        <v>57</v>
      </c>
    </row>
    <row r="312" spans="1:9" x14ac:dyDescent="0.25">
      <c r="A312" s="6" t="s">
        <v>396</v>
      </c>
      <c r="B312" s="7">
        <v>45958</v>
      </c>
      <c r="C312" s="6" t="s">
        <v>80</v>
      </c>
      <c r="D312" s="6" t="s">
        <v>85</v>
      </c>
      <c r="E312" s="8">
        <v>9</v>
      </c>
      <c r="F312" s="9">
        <v>0.1</v>
      </c>
      <c r="G312" s="10" t="s">
        <v>68</v>
      </c>
      <c r="H312" s="10" t="s">
        <v>56</v>
      </c>
      <c r="I312" s="10" t="s">
        <v>57</v>
      </c>
    </row>
    <row r="313" spans="1:9" x14ac:dyDescent="0.25">
      <c r="A313" s="11" t="s">
        <v>397</v>
      </c>
      <c r="B313" s="12">
        <v>45755</v>
      </c>
      <c r="C313" s="11" t="s">
        <v>59</v>
      </c>
      <c r="D313" s="11" t="s">
        <v>85</v>
      </c>
      <c r="E313" s="13">
        <v>27</v>
      </c>
      <c r="F313" s="14">
        <v>0.15</v>
      </c>
      <c r="G313" s="15" t="s">
        <v>55</v>
      </c>
      <c r="H313" s="15" t="s">
        <v>83</v>
      </c>
      <c r="I313" s="15" t="s">
        <v>57</v>
      </c>
    </row>
    <row r="314" spans="1:9" x14ac:dyDescent="0.25">
      <c r="A314" s="6" t="s">
        <v>398</v>
      </c>
      <c r="B314" s="7">
        <v>45861</v>
      </c>
      <c r="C314" s="6" t="s">
        <v>80</v>
      </c>
      <c r="D314" s="6" t="s">
        <v>103</v>
      </c>
      <c r="E314" s="8">
        <v>9</v>
      </c>
      <c r="F314" s="9">
        <v>0.1</v>
      </c>
      <c r="G314" s="10" t="s">
        <v>68</v>
      </c>
      <c r="H314" s="10" t="s">
        <v>69</v>
      </c>
      <c r="I314" s="10" t="s">
        <v>65</v>
      </c>
    </row>
    <row r="315" spans="1:9" x14ac:dyDescent="0.25">
      <c r="A315" s="11" t="s">
        <v>399</v>
      </c>
      <c r="B315" s="12">
        <v>45931</v>
      </c>
      <c r="C315" s="11" t="s">
        <v>71</v>
      </c>
      <c r="D315" s="11" t="s">
        <v>60</v>
      </c>
      <c r="E315" s="13">
        <v>11</v>
      </c>
      <c r="F315" s="14">
        <v>0.1</v>
      </c>
      <c r="G315" s="15" t="s">
        <v>64</v>
      </c>
      <c r="H315" s="15" t="s">
        <v>69</v>
      </c>
      <c r="I315" s="15" t="s">
        <v>77</v>
      </c>
    </row>
    <row r="316" spans="1:9" x14ac:dyDescent="0.25">
      <c r="A316" s="6" t="s">
        <v>400</v>
      </c>
      <c r="B316" s="7">
        <v>45898</v>
      </c>
      <c r="C316" s="6" t="s">
        <v>71</v>
      </c>
      <c r="D316" s="6" t="s">
        <v>72</v>
      </c>
      <c r="E316" s="8">
        <v>4</v>
      </c>
      <c r="F316" s="9">
        <v>0.1</v>
      </c>
      <c r="G316" s="10" t="s">
        <v>68</v>
      </c>
      <c r="H316" s="10" t="s">
        <v>69</v>
      </c>
      <c r="I316" s="10" t="s">
        <v>77</v>
      </c>
    </row>
    <row r="317" spans="1:9" x14ac:dyDescent="0.25">
      <c r="A317" s="11" t="s">
        <v>401</v>
      </c>
      <c r="B317" s="12">
        <v>45946</v>
      </c>
      <c r="C317" s="11" t="s">
        <v>80</v>
      </c>
      <c r="D317" s="11" t="s">
        <v>111</v>
      </c>
      <c r="E317" s="13">
        <v>12</v>
      </c>
      <c r="F317" s="14">
        <v>0.05</v>
      </c>
      <c r="G317" s="15" t="s">
        <v>61</v>
      </c>
      <c r="H317" s="15" t="s">
        <v>69</v>
      </c>
      <c r="I317" s="15" t="s">
        <v>65</v>
      </c>
    </row>
    <row r="318" spans="1:9" x14ac:dyDescent="0.25">
      <c r="A318" s="6" t="s">
        <v>402</v>
      </c>
      <c r="B318" s="7">
        <v>45809</v>
      </c>
      <c r="C318" s="6" t="s">
        <v>80</v>
      </c>
      <c r="D318" s="6" t="s">
        <v>94</v>
      </c>
      <c r="E318" s="8">
        <v>6</v>
      </c>
      <c r="F318" s="9">
        <v>0.05</v>
      </c>
      <c r="G318" s="10" t="s">
        <v>64</v>
      </c>
      <c r="H318" s="10" t="s">
        <v>83</v>
      </c>
      <c r="I318" s="10" t="s">
        <v>57</v>
      </c>
    </row>
    <row r="319" spans="1:9" x14ac:dyDescent="0.25">
      <c r="A319" s="11" t="s">
        <v>403</v>
      </c>
      <c r="B319" s="12">
        <v>45913</v>
      </c>
      <c r="C319" s="11" t="s">
        <v>71</v>
      </c>
      <c r="D319" s="11" t="s">
        <v>63</v>
      </c>
      <c r="E319" s="13">
        <v>27</v>
      </c>
      <c r="F319" s="14">
        <v>0.15</v>
      </c>
      <c r="G319" s="15" t="s">
        <v>64</v>
      </c>
      <c r="H319" s="15" t="s">
        <v>69</v>
      </c>
      <c r="I319" s="15" t="s">
        <v>57</v>
      </c>
    </row>
    <row r="320" spans="1:9" x14ac:dyDescent="0.25">
      <c r="A320" s="6" t="s">
        <v>404</v>
      </c>
      <c r="B320" s="7">
        <v>45838</v>
      </c>
      <c r="C320" s="6" t="s">
        <v>90</v>
      </c>
      <c r="D320" s="6" t="s">
        <v>94</v>
      </c>
      <c r="E320" s="8">
        <v>12</v>
      </c>
      <c r="F320" s="9">
        <v>0.2</v>
      </c>
      <c r="G320" s="10" t="s">
        <v>64</v>
      </c>
      <c r="H320" s="10" t="s">
        <v>56</v>
      </c>
      <c r="I320" s="10" t="s">
        <v>77</v>
      </c>
    </row>
    <row r="321" spans="1:9" x14ac:dyDescent="0.25">
      <c r="A321" s="11" t="s">
        <v>405</v>
      </c>
      <c r="B321" s="12">
        <v>45926</v>
      </c>
      <c r="C321" s="11" t="s">
        <v>59</v>
      </c>
      <c r="D321" s="11" t="s">
        <v>120</v>
      </c>
      <c r="E321" s="13">
        <v>11</v>
      </c>
      <c r="F321" s="14">
        <v>0</v>
      </c>
      <c r="G321" s="15" t="s">
        <v>61</v>
      </c>
      <c r="H321" s="15" t="s">
        <v>69</v>
      </c>
      <c r="I321" s="15" t="s">
        <v>57</v>
      </c>
    </row>
    <row r="322" spans="1:9" x14ac:dyDescent="0.25">
      <c r="A322" s="6" t="s">
        <v>406</v>
      </c>
      <c r="B322" s="7">
        <v>45980</v>
      </c>
      <c r="C322" s="6" t="s">
        <v>59</v>
      </c>
      <c r="D322" s="6" t="s">
        <v>88</v>
      </c>
      <c r="E322" s="8">
        <v>12</v>
      </c>
      <c r="F322" s="9">
        <v>0.05</v>
      </c>
      <c r="G322" s="10" t="s">
        <v>61</v>
      </c>
      <c r="H322" s="10" t="s">
        <v>56</v>
      </c>
      <c r="I322" s="10" t="s">
        <v>65</v>
      </c>
    </row>
    <row r="323" spans="1:9" x14ac:dyDescent="0.25">
      <c r="A323" s="11" t="s">
        <v>407</v>
      </c>
      <c r="B323" s="12">
        <v>45849</v>
      </c>
      <c r="C323" s="11" t="s">
        <v>105</v>
      </c>
      <c r="D323" s="11" t="s">
        <v>120</v>
      </c>
      <c r="E323" s="13">
        <v>11</v>
      </c>
      <c r="F323" s="14">
        <v>0.15</v>
      </c>
      <c r="G323" s="15" t="s">
        <v>61</v>
      </c>
      <c r="H323" s="15" t="s">
        <v>56</v>
      </c>
      <c r="I323" s="15" t="s">
        <v>65</v>
      </c>
    </row>
    <row r="324" spans="1:9" x14ac:dyDescent="0.25">
      <c r="A324" s="6" t="s">
        <v>408</v>
      </c>
      <c r="B324" s="7">
        <v>45664</v>
      </c>
      <c r="C324" s="6" t="s">
        <v>75</v>
      </c>
      <c r="D324" s="6" t="s">
        <v>120</v>
      </c>
      <c r="E324" s="8">
        <v>9</v>
      </c>
      <c r="F324" s="9">
        <v>0.1</v>
      </c>
      <c r="G324" s="10" t="s">
        <v>61</v>
      </c>
      <c r="H324" s="10" t="s">
        <v>83</v>
      </c>
      <c r="I324" s="10" t="s">
        <v>65</v>
      </c>
    </row>
    <row r="325" spans="1:9" x14ac:dyDescent="0.25">
      <c r="A325" s="11" t="s">
        <v>409</v>
      </c>
      <c r="B325" s="12">
        <v>45749</v>
      </c>
      <c r="C325" s="11" t="s">
        <v>59</v>
      </c>
      <c r="D325" s="11" t="s">
        <v>54</v>
      </c>
      <c r="E325" s="13">
        <v>9</v>
      </c>
      <c r="F325" s="14">
        <v>0.05</v>
      </c>
      <c r="G325" s="15" t="s">
        <v>55</v>
      </c>
      <c r="H325" s="15" t="s">
        <v>56</v>
      </c>
      <c r="I325" s="15" t="s">
        <v>73</v>
      </c>
    </row>
    <row r="326" spans="1:9" x14ac:dyDescent="0.25">
      <c r="A326" s="6" t="s">
        <v>410</v>
      </c>
      <c r="B326" s="7">
        <v>45839</v>
      </c>
      <c r="C326" s="6" t="s">
        <v>116</v>
      </c>
      <c r="D326" s="6" t="s">
        <v>67</v>
      </c>
      <c r="E326" s="8">
        <v>2</v>
      </c>
      <c r="F326" s="9">
        <v>0.1</v>
      </c>
      <c r="G326" s="10" t="s">
        <v>64</v>
      </c>
      <c r="H326" s="10" t="s">
        <v>69</v>
      </c>
      <c r="I326" s="10" t="s">
        <v>57</v>
      </c>
    </row>
    <row r="327" spans="1:9" x14ac:dyDescent="0.25">
      <c r="A327" s="11" t="s">
        <v>411</v>
      </c>
      <c r="B327" s="12">
        <v>46014</v>
      </c>
      <c r="C327" s="11" t="s">
        <v>75</v>
      </c>
      <c r="D327" s="11" t="s">
        <v>88</v>
      </c>
      <c r="E327" s="13">
        <v>11</v>
      </c>
      <c r="F327" s="14">
        <v>0</v>
      </c>
      <c r="G327" s="15" t="s">
        <v>61</v>
      </c>
      <c r="H327" s="15" t="s">
        <v>56</v>
      </c>
      <c r="I327" s="15" t="s">
        <v>65</v>
      </c>
    </row>
    <row r="328" spans="1:9" x14ac:dyDescent="0.25">
      <c r="A328" s="6" t="s">
        <v>412</v>
      </c>
      <c r="B328" s="7">
        <v>45852</v>
      </c>
      <c r="C328" s="6" t="s">
        <v>105</v>
      </c>
      <c r="D328" s="6" t="s">
        <v>92</v>
      </c>
      <c r="E328" s="8">
        <v>1</v>
      </c>
      <c r="F328" s="9">
        <v>0</v>
      </c>
      <c r="G328" s="10" t="s">
        <v>55</v>
      </c>
      <c r="H328" s="10" t="s">
        <v>56</v>
      </c>
      <c r="I328" s="10" t="s">
        <v>65</v>
      </c>
    </row>
    <row r="329" spans="1:9" x14ac:dyDescent="0.25">
      <c r="A329" s="11" t="s">
        <v>413</v>
      </c>
      <c r="B329" s="12">
        <v>45880</v>
      </c>
      <c r="C329" s="11" t="s">
        <v>71</v>
      </c>
      <c r="D329" s="11" t="s">
        <v>60</v>
      </c>
      <c r="E329" s="13">
        <v>30</v>
      </c>
      <c r="F329" s="14">
        <v>0</v>
      </c>
      <c r="G329" s="15" t="s">
        <v>61</v>
      </c>
      <c r="H329" s="15" t="s">
        <v>56</v>
      </c>
      <c r="I329" s="15" t="s">
        <v>57</v>
      </c>
    </row>
    <row r="330" spans="1:9" x14ac:dyDescent="0.25">
      <c r="A330" s="6" t="s">
        <v>414</v>
      </c>
      <c r="B330" s="7">
        <v>46012</v>
      </c>
      <c r="C330" s="6" t="s">
        <v>105</v>
      </c>
      <c r="D330" s="6" t="s">
        <v>103</v>
      </c>
      <c r="E330" s="8">
        <v>5</v>
      </c>
      <c r="F330" s="9">
        <v>0</v>
      </c>
      <c r="G330" s="10" t="s">
        <v>61</v>
      </c>
      <c r="H330" s="10" t="s">
        <v>83</v>
      </c>
      <c r="I330" s="10" t="s">
        <v>73</v>
      </c>
    </row>
    <row r="331" spans="1:9" x14ac:dyDescent="0.25">
      <c r="A331" s="11" t="s">
        <v>415</v>
      </c>
      <c r="B331" s="12">
        <v>45936</v>
      </c>
      <c r="C331" s="11" t="s">
        <v>53</v>
      </c>
      <c r="D331" s="11" t="s">
        <v>76</v>
      </c>
      <c r="E331" s="13">
        <v>30</v>
      </c>
      <c r="F331" s="14">
        <v>0.1</v>
      </c>
      <c r="G331" s="15" t="s">
        <v>61</v>
      </c>
      <c r="H331" s="15" t="s">
        <v>56</v>
      </c>
      <c r="I331" s="15" t="s">
        <v>57</v>
      </c>
    </row>
    <row r="332" spans="1:9" x14ac:dyDescent="0.25">
      <c r="A332" s="6" t="s">
        <v>416</v>
      </c>
      <c r="B332" s="7">
        <v>46022</v>
      </c>
      <c r="C332" s="6" t="s">
        <v>116</v>
      </c>
      <c r="D332" s="6" t="s">
        <v>111</v>
      </c>
      <c r="E332" s="8">
        <v>2</v>
      </c>
      <c r="F332" s="9">
        <v>0.1</v>
      </c>
      <c r="G332" s="10" t="s">
        <v>55</v>
      </c>
      <c r="H332" s="10" t="s">
        <v>83</v>
      </c>
      <c r="I332" s="10" t="s">
        <v>57</v>
      </c>
    </row>
    <row r="333" spans="1:9" x14ac:dyDescent="0.25">
      <c r="A333" s="11" t="s">
        <v>417</v>
      </c>
      <c r="B333" s="12">
        <v>45948</v>
      </c>
      <c r="C333" s="11" t="s">
        <v>116</v>
      </c>
      <c r="D333" s="11" t="s">
        <v>111</v>
      </c>
      <c r="E333" s="13">
        <v>11</v>
      </c>
      <c r="F333" s="14">
        <v>0.2</v>
      </c>
      <c r="G333" s="15" t="s">
        <v>68</v>
      </c>
      <c r="H333" s="15" t="s">
        <v>69</v>
      </c>
      <c r="I333" s="15" t="s">
        <v>57</v>
      </c>
    </row>
    <row r="334" spans="1:9" x14ac:dyDescent="0.25">
      <c r="A334" s="6" t="s">
        <v>418</v>
      </c>
      <c r="B334" s="7">
        <v>46010</v>
      </c>
      <c r="C334" s="6" t="s">
        <v>59</v>
      </c>
      <c r="D334" s="6" t="s">
        <v>85</v>
      </c>
      <c r="E334" s="8">
        <v>26</v>
      </c>
      <c r="F334" s="9">
        <v>0.1</v>
      </c>
      <c r="G334" s="10" t="s">
        <v>61</v>
      </c>
      <c r="H334" s="10" t="s">
        <v>56</v>
      </c>
      <c r="I334" s="10" t="s">
        <v>65</v>
      </c>
    </row>
    <row r="335" spans="1:9" x14ac:dyDescent="0.25">
      <c r="A335" s="11" t="s">
        <v>419</v>
      </c>
      <c r="B335" s="12">
        <v>45776</v>
      </c>
      <c r="C335" s="11" t="s">
        <v>59</v>
      </c>
      <c r="D335" s="11" t="s">
        <v>111</v>
      </c>
      <c r="E335" s="13">
        <v>6</v>
      </c>
      <c r="F335" s="14">
        <v>0.2</v>
      </c>
      <c r="G335" s="15" t="s">
        <v>64</v>
      </c>
      <c r="H335" s="15" t="s">
        <v>69</v>
      </c>
      <c r="I335" s="15" t="s">
        <v>77</v>
      </c>
    </row>
    <row r="336" spans="1:9" x14ac:dyDescent="0.25">
      <c r="A336" s="6" t="s">
        <v>420</v>
      </c>
      <c r="B336" s="7">
        <v>45982</v>
      </c>
      <c r="C336" s="6" t="s">
        <v>105</v>
      </c>
      <c r="D336" s="6" t="s">
        <v>67</v>
      </c>
      <c r="E336" s="8">
        <v>8</v>
      </c>
      <c r="F336" s="9">
        <v>0.05</v>
      </c>
      <c r="G336" s="10" t="s">
        <v>68</v>
      </c>
      <c r="H336" s="10" t="s">
        <v>83</v>
      </c>
      <c r="I336" s="10" t="s">
        <v>65</v>
      </c>
    </row>
    <row r="337" spans="1:9" x14ac:dyDescent="0.25">
      <c r="A337" s="11" t="s">
        <v>421</v>
      </c>
      <c r="B337" s="12">
        <v>45879</v>
      </c>
      <c r="C337" s="11" t="s">
        <v>116</v>
      </c>
      <c r="D337" s="11" t="s">
        <v>94</v>
      </c>
      <c r="E337" s="13">
        <v>2</v>
      </c>
      <c r="F337" s="14">
        <v>0.2</v>
      </c>
      <c r="G337" s="15" t="s">
        <v>68</v>
      </c>
      <c r="H337" s="15" t="s">
        <v>56</v>
      </c>
      <c r="I337" s="15" t="s">
        <v>77</v>
      </c>
    </row>
    <row r="338" spans="1:9" x14ac:dyDescent="0.25">
      <c r="A338" s="6" t="s">
        <v>422</v>
      </c>
      <c r="B338" s="7">
        <v>45700</v>
      </c>
      <c r="C338" s="6" t="s">
        <v>90</v>
      </c>
      <c r="D338" s="6" t="s">
        <v>67</v>
      </c>
      <c r="E338" s="8">
        <v>7</v>
      </c>
      <c r="F338" s="9">
        <v>0.05</v>
      </c>
      <c r="G338" s="10" t="s">
        <v>64</v>
      </c>
      <c r="H338" s="10" t="s">
        <v>69</v>
      </c>
      <c r="I338" s="10" t="s">
        <v>73</v>
      </c>
    </row>
    <row r="339" spans="1:9" x14ac:dyDescent="0.25">
      <c r="A339" s="11" t="s">
        <v>423</v>
      </c>
      <c r="B339" s="12">
        <v>45712</v>
      </c>
      <c r="C339" s="11" t="s">
        <v>53</v>
      </c>
      <c r="D339" s="11" t="s">
        <v>54</v>
      </c>
      <c r="E339" s="13">
        <v>5</v>
      </c>
      <c r="F339" s="14">
        <v>0.15</v>
      </c>
      <c r="G339" s="15" t="s">
        <v>68</v>
      </c>
      <c r="H339" s="15" t="s">
        <v>69</v>
      </c>
      <c r="I339" s="15" t="s">
        <v>77</v>
      </c>
    </row>
    <row r="340" spans="1:9" x14ac:dyDescent="0.25">
      <c r="A340" s="6" t="s">
        <v>424</v>
      </c>
      <c r="B340" s="7">
        <v>45725</v>
      </c>
      <c r="C340" s="6" t="s">
        <v>90</v>
      </c>
      <c r="D340" s="6" t="s">
        <v>54</v>
      </c>
      <c r="E340" s="8">
        <v>7</v>
      </c>
      <c r="F340" s="9">
        <v>0.15</v>
      </c>
      <c r="G340" s="10" t="s">
        <v>64</v>
      </c>
      <c r="H340" s="10" t="s">
        <v>56</v>
      </c>
      <c r="I340" s="10" t="s">
        <v>77</v>
      </c>
    </row>
    <row r="341" spans="1:9" x14ac:dyDescent="0.25">
      <c r="A341" s="11" t="s">
        <v>425</v>
      </c>
      <c r="B341" s="12">
        <v>45703</v>
      </c>
      <c r="C341" s="11" t="s">
        <v>59</v>
      </c>
      <c r="D341" s="11" t="s">
        <v>82</v>
      </c>
      <c r="E341" s="13">
        <v>10</v>
      </c>
      <c r="F341" s="14">
        <v>0.2</v>
      </c>
      <c r="G341" s="15" t="s">
        <v>68</v>
      </c>
      <c r="H341" s="15" t="s">
        <v>69</v>
      </c>
      <c r="I341" s="15" t="s">
        <v>77</v>
      </c>
    </row>
    <row r="342" spans="1:9" x14ac:dyDescent="0.25">
      <c r="A342" s="6" t="s">
        <v>426</v>
      </c>
      <c r="B342" s="7">
        <v>45807</v>
      </c>
      <c r="C342" s="6" t="s">
        <v>116</v>
      </c>
      <c r="D342" s="6" t="s">
        <v>92</v>
      </c>
      <c r="E342" s="8">
        <v>2</v>
      </c>
      <c r="F342" s="9">
        <v>0.2</v>
      </c>
      <c r="G342" s="10" t="s">
        <v>55</v>
      </c>
      <c r="H342" s="10" t="s">
        <v>83</v>
      </c>
      <c r="I342" s="10" t="s">
        <v>57</v>
      </c>
    </row>
    <row r="343" spans="1:9" x14ac:dyDescent="0.25">
      <c r="A343" s="11" t="s">
        <v>427</v>
      </c>
      <c r="B343" s="12">
        <v>46008</v>
      </c>
      <c r="C343" s="11" t="s">
        <v>90</v>
      </c>
      <c r="D343" s="11" t="s">
        <v>92</v>
      </c>
      <c r="E343" s="13">
        <v>3</v>
      </c>
      <c r="F343" s="14">
        <v>0.1</v>
      </c>
      <c r="G343" s="15" t="s">
        <v>68</v>
      </c>
      <c r="H343" s="15" t="s">
        <v>69</v>
      </c>
      <c r="I343" s="15" t="s">
        <v>65</v>
      </c>
    </row>
    <row r="344" spans="1:9" x14ac:dyDescent="0.25">
      <c r="A344" s="6" t="s">
        <v>428</v>
      </c>
      <c r="B344" s="7">
        <v>45732</v>
      </c>
      <c r="C344" s="6" t="s">
        <v>90</v>
      </c>
      <c r="D344" s="6" t="s">
        <v>54</v>
      </c>
      <c r="E344" s="8">
        <v>7</v>
      </c>
      <c r="F344" s="9">
        <v>0.1</v>
      </c>
      <c r="G344" s="10" t="s">
        <v>64</v>
      </c>
      <c r="H344" s="10" t="s">
        <v>69</v>
      </c>
      <c r="I344" s="10" t="s">
        <v>65</v>
      </c>
    </row>
    <row r="345" spans="1:9" x14ac:dyDescent="0.25">
      <c r="A345" s="11" t="s">
        <v>429</v>
      </c>
      <c r="B345" s="12">
        <v>45697</v>
      </c>
      <c r="C345" s="11" t="s">
        <v>75</v>
      </c>
      <c r="D345" s="11" t="s">
        <v>82</v>
      </c>
      <c r="E345" s="13">
        <v>4</v>
      </c>
      <c r="F345" s="14">
        <v>0.15</v>
      </c>
      <c r="G345" s="15" t="s">
        <v>55</v>
      </c>
      <c r="H345" s="15" t="s">
        <v>69</v>
      </c>
      <c r="I345" s="15" t="s">
        <v>77</v>
      </c>
    </row>
    <row r="346" spans="1:9" x14ac:dyDescent="0.25">
      <c r="A346" s="6" t="s">
        <v>430</v>
      </c>
      <c r="B346" s="7">
        <v>45727</v>
      </c>
      <c r="C346" s="6" t="s">
        <v>53</v>
      </c>
      <c r="D346" s="6" t="s">
        <v>67</v>
      </c>
      <c r="E346" s="8">
        <v>7</v>
      </c>
      <c r="F346" s="9">
        <v>0.1</v>
      </c>
      <c r="G346" s="10" t="s">
        <v>64</v>
      </c>
      <c r="H346" s="10" t="s">
        <v>69</v>
      </c>
      <c r="I346" s="10" t="s">
        <v>65</v>
      </c>
    </row>
    <row r="347" spans="1:9" x14ac:dyDescent="0.25">
      <c r="A347" s="11" t="s">
        <v>431</v>
      </c>
      <c r="B347" s="12">
        <v>45829</v>
      </c>
      <c r="C347" s="11" t="s">
        <v>90</v>
      </c>
      <c r="D347" s="11" t="s">
        <v>92</v>
      </c>
      <c r="E347" s="13">
        <v>5</v>
      </c>
      <c r="F347" s="14">
        <v>0.1</v>
      </c>
      <c r="G347" s="15" t="s">
        <v>55</v>
      </c>
      <c r="H347" s="15" t="s">
        <v>69</v>
      </c>
      <c r="I347" s="15" t="s">
        <v>73</v>
      </c>
    </row>
    <row r="348" spans="1:9" x14ac:dyDescent="0.25">
      <c r="A348" s="6" t="s">
        <v>432</v>
      </c>
      <c r="B348" s="7">
        <v>45748</v>
      </c>
      <c r="C348" s="6" t="s">
        <v>71</v>
      </c>
      <c r="D348" s="6" t="s">
        <v>92</v>
      </c>
      <c r="E348" s="8">
        <v>5</v>
      </c>
      <c r="F348" s="9">
        <v>0.15</v>
      </c>
      <c r="G348" s="10" t="s">
        <v>55</v>
      </c>
      <c r="H348" s="10" t="s">
        <v>69</v>
      </c>
      <c r="I348" s="10" t="s">
        <v>65</v>
      </c>
    </row>
    <row r="349" spans="1:9" x14ac:dyDescent="0.25">
      <c r="A349" s="11" t="s">
        <v>433</v>
      </c>
      <c r="B349" s="12">
        <v>45801</v>
      </c>
      <c r="C349" s="11" t="s">
        <v>116</v>
      </c>
      <c r="D349" s="11" t="s">
        <v>111</v>
      </c>
      <c r="E349" s="13">
        <v>6</v>
      </c>
      <c r="F349" s="14">
        <v>0</v>
      </c>
      <c r="G349" s="15" t="s">
        <v>55</v>
      </c>
      <c r="H349" s="15" t="s">
        <v>83</v>
      </c>
      <c r="I349" s="15" t="s">
        <v>57</v>
      </c>
    </row>
    <row r="350" spans="1:9" x14ac:dyDescent="0.25">
      <c r="A350" s="6" t="s">
        <v>434</v>
      </c>
      <c r="B350" s="7">
        <v>46007</v>
      </c>
      <c r="C350" s="6" t="s">
        <v>53</v>
      </c>
      <c r="D350" s="6" t="s">
        <v>72</v>
      </c>
      <c r="E350" s="8">
        <v>12</v>
      </c>
      <c r="F350" s="9">
        <v>0.15</v>
      </c>
      <c r="G350" s="10" t="s">
        <v>55</v>
      </c>
      <c r="H350" s="10" t="s">
        <v>69</v>
      </c>
      <c r="I350" s="10" t="s">
        <v>73</v>
      </c>
    </row>
    <row r="351" spans="1:9" x14ac:dyDescent="0.25">
      <c r="A351" s="11" t="s">
        <v>435</v>
      </c>
      <c r="B351" s="12">
        <v>46012</v>
      </c>
      <c r="C351" s="11" t="s">
        <v>116</v>
      </c>
      <c r="D351" s="11" t="s">
        <v>54</v>
      </c>
      <c r="E351" s="13">
        <v>11</v>
      </c>
      <c r="F351" s="14">
        <v>0.15</v>
      </c>
      <c r="G351" s="15" t="s">
        <v>55</v>
      </c>
      <c r="H351" s="15" t="s">
        <v>83</v>
      </c>
      <c r="I351" s="15" t="s">
        <v>73</v>
      </c>
    </row>
    <row r="352" spans="1:9" x14ac:dyDescent="0.25">
      <c r="A352" s="6" t="s">
        <v>436</v>
      </c>
      <c r="B352" s="7">
        <v>45781</v>
      </c>
      <c r="C352" s="6" t="s">
        <v>90</v>
      </c>
      <c r="D352" s="6" t="s">
        <v>67</v>
      </c>
      <c r="E352" s="8">
        <v>12</v>
      </c>
      <c r="F352" s="9">
        <v>0.15</v>
      </c>
      <c r="G352" s="10" t="s">
        <v>64</v>
      </c>
      <c r="H352" s="10" t="s">
        <v>56</v>
      </c>
      <c r="I352" s="10" t="s">
        <v>65</v>
      </c>
    </row>
    <row r="353" spans="1:9" x14ac:dyDescent="0.25">
      <c r="A353" s="11" t="s">
        <v>437</v>
      </c>
      <c r="B353" s="12">
        <v>45964</v>
      </c>
      <c r="C353" s="11" t="s">
        <v>116</v>
      </c>
      <c r="D353" s="11" t="s">
        <v>96</v>
      </c>
      <c r="E353" s="13">
        <v>9</v>
      </c>
      <c r="F353" s="14">
        <v>0.2</v>
      </c>
      <c r="G353" s="15" t="s">
        <v>64</v>
      </c>
      <c r="H353" s="15" t="s">
        <v>83</v>
      </c>
      <c r="I353" s="15" t="s">
        <v>77</v>
      </c>
    </row>
    <row r="354" spans="1:9" x14ac:dyDescent="0.25">
      <c r="A354" s="6" t="s">
        <v>438</v>
      </c>
      <c r="B354" s="7">
        <v>45842</v>
      </c>
      <c r="C354" s="6" t="s">
        <v>59</v>
      </c>
      <c r="D354" s="6" t="s">
        <v>85</v>
      </c>
      <c r="E354" s="8">
        <v>27</v>
      </c>
      <c r="F354" s="9">
        <v>0.05</v>
      </c>
      <c r="G354" s="10" t="s">
        <v>68</v>
      </c>
      <c r="H354" s="10" t="s">
        <v>56</v>
      </c>
      <c r="I354" s="10" t="s">
        <v>77</v>
      </c>
    </row>
    <row r="355" spans="1:9" x14ac:dyDescent="0.25">
      <c r="A355" s="11" t="s">
        <v>439</v>
      </c>
      <c r="B355" s="12">
        <v>45946</v>
      </c>
      <c r="C355" s="11" t="s">
        <v>116</v>
      </c>
      <c r="D355" s="11" t="s">
        <v>60</v>
      </c>
      <c r="E355" s="13">
        <v>28</v>
      </c>
      <c r="F355" s="14">
        <v>0.15</v>
      </c>
      <c r="G355" s="15" t="s">
        <v>61</v>
      </c>
      <c r="H355" s="15" t="s">
        <v>56</v>
      </c>
      <c r="I355" s="15" t="s">
        <v>77</v>
      </c>
    </row>
    <row r="356" spans="1:9" x14ac:dyDescent="0.25">
      <c r="A356" s="6" t="s">
        <v>440</v>
      </c>
      <c r="B356" s="7">
        <v>45790</v>
      </c>
      <c r="C356" s="6" t="s">
        <v>80</v>
      </c>
      <c r="D356" s="6" t="s">
        <v>88</v>
      </c>
      <c r="E356" s="8">
        <v>8</v>
      </c>
      <c r="F356" s="9">
        <v>0.1</v>
      </c>
      <c r="G356" s="10" t="s">
        <v>64</v>
      </c>
      <c r="H356" s="10" t="s">
        <v>69</v>
      </c>
      <c r="I356" s="10" t="s">
        <v>57</v>
      </c>
    </row>
    <row r="357" spans="1:9" x14ac:dyDescent="0.25">
      <c r="A357" s="11" t="s">
        <v>441</v>
      </c>
      <c r="B357" s="12">
        <v>45834</v>
      </c>
      <c r="C357" s="11" t="s">
        <v>105</v>
      </c>
      <c r="D357" s="11" t="s">
        <v>120</v>
      </c>
      <c r="E357" s="13">
        <v>2</v>
      </c>
      <c r="F357" s="14">
        <v>0.1</v>
      </c>
      <c r="G357" s="15" t="s">
        <v>64</v>
      </c>
      <c r="H357" s="15" t="s">
        <v>56</v>
      </c>
      <c r="I357" s="15" t="s">
        <v>77</v>
      </c>
    </row>
    <row r="358" spans="1:9" x14ac:dyDescent="0.25">
      <c r="A358" s="6" t="s">
        <v>442</v>
      </c>
      <c r="B358" s="7">
        <v>45730</v>
      </c>
      <c r="C358" s="6" t="s">
        <v>75</v>
      </c>
      <c r="D358" s="6" t="s">
        <v>82</v>
      </c>
      <c r="E358" s="8">
        <v>6</v>
      </c>
      <c r="F358" s="9">
        <v>0.15</v>
      </c>
      <c r="G358" s="10" t="s">
        <v>55</v>
      </c>
      <c r="H358" s="10" t="s">
        <v>83</v>
      </c>
      <c r="I358" s="10" t="s">
        <v>65</v>
      </c>
    </row>
    <row r="359" spans="1:9" x14ac:dyDescent="0.25">
      <c r="A359" s="11" t="s">
        <v>443</v>
      </c>
      <c r="B359" s="12">
        <v>45836</v>
      </c>
      <c r="C359" s="11" t="s">
        <v>59</v>
      </c>
      <c r="D359" s="11" t="s">
        <v>96</v>
      </c>
      <c r="E359" s="13">
        <v>8</v>
      </c>
      <c r="F359" s="14">
        <v>0.15</v>
      </c>
      <c r="G359" s="15" t="s">
        <v>68</v>
      </c>
      <c r="H359" s="15" t="s">
        <v>56</v>
      </c>
      <c r="I359" s="15" t="s">
        <v>73</v>
      </c>
    </row>
    <row r="360" spans="1:9" x14ac:dyDescent="0.25">
      <c r="A360" s="6" t="s">
        <v>444</v>
      </c>
      <c r="B360" s="7">
        <v>45680</v>
      </c>
      <c r="C360" s="6" t="s">
        <v>59</v>
      </c>
      <c r="D360" s="6" t="s">
        <v>72</v>
      </c>
      <c r="E360" s="8">
        <v>1</v>
      </c>
      <c r="F360" s="9">
        <v>0.1</v>
      </c>
      <c r="G360" s="10" t="s">
        <v>61</v>
      </c>
      <c r="H360" s="10" t="s">
        <v>83</v>
      </c>
      <c r="I360" s="10" t="s">
        <v>57</v>
      </c>
    </row>
    <row r="361" spans="1:9" x14ac:dyDescent="0.25">
      <c r="A361" s="11" t="s">
        <v>445</v>
      </c>
      <c r="B361" s="12">
        <v>45782</v>
      </c>
      <c r="C361" s="11" t="s">
        <v>90</v>
      </c>
      <c r="D361" s="11" t="s">
        <v>63</v>
      </c>
      <c r="E361" s="13">
        <v>8</v>
      </c>
      <c r="F361" s="14">
        <v>0.1</v>
      </c>
      <c r="G361" s="15" t="s">
        <v>64</v>
      </c>
      <c r="H361" s="15" t="s">
        <v>69</v>
      </c>
      <c r="I361" s="15" t="s">
        <v>57</v>
      </c>
    </row>
    <row r="362" spans="1:9" x14ac:dyDescent="0.25">
      <c r="A362" s="6" t="s">
        <v>446</v>
      </c>
      <c r="B362" s="7">
        <v>45865</v>
      </c>
      <c r="C362" s="6" t="s">
        <v>90</v>
      </c>
      <c r="D362" s="6" t="s">
        <v>60</v>
      </c>
      <c r="E362" s="8">
        <v>23</v>
      </c>
      <c r="F362" s="9">
        <v>0.15</v>
      </c>
      <c r="G362" s="10" t="s">
        <v>64</v>
      </c>
      <c r="H362" s="10" t="s">
        <v>56</v>
      </c>
      <c r="I362" s="10" t="s">
        <v>57</v>
      </c>
    </row>
    <row r="363" spans="1:9" x14ac:dyDescent="0.25">
      <c r="A363" s="11" t="s">
        <v>447</v>
      </c>
      <c r="B363" s="12">
        <v>45888</v>
      </c>
      <c r="C363" s="11" t="s">
        <v>116</v>
      </c>
      <c r="D363" s="11" t="s">
        <v>76</v>
      </c>
      <c r="E363" s="13">
        <v>3</v>
      </c>
      <c r="F363" s="14">
        <v>0.05</v>
      </c>
      <c r="G363" s="15" t="s">
        <v>55</v>
      </c>
      <c r="H363" s="15" t="s">
        <v>69</v>
      </c>
      <c r="I363" s="15" t="s">
        <v>77</v>
      </c>
    </row>
    <row r="364" spans="1:9" x14ac:dyDescent="0.25">
      <c r="A364" s="6" t="s">
        <v>448</v>
      </c>
      <c r="B364" s="7">
        <v>45953</v>
      </c>
      <c r="C364" s="6" t="s">
        <v>90</v>
      </c>
      <c r="D364" s="6" t="s">
        <v>54</v>
      </c>
      <c r="E364" s="8">
        <v>6</v>
      </c>
      <c r="F364" s="9">
        <v>0.1</v>
      </c>
      <c r="G364" s="10" t="s">
        <v>55</v>
      </c>
      <c r="H364" s="10" t="s">
        <v>69</v>
      </c>
      <c r="I364" s="10" t="s">
        <v>77</v>
      </c>
    </row>
    <row r="365" spans="1:9" x14ac:dyDescent="0.25">
      <c r="A365" s="11" t="s">
        <v>449</v>
      </c>
      <c r="B365" s="12">
        <v>45792</v>
      </c>
      <c r="C365" s="11" t="s">
        <v>105</v>
      </c>
      <c r="D365" s="11" t="s">
        <v>60</v>
      </c>
      <c r="E365" s="13">
        <v>23</v>
      </c>
      <c r="F365" s="14">
        <v>0.1</v>
      </c>
      <c r="G365" s="15" t="s">
        <v>64</v>
      </c>
      <c r="H365" s="15" t="s">
        <v>83</v>
      </c>
      <c r="I365" s="15" t="s">
        <v>65</v>
      </c>
    </row>
    <row r="366" spans="1:9" x14ac:dyDescent="0.25">
      <c r="A366" s="6" t="s">
        <v>450</v>
      </c>
      <c r="B366" s="7">
        <v>45958</v>
      </c>
      <c r="C366" s="6" t="s">
        <v>71</v>
      </c>
      <c r="D366" s="6" t="s">
        <v>54</v>
      </c>
      <c r="E366" s="8">
        <v>6</v>
      </c>
      <c r="F366" s="9">
        <v>0.15</v>
      </c>
      <c r="G366" s="10" t="s">
        <v>55</v>
      </c>
      <c r="H366" s="10" t="s">
        <v>83</v>
      </c>
      <c r="I366" s="10" t="s">
        <v>73</v>
      </c>
    </row>
    <row r="367" spans="1:9" x14ac:dyDescent="0.25">
      <c r="A367" s="11" t="s">
        <v>451</v>
      </c>
      <c r="B367" s="12">
        <v>45972</v>
      </c>
      <c r="C367" s="11" t="s">
        <v>59</v>
      </c>
      <c r="D367" s="11" t="s">
        <v>76</v>
      </c>
      <c r="E367" s="13">
        <v>7</v>
      </c>
      <c r="F367" s="14">
        <v>0.1</v>
      </c>
      <c r="G367" s="15" t="s">
        <v>61</v>
      </c>
      <c r="H367" s="15" t="s">
        <v>56</v>
      </c>
      <c r="I367" s="15" t="s">
        <v>73</v>
      </c>
    </row>
    <row r="368" spans="1:9" x14ac:dyDescent="0.25">
      <c r="A368" s="6" t="s">
        <v>452</v>
      </c>
      <c r="B368" s="7">
        <v>45717</v>
      </c>
      <c r="C368" s="6" t="s">
        <v>71</v>
      </c>
      <c r="D368" s="6" t="s">
        <v>94</v>
      </c>
      <c r="E368" s="8">
        <v>12</v>
      </c>
      <c r="F368" s="9">
        <v>0.05</v>
      </c>
      <c r="G368" s="10" t="s">
        <v>64</v>
      </c>
      <c r="H368" s="10" t="s">
        <v>69</v>
      </c>
      <c r="I368" s="10" t="s">
        <v>57</v>
      </c>
    </row>
    <row r="369" spans="1:9" x14ac:dyDescent="0.25">
      <c r="A369" s="11" t="s">
        <v>453</v>
      </c>
      <c r="B369" s="12">
        <v>45952</v>
      </c>
      <c r="C369" s="11" t="s">
        <v>116</v>
      </c>
      <c r="D369" s="11" t="s">
        <v>92</v>
      </c>
      <c r="E369" s="13">
        <v>3</v>
      </c>
      <c r="F369" s="14">
        <v>0.15</v>
      </c>
      <c r="G369" s="15" t="s">
        <v>55</v>
      </c>
      <c r="H369" s="15" t="s">
        <v>83</v>
      </c>
      <c r="I369" s="15" t="s">
        <v>57</v>
      </c>
    </row>
    <row r="370" spans="1:9" x14ac:dyDescent="0.25">
      <c r="A370" s="6" t="s">
        <v>454</v>
      </c>
      <c r="B370" s="7">
        <v>45908</v>
      </c>
      <c r="C370" s="6" t="s">
        <v>90</v>
      </c>
      <c r="D370" s="6" t="s">
        <v>67</v>
      </c>
      <c r="E370" s="8">
        <v>3</v>
      </c>
      <c r="F370" s="9">
        <v>0.1</v>
      </c>
      <c r="G370" s="10" t="s">
        <v>64</v>
      </c>
      <c r="H370" s="10" t="s">
        <v>83</v>
      </c>
      <c r="I370" s="10" t="s">
        <v>77</v>
      </c>
    </row>
    <row r="371" spans="1:9" x14ac:dyDescent="0.25">
      <c r="A371" s="11" t="s">
        <v>455</v>
      </c>
      <c r="B371" s="12">
        <v>45841</v>
      </c>
      <c r="C371" s="11" t="s">
        <v>105</v>
      </c>
      <c r="D371" s="11" t="s">
        <v>120</v>
      </c>
      <c r="E371" s="13">
        <v>3</v>
      </c>
      <c r="F371" s="14">
        <v>0.05</v>
      </c>
      <c r="G371" s="15" t="s">
        <v>64</v>
      </c>
      <c r="H371" s="15" t="s">
        <v>83</v>
      </c>
      <c r="I371" s="15" t="s">
        <v>65</v>
      </c>
    </row>
    <row r="372" spans="1:9" x14ac:dyDescent="0.25">
      <c r="A372" s="6" t="s">
        <v>456</v>
      </c>
      <c r="B372" s="7">
        <v>45867</v>
      </c>
      <c r="C372" s="6" t="s">
        <v>105</v>
      </c>
      <c r="D372" s="6" t="s">
        <v>60</v>
      </c>
      <c r="E372" s="8">
        <v>25</v>
      </c>
      <c r="F372" s="9">
        <v>0.15</v>
      </c>
      <c r="G372" s="10" t="s">
        <v>64</v>
      </c>
      <c r="H372" s="10" t="s">
        <v>56</v>
      </c>
      <c r="I372" s="10" t="s">
        <v>77</v>
      </c>
    </row>
    <row r="373" spans="1:9" x14ac:dyDescent="0.25">
      <c r="A373" s="11" t="s">
        <v>457</v>
      </c>
      <c r="B373" s="12">
        <v>45947</v>
      </c>
      <c r="C373" s="11" t="s">
        <v>80</v>
      </c>
      <c r="D373" s="11" t="s">
        <v>120</v>
      </c>
      <c r="E373" s="13">
        <v>5</v>
      </c>
      <c r="F373" s="14">
        <v>0</v>
      </c>
      <c r="G373" s="15" t="s">
        <v>68</v>
      </c>
      <c r="H373" s="15" t="s">
        <v>56</v>
      </c>
      <c r="I373" s="15" t="s">
        <v>73</v>
      </c>
    </row>
    <row r="374" spans="1:9" x14ac:dyDescent="0.25">
      <c r="A374" s="6" t="s">
        <v>458</v>
      </c>
      <c r="B374" s="7">
        <v>45744</v>
      </c>
      <c r="C374" s="6" t="s">
        <v>105</v>
      </c>
      <c r="D374" s="6" t="s">
        <v>72</v>
      </c>
      <c r="E374" s="8">
        <v>10</v>
      </c>
      <c r="F374" s="9">
        <v>0.15</v>
      </c>
      <c r="G374" s="10" t="s">
        <v>61</v>
      </c>
      <c r="H374" s="10" t="s">
        <v>83</v>
      </c>
      <c r="I374" s="10" t="s">
        <v>77</v>
      </c>
    </row>
    <row r="375" spans="1:9" x14ac:dyDescent="0.25">
      <c r="A375" s="11" t="s">
        <v>459</v>
      </c>
      <c r="B375" s="12">
        <v>45795</v>
      </c>
      <c r="C375" s="11" t="s">
        <v>71</v>
      </c>
      <c r="D375" s="11" t="s">
        <v>72</v>
      </c>
      <c r="E375" s="13">
        <v>9</v>
      </c>
      <c r="F375" s="14">
        <v>0</v>
      </c>
      <c r="G375" s="15" t="s">
        <v>64</v>
      </c>
      <c r="H375" s="15" t="s">
        <v>83</v>
      </c>
      <c r="I375" s="15" t="s">
        <v>57</v>
      </c>
    </row>
    <row r="376" spans="1:9" x14ac:dyDescent="0.25">
      <c r="A376" s="6" t="s">
        <v>460</v>
      </c>
      <c r="B376" s="7">
        <v>45875</v>
      </c>
      <c r="C376" s="6" t="s">
        <v>80</v>
      </c>
      <c r="D376" s="6" t="s">
        <v>54</v>
      </c>
      <c r="E376" s="8">
        <v>5</v>
      </c>
      <c r="F376" s="9">
        <v>0</v>
      </c>
      <c r="G376" s="10" t="s">
        <v>64</v>
      </c>
      <c r="H376" s="10" t="s">
        <v>69</v>
      </c>
      <c r="I376" s="10" t="s">
        <v>73</v>
      </c>
    </row>
    <row r="377" spans="1:9" x14ac:dyDescent="0.25">
      <c r="A377" s="11" t="s">
        <v>461</v>
      </c>
      <c r="B377" s="12">
        <v>45702</v>
      </c>
      <c r="C377" s="11" t="s">
        <v>59</v>
      </c>
      <c r="D377" s="11" t="s">
        <v>96</v>
      </c>
      <c r="E377" s="13">
        <v>4</v>
      </c>
      <c r="F377" s="14">
        <v>0.05</v>
      </c>
      <c r="G377" s="15" t="s">
        <v>68</v>
      </c>
      <c r="H377" s="15" t="s">
        <v>83</v>
      </c>
      <c r="I377" s="15" t="s">
        <v>65</v>
      </c>
    </row>
    <row r="378" spans="1:9" x14ac:dyDescent="0.25">
      <c r="A378" s="6" t="s">
        <v>462</v>
      </c>
      <c r="B378" s="7">
        <v>45742</v>
      </c>
      <c r="C378" s="6" t="s">
        <v>90</v>
      </c>
      <c r="D378" s="6" t="s">
        <v>76</v>
      </c>
      <c r="E378" s="8">
        <v>29</v>
      </c>
      <c r="F378" s="9">
        <v>0.05</v>
      </c>
      <c r="G378" s="10" t="s">
        <v>61</v>
      </c>
      <c r="H378" s="10" t="s">
        <v>83</v>
      </c>
      <c r="I378" s="10" t="s">
        <v>73</v>
      </c>
    </row>
    <row r="379" spans="1:9" x14ac:dyDescent="0.25">
      <c r="A379" s="11" t="s">
        <v>463</v>
      </c>
      <c r="B379" s="12">
        <v>45930</v>
      </c>
      <c r="C379" s="11" t="s">
        <v>90</v>
      </c>
      <c r="D379" s="11" t="s">
        <v>67</v>
      </c>
      <c r="E379" s="13">
        <v>6</v>
      </c>
      <c r="F379" s="14">
        <v>0.1</v>
      </c>
      <c r="G379" s="15" t="s">
        <v>68</v>
      </c>
      <c r="H379" s="15" t="s">
        <v>83</v>
      </c>
      <c r="I379" s="15" t="s">
        <v>73</v>
      </c>
    </row>
    <row r="380" spans="1:9" x14ac:dyDescent="0.25">
      <c r="A380" s="6" t="s">
        <v>464</v>
      </c>
      <c r="B380" s="7">
        <v>45921</v>
      </c>
      <c r="C380" s="6" t="s">
        <v>59</v>
      </c>
      <c r="D380" s="6" t="s">
        <v>103</v>
      </c>
      <c r="E380" s="8">
        <v>3</v>
      </c>
      <c r="F380" s="9">
        <v>0.15</v>
      </c>
      <c r="G380" s="10" t="s">
        <v>61</v>
      </c>
      <c r="H380" s="10" t="s">
        <v>69</v>
      </c>
      <c r="I380" s="10" t="s">
        <v>57</v>
      </c>
    </row>
    <row r="381" spans="1:9" x14ac:dyDescent="0.25">
      <c r="A381" s="11" t="s">
        <v>465</v>
      </c>
      <c r="B381" s="12">
        <v>46017</v>
      </c>
      <c r="C381" s="11" t="s">
        <v>90</v>
      </c>
      <c r="D381" s="11" t="s">
        <v>111</v>
      </c>
      <c r="E381" s="13">
        <v>4</v>
      </c>
      <c r="F381" s="14">
        <v>0.05</v>
      </c>
      <c r="G381" s="15" t="s">
        <v>68</v>
      </c>
      <c r="H381" s="15" t="s">
        <v>56</v>
      </c>
      <c r="I381" s="15" t="s">
        <v>65</v>
      </c>
    </row>
    <row r="382" spans="1:9" x14ac:dyDescent="0.25">
      <c r="A382" s="6" t="s">
        <v>466</v>
      </c>
      <c r="B382" s="7">
        <v>45908</v>
      </c>
      <c r="C382" s="6" t="s">
        <v>75</v>
      </c>
      <c r="D382" s="6" t="s">
        <v>94</v>
      </c>
      <c r="E382" s="8">
        <v>11</v>
      </c>
      <c r="F382" s="9">
        <v>0.15</v>
      </c>
      <c r="G382" s="10" t="s">
        <v>64</v>
      </c>
      <c r="H382" s="10" t="s">
        <v>69</v>
      </c>
      <c r="I382" s="10" t="s">
        <v>77</v>
      </c>
    </row>
    <row r="383" spans="1:9" x14ac:dyDescent="0.25">
      <c r="A383" s="11" t="s">
        <v>467</v>
      </c>
      <c r="B383" s="12">
        <v>45982</v>
      </c>
      <c r="C383" s="11" t="s">
        <v>59</v>
      </c>
      <c r="D383" s="11" t="s">
        <v>72</v>
      </c>
      <c r="E383" s="13">
        <v>7</v>
      </c>
      <c r="F383" s="14">
        <v>0.2</v>
      </c>
      <c r="G383" s="15" t="s">
        <v>68</v>
      </c>
      <c r="H383" s="15" t="s">
        <v>83</v>
      </c>
      <c r="I383" s="15" t="s">
        <v>73</v>
      </c>
    </row>
    <row r="384" spans="1:9" x14ac:dyDescent="0.25">
      <c r="A384" s="6" t="s">
        <v>468</v>
      </c>
      <c r="B384" s="7">
        <v>45890</v>
      </c>
      <c r="C384" s="6" t="s">
        <v>71</v>
      </c>
      <c r="D384" s="6" t="s">
        <v>96</v>
      </c>
      <c r="E384" s="8">
        <v>10</v>
      </c>
      <c r="F384" s="9">
        <v>0</v>
      </c>
      <c r="G384" s="10" t="s">
        <v>61</v>
      </c>
      <c r="H384" s="10" t="s">
        <v>83</v>
      </c>
      <c r="I384" s="10" t="s">
        <v>65</v>
      </c>
    </row>
    <row r="385" spans="1:9" x14ac:dyDescent="0.25">
      <c r="A385" s="11" t="s">
        <v>469</v>
      </c>
      <c r="B385" s="12">
        <v>45983</v>
      </c>
      <c r="C385" s="11" t="s">
        <v>71</v>
      </c>
      <c r="D385" s="11" t="s">
        <v>60</v>
      </c>
      <c r="E385" s="13">
        <v>28</v>
      </c>
      <c r="F385" s="14">
        <v>0.2</v>
      </c>
      <c r="G385" s="15" t="s">
        <v>64</v>
      </c>
      <c r="H385" s="15" t="s">
        <v>56</v>
      </c>
      <c r="I385" s="15" t="s">
        <v>65</v>
      </c>
    </row>
    <row r="386" spans="1:9" x14ac:dyDescent="0.25">
      <c r="A386" s="6" t="s">
        <v>470</v>
      </c>
      <c r="B386" s="7">
        <v>45766</v>
      </c>
      <c r="C386" s="6" t="s">
        <v>75</v>
      </c>
      <c r="D386" s="6" t="s">
        <v>96</v>
      </c>
      <c r="E386" s="8">
        <v>6</v>
      </c>
      <c r="F386" s="9">
        <v>0.1</v>
      </c>
      <c r="G386" s="10" t="s">
        <v>68</v>
      </c>
      <c r="H386" s="10" t="s">
        <v>83</v>
      </c>
      <c r="I386" s="10" t="s">
        <v>57</v>
      </c>
    </row>
    <row r="387" spans="1:9" x14ac:dyDescent="0.25">
      <c r="A387" s="11" t="s">
        <v>471</v>
      </c>
      <c r="B387" s="12">
        <v>45947</v>
      </c>
      <c r="C387" s="11" t="s">
        <v>105</v>
      </c>
      <c r="D387" s="11" t="s">
        <v>111</v>
      </c>
      <c r="E387" s="13">
        <v>6</v>
      </c>
      <c r="F387" s="14">
        <v>0</v>
      </c>
      <c r="G387" s="15" t="s">
        <v>61</v>
      </c>
      <c r="H387" s="15" t="s">
        <v>56</v>
      </c>
      <c r="I387" s="15" t="s">
        <v>65</v>
      </c>
    </row>
    <row r="388" spans="1:9" x14ac:dyDescent="0.25">
      <c r="A388" s="6" t="s">
        <v>472</v>
      </c>
      <c r="B388" s="7">
        <v>45666</v>
      </c>
      <c r="C388" s="6" t="s">
        <v>90</v>
      </c>
      <c r="D388" s="6" t="s">
        <v>54</v>
      </c>
      <c r="E388" s="8">
        <v>8</v>
      </c>
      <c r="F388" s="9">
        <v>0.15</v>
      </c>
      <c r="G388" s="10" t="s">
        <v>61</v>
      </c>
      <c r="H388" s="10" t="s">
        <v>69</v>
      </c>
      <c r="I388" s="10" t="s">
        <v>57</v>
      </c>
    </row>
    <row r="389" spans="1:9" x14ac:dyDescent="0.25">
      <c r="A389" s="11" t="s">
        <v>473</v>
      </c>
      <c r="B389" s="12">
        <v>46010</v>
      </c>
      <c r="C389" s="11" t="s">
        <v>90</v>
      </c>
      <c r="D389" s="11" t="s">
        <v>103</v>
      </c>
      <c r="E389" s="13">
        <v>11</v>
      </c>
      <c r="F389" s="14">
        <v>0.1</v>
      </c>
      <c r="G389" s="15" t="s">
        <v>55</v>
      </c>
      <c r="H389" s="15" t="s">
        <v>69</v>
      </c>
      <c r="I389" s="15" t="s">
        <v>77</v>
      </c>
    </row>
    <row r="390" spans="1:9" x14ac:dyDescent="0.25">
      <c r="A390" s="6" t="s">
        <v>474</v>
      </c>
      <c r="B390" s="7">
        <v>45993</v>
      </c>
      <c r="C390" s="6" t="s">
        <v>75</v>
      </c>
      <c r="D390" s="6" t="s">
        <v>82</v>
      </c>
      <c r="E390" s="8">
        <v>2</v>
      </c>
      <c r="F390" s="9">
        <v>0.1</v>
      </c>
      <c r="G390" s="10" t="s">
        <v>55</v>
      </c>
      <c r="H390" s="10" t="s">
        <v>56</v>
      </c>
      <c r="I390" s="10" t="s">
        <v>65</v>
      </c>
    </row>
    <row r="391" spans="1:9" x14ac:dyDescent="0.25">
      <c r="A391" s="11" t="s">
        <v>475</v>
      </c>
      <c r="B391" s="12">
        <v>45978</v>
      </c>
      <c r="C391" s="11" t="s">
        <v>80</v>
      </c>
      <c r="D391" s="11" t="s">
        <v>67</v>
      </c>
      <c r="E391" s="13">
        <v>7</v>
      </c>
      <c r="F391" s="14">
        <v>0</v>
      </c>
      <c r="G391" s="15" t="s">
        <v>61</v>
      </c>
      <c r="H391" s="15" t="s">
        <v>56</v>
      </c>
      <c r="I391" s="15" t="s">
        <v>57</v>
      </c>
    </row>
    <row r="392" spans="1:9" x14ac:dyDescent="0.25">
      <c r="A392" s="6" t="s">
        <v>476</v>
      </c>
      <c r="B392" s="7">
        <v>45902</v>
      </c>
      <c r="C392" s="6" t="s">
        <v>90</v>
      </c>
      <c r="D392" s="6" t="s">
        <v>54</v>
      </c>
      <c r="E392" s="8">
        <v>10</v>
      </c>
      <c r="F392" s="9">
        <v>0.05</v>
      </c>
      <c r="G392" s="10" t="s">
        <v>64</v>
      </c>
      <c r="H392" s="10" t="s">
        <v>56</v>
      </c>
      <c r="I392" s="10" t="s">
        <v>77</v>
      </c>
    </row>
    <row r="393" spans="1:9" x14ac:dyDescent="0.25">
      <c r="A393" s="11" t="s">
        <v>477</v>
      </c>
      <c r="B393" s="12">
        <v>46014</v>
      </c>
      <c r="C393" s="11" t="s">
        <v>59</v>
      </c>
      <c r="D393" s="11" t="s">
        <v>82</v>
      </c>
      <c r="E393" s="13">
        <v>7</v>
      </c>
      <c r="F393" s="14">
        <v>0.05</v>
      </c>
      <c r="G393" s="15" t="s">
        <v>64</v>
      </c>
      <c r="H393" s="15" t="s">
        <v>56</v>
      </c>
      <c r="I393" s="15" t="s">
        <v>57</v>
      </c>
    </row>
    <row r="394" spans="1:9" x14ac:dyDescent="0.25">
      <c r="A394" s="6" t="s">
        <v>478</v>
      </c>
      <c r="B394" s="7">
        <v>45854</v>
      </c>
      <c r="C394" s="6" t="s">
        <v>59</v>
      </c>
      <c r="D394" s="6" t="s">
        <v>54</v>
      </c>
      <c r="E394" s="8">
        <v>2</v>
      </c>
      <c r="F394" s="9">
        <v>0.1</v>
      </c>
      <c r="G394" s="10" t="s">
        <v>68</v>
      </c>
      <c r="H394" s="10" t="s">
        <v>69</v>
      </c>
      <c r="I394" s="10" t="s">
        <v>57</v>
      </c>
    </row>
    <row r="395" spans="1:9" x14ac:dyDescent="0.25">
      <c r="A395" s="11" t="s">
        <v>479</v>
      </c>
      <c r="B395" s="12">
        <v>45853</v>
      </c>
      <c r="C395" s="11" t="s">
        <v>90</v>
      </c>
      <c r="D395" s="11" t="s">
        <v>72</v>
      </c>
      <c r="E395" s="13">
        <v>11</v>
      </c>
      <c r="F395" s="14">
        <v>0.05</v>
      </c>
      <c r="G395" s="15" t="s">
        <v>61</v>
      </c>
      <c r="H395" s="15" t="s">
        <v>83</v>
      </c>
      <c r="I395" s="15" t="s">
        <v>77</v>
      </c>
    </row>
    <row r="396" spans="1:9" x14ac:dyDescent="0.25">
      <c r="A396" s="6" t="s">
        <v>480</v>
      </c>
      <c r="B396" s="7">
        <v>45970</v>
      </c>
      <c r="C396" s="6" t="s">
        <v>90</v>
      </c>
      <c r="D396" s="6" t="s">
        <v>60</v>
      </c>
      <c r="E396" s="8">
        <v>14</v>
      </c>
      <c r="F396" s="9">
        <v>0.05</v>
      </c>
      <c r="G396" s="10" t="s">
        <v>55</v>
      </c>
      <c r="H396" s="10" t="s">
        <v>69</v>
      </c>
      <c r="I396" s="10" t="s">
        <v>65</v>
      </c>
    </row>
    <row r="397" spans="1:9" x14ac:dyDescent="0.25">
      <c r="A397" s="11" t="s">
        <v>481</v>
      </c>
      <c r="B397" s="12">
        <v>45769</v>
      </c>
      <c r="C397" s="11" t="s">
        <v>59</v>
      </c>
      <c r="D397" s="11" t="s">
        <v>54</v>
      </c>
      <c r="E397" s="13">
        <v>3</v>
      </c>
      <c r="F397" s="14">
        <v>0</v>
      </c>
      <c r="G397" s="15" t="s">
        <v>64</v>
      </c>
      <c r="H397" s="15" t="s">
        <v>69</v>
      </c>
      <c r="I397" s="15" t="s">
        <v>65</v>
      </c>
    </row>
    <row r="398" spans="1:9" x14ac:dyDescent="0.25">
      <c r="A398" s="6" t="s">
        <v>482</v>
      </c>
      <c r="B398" s="7">
        <v>45819</v>
      </c>
      <c r="C398" s="6" t="s">
        <v>90</v>
      </c>
      <c r="D398" s="6" t="s">
        <v>72</v>
      </c>
      <c r="E398" s="8">
        <v>4</v>
      </c>
      <c r="F398" s="9">
        <v>0.1</v>
      </c>
      <c r="G398" s="10" t="s">
        <v>61</v>
      </c>
      <c r="H398" s="10" t="s">
        <v>56</v>
      </c>
      <c r="I398" s="10" t="s">
        <v>73</v>
      </c>
    </row>
    <row r="399" spans="1:9" x14ac:dyDescent="0.25">
      <c r="A399" s="11" t="s">
        <v>483</v>
      </c>
      <c r="B399" s="12">
        <v>46011</v>
      </c>
      <c r="C399" s="11" t="s">
        <v>75</v>
      </c>
      <c r="D399" s="11" t="s">
        <v>120</v>
      </c>
      <c r="E399" s="13">
        <v>4</v>
      </c>
      <c r="F399" s="14">
        <v>0.2</v>
      </c>
      <c r="G399" s="15" t="s">
        <v>55</v>
      </c>
      <c r="H399" s="15" t="s">
        <v>83</v>
      </c>
      <c r="I399" s="15" t="s">
        <v>65</v>
      </c>
    </row>
    <row r="400" spans="1:9" x14ac:dyDescent="0.25">
      <c r="A400" s="6" t="s">
        <v>484</v>
      </c>
      <c r="B400" s="7">
        <v>45809</v>
      </c>
      <c r="C400" s="6" t="s">
        <v>53</v>
      </c>
      <c r="D400" s="6" t="s">
        <v>60</v>
      </c>
      <c r="E400" s="8">
        <v>18</v>
      </c>
      <c r="F400" s="9">
        <v>0.15</v>
      </c>
      <c r="G400" s="10" t="s">
        <v>61</v>
      </c>
      <c r="H400" s="10" t="s">
        <v>56</v>
      </c>
      <c r="I400" s="10" t="s">
        <v>65</v>
      </c>
    </row>
    <row r="401" spans="1:9" x14ac:dyDescent="0.25">
      <c r="A401" s="11" t="s">
        <v>485</v>
      </c>
      <c r="B401" s="12">
        <v>45984</v>
      </c>
      <c r="C401" s="11" t="s">
        <v>59</v>
      </c>
      <c r="D401" s="11" t="s">
        <v>76</v>
      </c>
      <c r="E401" s="13">
        <v>3</v>
      </c>
      <c r="F401" s="14">
        <v>0.1</v>
      </c>
      <c r="G401" s="15" t="s">
        <v>68</v>
      </c>
      <c r="H401" s="15" t="s">
        <v>56</v>
      </c>
      <c r="I401" s="15" t="s">
        <v>65</v>
      </c>
    </row>
    <row r="402" spans="1:9" x14ac:dyDescent="0.25">
      <c r="A402" s="6" t="s">
        <v>486</v>
      </c>
      <c r="B402" s="7">
        <v>45949</v>
      </c>
      <c r="C402" s="6" t="s">
        <v>71</v>
      </c>
      <c r="D402" s="6" t="s">
        <v>92</v>
      </c>
      <c r="E402" s="8">
        <v>9</v>
      </c>
      <c r="F402" s="9">
        <v>0.05</v>
      </c>
      <c r="G402" s="10" t="s">
        <v>64</v>
      </c>
      <c r="H402" s="10" t="s">
        <v>56</v>
      </c>
      <c r="I402" s="10" t="s">
        <v>77</v>
      </c>
    </row>
    <row r="403" spans="1:9" x14ac:dyDescent="0.25">
      <c r="A403" s="11" t="s">
        <v>487</v>
      </c>
      <c r="B403" s="12">
        <v>45958</v>
      </c>
      <c r="C403" s="11" t="s">
        <v>53</v>
      </c>
      <c r="D403" s="11" t="s">
        <v>54</v>
      </c>
      <c r="E403" s="13">
        <v>5</v>
      </c>
      <c r="F403" s="14">
        <v>0.05</v>
      </c>
      <c r="G403" s="15" t="s">
        <v>61</v>
      </c>
      <c r="H403" s="15" t="s">
        <v>56</v>
      </c>
      <c r="I403" s="15" t="s">
        <v>65</v>
      </c>
    </row>
    <row r="404" spans="1:9" x14ac:dyDescent="0.25">
      <c r="A404" s="6" t="s">
        <v>488</v>
      </c>
      <c r="B404" s="7">
        <v>45917</v>
      </c>
      <c r="C404" s="6" t="s">
        <v>116</v>
      </c>
      <c r="D404" s="6" t="s">
        <v>67</v>
      </c>
      <c r="E404" s="8">
        <v>7</v>
      </c>
      <c r="F404" s="9">
        <v>0.15</v>
      </c>
      <c r="G404" s="10" t="s">
        <v>61</v>
      </c>
      <c r="H404" s="10" t="s">
        <v>83</v>
      </c>
      <c r="I404" s="10" t="s">
        <v>57</v>
      </c>
    </row>
    <row r="405" spans="1:9" x14ac:dyDescent="0.25">
      <c r="A405" s="11" t="s">
        <v>489</v>
      </c>
      <c r="B405" s="12">
        <v>45800</v>
      </c>
      <c r="C405" s="11" t="s">
        <v>75</v>
      </c>
      <c r="D405" s="11" t="s">
        <v>54</v>
      </c>
      <c r="E405" s="13">
        <v>2</v>
      </c>
      <c r="F405" s="14">
        <v>0.2</v>
      </c>
      <c r="G405" s="15" t="s">
        <v>55</v>
      </c>
      <c r="H405" s="15" t="s">
        <v>56</v>
      </c>
      <c r="I405" s="15" t="s">
        <v>73</v>
      </c>
    </row>
    <row r="406" spans="1:9" x14ac:dyDescent="0.25">
      <c r="A406" s="6" t="s">
        <v>490</v>
      </c>
      <c r="B406" s="7">
        <v>45858</v>
      </c>
      <c r="C406" s="6" t="s">
        <v>59</v>
      </c>
      <c r="D406" s="6" t="s">
        <v>76</v>
      </c>
      <c r="E406" s="8">
        <v>25</v>
      </c>
      <c r="F406" s="9">
        <v>0.15</v>
      </c>
      <c r="G406" s="10" t="s">
        <v>55</v>
      </c>
      <c r="H406" s="10" t="s">
        <v>56</v>
      </c>
      <c r="I406" s="10" t="s">
        <v>57</v>
      </c>
    </row>
    <row r="407" spans="1:9" x14ac:dyDescent="0.25">
      <c r="A407" s="11" t="s">
        <v>491</v>
      </c>
      <c r="B407" s="12">
        <v>45702</v>
      </c>
      <c r="C407" s="11" t="s">
        <v>116</v>
      </c>
      <c r="D407" s="11" t="s">
        <v>103</v>
      </c>
      <c r="E407" s="13">
        <v>2</v>
      </c>
      <c r="F407" s="14">
        <v>0.15</v>
      </c>
      <c r="G407" s="15" t="s">
        <v>61</v>
      </c>
      <c r="H407" s="15" t="s">
        <v>69</v>
      </c>
      <c r="I407" s="15" t="s">
        <v>57</v>
      </c>
    </row>
    <row r="408" spans="1:9" x14ac:dyDescent="0.25">
      <c r="A408" s="6" t="s">
        <v>492</v>
      </c>
      <c r="B408" s="7">
        <v>45719</v>
      </c>
      <c r="C408" s="6" t="s">
        <v>90</v>
      </c>
      <c r="D408" s="6" t="s">
        <v>120</v>
      </c>
      <c r="E408" s="8">
        <v>12</v>
      </c>
      <c r="F408" s="9">
        <v>0</v>
      </c>
      <c r="G408" s="10" t="s">
        <v>55</v>
      </c>
      <c r="H408" s="10" t="s">
        <v>69</v>
      </c>
      <c r="I408" s="10" t="s">
        <v>73</v>
      </c>
    </row>
    <row r="409" spans="1:9" x14ac:dyDescent="0.25">
      <c r="A409" s="11" t="s">
        <v>493</v>
      </c>
      <c r="B409" s="12">
        <v>45925</v>
      </c>
      <c r="C409" s="11" t="s">
        <v>75</v>
      </c>
      <c r="D409" s="11" t="s">
        <v>63</v>
      </c>
      <c r="E409" s="13">
        <v>14</v>
      </c>
      <c r="F409" s="14">
        <v>0.05</v>
      </c>
      <c r="G409" s="15" t="s">
        <v>68</v>
      </c>
      <c r="H409" s="15" t="s">
        <v>83</v>
      </c>
      <c r="I409" s="15" t="s">
        <v>77</v>
      </c>
    </row>
    <row r="410" spans="1:9" x14ac:dyDescent="0.25">
      <c r="A410" s="6" t="s">
        <v>494</v>
      </c>
      <c r="B410" s="7">
        <v>45673</v>
      </c>
      <c r="C410" s="6" t="s">
        <v>116</v>
      </c>
      <c r="D410" s="6" t="s">
        <v>82</v>
      </c>
      <c r="E410" s="8">
        <v>5</v>
      </c>
      <c r="F410" s="9">
        <v>0.2</v>
      </c>
      <c r="G410" s="10" t="s">
        <v>61</v>
      </c>
      <c r="H410" s="10" t="s">
        <v>69</v>
      </c>
      <c r="I410" s="10" t="s">
        <v>77</v>
      </c>
    </row>
    <row r="411" spans="1:9" x14ac:dyDescent="0.25">
      <c r="A411" s="11" t="s">
        <v>495</v>
      </c>
      <c r="B411" s="12">
        <v>45912</v>
      </c>
      <c r="C411" s="11" t="s">
        <v>71</v>
      </c>
      <c r="D411" s="11" t="s">
        <v>96</v>
      </c>
      <c r="E411" s="13">
        <v>1</v>
      </c>
      <c r="F411" s="14">
        <v>0.15</v>
      </c>
      <c r="G411" s="15" t="s">
        <v>55</v>
      </c>
      <c r="H411" s="15" t="s">
        <v>69</v>
      </c>
      <c r="I411" s="15" t="s">
        <v>57</v>
      </c>
    </row>
    <row r="412" spans="1:9" x14ac:dyDescent="0.25">
      <c r="A412" s="6" t="s">
        <v>496</v>
      </c>
      <c r="B412" s="7">
        <v>45788</v>
      </c>
      <c r="C412" s="6" t="s">
        <v>59</v>
      </c>
      <c r="D412" s="6" t="s">
        <v>72</v>
      </c>
      <c r="E412" s="8">
        <v>10</v>
      </c>
      <c r="F412" s="9">
        <v>0</v>
      </c>
      <c r="G412" s="10" t="s">
        <v>55</v>
      </c>
      <c r="H412" s="10" t="s">
        <v>83</v>
      </c>
      <c r="I412" s="10" t="s">
        <v>77</v>
      </c>
    </row>
    <row r="413" spans="1:9" x14ac:dyDescent="0.25">
      <c r="A413" s="11" t="s">
        <v>497</v>
      </c>
      <c r="B413" s="12">
        <v>45680</v>
      </c>
      <c r="C413" s="11" t="s">
        <v>53</v>
      </c>
      <c r="D413" s="11" t="s">
        <v>111</v>
      </c>
      <c r="E413" s="13">
        <v>4</v>
      </c>
      <c r="F413" s="14">
        <v>0</v>
      </c>
      <c r="G413" s="15" t="s">
        <v>64</v>
      </c>
      <c r="H413" s="15" t="s">
        <v>69</v>
      </c>
      <c r="I413" s="15" t="s">
        <v>65</v>
      </c>
    </row>
    <row r="414" spans="1:9" x14ac:dyDescent="0.25">
      <c r="A414" s="6" t="s">
        <v>498</v>
      </c>
      <c r="B414" s="7">
        <v>45734</v>
      </c>
      <c r="C414" s="6" t="s">
        <v>53</v>
      </c>
      <c r="D414" s="6" t="s">
        <v>94</v>
      </c>
      <c r="E414" s="8">
        <v>9</v>
      </c>
      <c r="F414" s="9">
        <v>0.15</v>
      </c>
      <c r="G414" s="10" t="s">
        <v>55</v>
      </c>
      <c r="H414" s="10" t="s">
        <v>69</v>
      </c>
      <c r="I414" s="10" t="s">
        <v>57</v>
      </c>
    </row>
    <row r="415" spans="1:9" x14ac:dyDescent="0.25">
      <c r="A415" s="11" t="s">
        <v>499</v>
      </c>
      <c r="B415" s="12">
        <v>45871</v>
      </c>
      <c r="C415" s="11" t="s">
        <v>71</v>
      </c>
      <c r="D415" s="11" t="s">
        <v>103</v>
      </c>
      <c r="E415" s="13">
        <v>5</v>
      </c>
      <c r="F415" s="14">
        <v>0</v>
      </c>
      <c r="G415" s="15" t="s">
        <v>68</v>
      </c>
      <c r="H415" s="15" t="s">
        <v>56</v>
      </c>
      <c r="I415" s="15" t="s">
        <v>77</v>
      </c>
    </row>
    <row r="416" spans="1:9" x14ac:dyDescent="0.25">
      <c r="A416" s="6" t="s">
        <v>500</v>
      </c>
      <c r="B416" s="7">
        <v>45749</v>
      </c>
      <c r="C416" s="6" t="s">
        <v>53</v>
      </c>
      <c r="D416" s="6" t="s">
        <v>88</v>
      </c>
      <c r="E416" s="8">
        <v>7</v>
      </c>
      <c r="F416" s="9">
        <v>0</v>
      </c>
      <c r="G416" s="10" t="s">
        <v>64</v>
      </c>
      <c r="H416" s="10" t="s">
        <v>69</v>
      </c>
      <c r="I416" s="10" t="s">
        <v>73</v>
      </c>
    </row>
    <row r="417" spans="1:9" x14ac:dyDescent="0.25">
      <c r="A417" s="11" t="s">
        <v>501</v>
      </c>
      <c r="B417" s="12">
        <v>45825</v>
      </c>
      <c r="C417" s="11" t="s">
        <v>105</v>
      </c>
      <c r="D417" s="11" t="s">
        <v>54</v>
      </c>
      <c r="E417" s="13">
        <v>1</v>
      </c>
      <c r="F417" s="14">
        <v>0.1</v>
      </c>
      <c r="G417" s="15" t="s">
        <v>55</v>
      </c>
      <c r="H417" s="15" t="s">
        <v>69</v>
      </c>
      <c r="I417" s="15" t="s">
        <v>73</v>
      </c>
    </row>
    <row r="418" spans="1:9" x14ac:dyDescent="0.25">
      <c r="A418" s="6" t="s">
        <v>502</v>
      </c>
      <c r="B418" s="7">
        <v>45976</v>
      </c>
      <c r="C418" s="6" t="s">
        <v>105</v>
      </c>
      <c r="D418" s="6" t="s">
        <v>88</v>
      </c>
      <c r="E418" s="8">
        <v>6</v>
      </c>
      <c r="F418" s="9">
        <v>0.2</v>
      </c>
      <c r="G418" s="10" t="s">
        <v>64</v>
      </c>
      <c r="H418" s="10" t="s">
        <v>56</v>
      </c>
      <c r="I418" s="10" t="s">
        <v>57</v>
      </c>
    </row>
    <row r="419" spans="1:9" x14ac:dyDescent="0.25">
      <c r="A419" s="11" t="s">
        <v>503</v>
      </c>
      <c r="B419" s="12">
        <v>45735</v>
      </c>
      <c r="C419" s="11" t="s">
        <v>116</v>
      </c>
      <c r="D419" s="11" t="s">
        <v>120</v>
      </c>
      <c r="E419" s="13">
        <v>1</v>
      </c>
      <c r="F419" s="14">
        <v>0.05</v>
      </c>
      <c r="G419" s="15" t="s">
        <v>68</v>
      </c>
      <c r="H419" s="15" t="s">
        <v>83</v>
      </c>
      <c r="I419" s="15" t="s">
        <v>77</v>
      </c>
    </row>
    <row r="420" spans="1:9" x14ac:dyDescent="0.25">
      <c r="A420" s="6" t="s">
        <v>504</v>
      </c>
      <c r="B420" s="7">
        <v>45829</v>
      </c>
      <c r="C420" s="6" t="s">
        <v>116</v>
      </c>
      <c r="D420" s="6" t="s">
        <v>120</v>
      </c>
      <c r="E420" s="8">
        <v>12</v>
      </c>
      <c r="F420" s="9">
        <v>0.1</v>
      </c>
      <c r="G420" s="10" t="s">
        <v>61</v>
      </c>
      <c r="H420" s="10" t="s">
        <v>56</v>
      </c>
      <c r="I420" s="10" t="s">
        <v>57</v>
      </c>
    </row>
    <row r="421" spans="1:9" x14ac:dyDescent="0.25">
      <c r="A421" s="11" t="s">
        <v>505</v>
      </c>
      <c r="B421" s="12">
        <v>45872</v>
      </c>
      <c r="C421" s="11" t="s">
        <v>53</v>
      </c>
      <c r="D421" s="11" t="s">
        <v>96</v>
      </c>
      <c r="E421" s="13">
        <v>3</v>
      </c>
      <c r="F421" s="14">
        <v>0.1</v>
      </c>
      <c r="G421" s="15" t="s">
        <v>61</v>
      </c>
      <c r="H421" s="15" t="s">
        <v>56</v>
      </c>
      <c r="I421" s="15" t="s">
        <v>57</v>
      </c>
    </row>
    <row r="422" spans="1:9" x14ac:dyDescent="0.25">
      <c r="A422" s="6" t="s">
        <v>506</v>
      </c>
      <c r="B422" s="7">
        <v>45924</v>
      </c>
      <c r="C422" s="6" t="s">
        <v>71</v>
      </c>
      <c r="D422" s="6" t="s">
        <v>92</v>
      </c>
      <c r="E422" s="8">
        <v>8</v>
      </c>
      <c r="F422" s="9">
        <v>0</v>
      </c>
      <c r="G422" s="10" t="s">
        <v>61</v>
      </c>
      <c r="H422" s="10" t="s">
        <v>83</v>
      </c>
      <c r="I422" s="10" t="s">
        <v>57</v>
      </c>
    </row>
    <row r="423" spans="1:9" x14ac:dyDescent="0.25">
      <c r="A423" s="11" t="s">
        <v>507</v>
      </c>
      <c r="B423" s="12">
        <v>45984</v>
      </c>
      <c r="C423" s="11" t="s">
        <v>116</v>
      </c>
      <c r="D423" s="11" t="s">
        <v>111</v>
      </c>
      <c r="E423" s="13">
        <v>2</v>
      </c>
      <c r="F423" s="14">
        <v>0.2</v>
      </c>
      <c r="G423" s="15" t="s">
        <v>61</v>
      </c>
      <c r="H423" s="15" t="s">
        <v>69</v>
      </c>
      <c r="I423" s="15" t="s">
        <v>57</v>
      </c>
    </row>
    <row r="424" spans="1:9" x14ac:dyDescent="0.25">
      <c r="A424" s="6" t="s">
        <v>508</v>
      </c>
      <c r="B424" s="7">
        <v>45779</v>
      </c>
      <c r="C424" s="6" t="s">
        <v>75</v>
      </c>
      <c r="D424" s="6" t="s">
        <v>67</v>
      </c>
      <c r="E424" s="8">
        <v>6</v>
      </c>
      <c r="F424" s="9">
        <v>0.15</v>
      </c>
      <c r="G424" s="10" t="s">
        <v>68</v>
      </c>
      <c r="H424" s="10" t="s">
        <v>69</v>
      </c>
      <c r="I424" s="10" t="s">
        <v>65</v>
      </c>
    </row>
    <row r="425" spans="1:9" x14ac:dyDescent="0.25">
      <c r="A425" s="11" t="s">
        <v>509</v>
      </c>
      <c r="B425" s="12">
        <v>45797</v>
      </c>
      <c r="C425" s="11" t="s">
        <v>59</v>
      </c>
      <c r="D425" s="11" t="s">
        <v>88</v>
      </c>
      <c r="E425" s="13">
        <v>4</v>
      </c>
      <c r="F425" s="14">
        <v>0.05</v>
      </c>
      <c r="G425" s="15" t="s">
        <v>61</v>
      </c>
      <c r="H425" s="15" t="s">
        <v>56</v>
      </c>
      <c r="I425" s="15" t="s">
        <v>77</v>
      </c>
    </row>
    <row r="426" spans="1:9" x14ac:dyDescent="0.25">
      <c r="A426" s="6" t="s">
        <v>510</v>
      </c>
      <c r="B426" s="7">
        <v>45742</v>
      </c>
      <c r="C426" s="6" t="s">
        <v>105</v>
      </c>
      <c r="D426" s="6" t="s">
        <v>96</v>
      </c>
      <c r="E426" s="8">
        <v>6</v>
      </c>
      <c r="F426" s="9">
        <v>0.15</v>
      </c>
      <c r="G426" s="10" t="s">
        <v>61</v>
      </c>
      <c r="H426" s="10" t="s">
        <v>83</v>
      </c>
      <c r="I426" s="10" t="s">
        <v>73</v>
      </c>
    </row>
    <row r="427" spans="1:9" x14ac:dyDescent="0.25">
      <c r="A427" s="11" t="s">
        <v>511</v>
      </c>
      <c r="B427" s="12">
        <v>45764</v>
      </c>
      <c r="C427" s="11" t="s">
        <v>75</v>
      </c>
      <c r="D427" s="11" t="s">
        <v>96</v>
      </c>
      <c r="E427" s="13">
        <v>8</v>
      </c>
      <c r="F427" s="14">
        <v>0.1</v>
      </c>
      <c r="G427" s="15" t="s">
        <v>61</v>
      </c>
      <c r="H427" s="15" t="s">
        <v>56</v>
      </c>
      <c r="I427" s="15" t="s">
        <v>57</v>
      </c>
    </row>
    <row r="428" spans="1:9" x14ac:dyDescent="0.25">
      <c r="A428" s="6" t="s">
        <v>512</v>
      </c>
      <c r="B428" s="7">
        <v>46009</v>
      </c>
      <c r="C428" s="6" t="s">
        <v>53</v>
      </c>
      <c r="D428" s="6" t="s">
        <v>67</v>
      </c>
      <c r="E428" s="8">
        <v>4</v>
      </c>
      <c r="F428" s="9">
        <v>0.1</v>
      </c>
      <c r="G428" s="10" t="s">
        <v>55</v>
      </c>
      <c r="H428" s="10" t="s">
        <v>56</v>
      </c>
      <c r="I428" s="10" t="s">
        <v>57</v>
      </c>
    </row>
    <row r="429" spans="1:9" x14ac:dyDescent="0.25">
      <c r="A429" s="11" t="s">
        <v>513</v>
      </c>
      <c r="B429" s="12">
        <v>45840</v>
      </c>
      <c r="C429" s="11" t="s">
        <v>53</v>
      </c>
      <c r="D429" s="11" t="s">
        <v>92</v>
      </c>
      <c r="E429" s="13">
        <v>11</v>
      </c>
      <c r="F429" s="14">
        <v>0.1</v>
      </c>
      <c r="G429" s="15" t="s">
        <v>68</v>
      </c>
      <c r="H429" s="15" t="s">
        <v>56</v>
      </c>
      <c r="I429" s="15" t="s">
        <v>77</v>
      </c>
    </row>
    <row r="430" spans="1:9" x14ac:dyDescent="0.25">
      <c r="A430" s="6" t="s">
        <v>514</v>
      </c>
      <c r="B430" s="7">
        <v>45865</v>
      </c>
      <c r="C430" s="6" t="s">
        <v>105</v>
      </c>
      <c r="D430" s="6" t="s">
        <v>111</v>
      </c>
      <c r="E430" s="8">
        <v>9</v>
      </c>
      <c r="F430" s="9">
        <v>0.2</v>
      </c>
      <c r="G430" s="10" t="s">
        <v>55</v>
      </c>
      <c r="H430" s="10" t="s">
        <v>56</v>
      </c>
      <c r="I430" s="10" t="s">
        <v>65</v>
      </c>
    </row>
    <row r="431" spans="1:9" x14ac:dyDescent="0.25">
      <c r="A431" s="11" t="s">
        <v>515</v>
      </c>
      <c r="B431" s="12">
        <v>45710</v>
      </c>
      <c r="C431" s="11" t="s">
        <v>90</v>
      </c>
      <c r="D431" s="11" t="s">
        <v>72</v>
      </c>
      <c r="E431" s="13">
        <v>2</v>
      </c>
      <c r="F431" s="14">
        <v>0</v>
      </c>
      <c r="G431" s="15" t="s">
        <v>61</v>
      </c>
      <c r="H431" s="15" t="s">
        <v>56</v>
      </c>
      <c r="I431" s="15" t="s">
        <v>57</v>
      </c>
    </row>
    <row r="432" spans="1:9" x14ac:dyDescent="0.25">
      <c r="A432" s="6" t="s">
        <v>516</v>
      </c>
      <c r="B432" s="7">
        <v>45759</v>
      </c>
      <c r="C432" s="6" t="s">
        <v>116</v>
      </c>
      <c r="D432" s="6" t="s">
        <v>111</v>
      </c>
      <c r="E432" s="8">
        <v>6</v>
      </c>
      <c r="F432" s="9">
        <v>0</v>
      </c>
      <c r="G432" s="10" t="s">
        <v>68</v>
      </c>
      <c r="H432" s="10" t="s">
        <v>56</v>
      </c>
      <c r="I432" s="10" t="s">
        <v>77</v>
      </c>
    </row>
    <row r="433" spans="1:9" x14ac:dyDescent="0.25">
      <c r="A433" s="11" t="s">
        <v>517</v>
      </c>
      <c r="B433" s="12">
        <v>45691</v>
      </c>
      <c r="C433" s="11" t="s">
        <v>105</v>
      </c>
      <c r="D433" s="11" t="s">
        <v>88</v>
      </c>
      <c r="E433" s="13">
        <v>3</v>
      </c>
      <c r="F433" s="14">
        <v>0</v>
      </c>
      <c r="G433" s="15" t="s">
        <v>68</v>
      </c>
      <c r="H433" s="15" t="s">
        <v>56</v>
      </c>
      <c r="I433" s="15" t="s">
        <v>77</v>
      </c>
    </row>
    <row r="434" spans="1:9" x14ac:dyDescent="0.25">
      <c r="A434" s="6" t="s">
        <v>518</v>
      </c>
      <c r="B434" s="7">
        <v>45894</v>
      </c>
      <c r="C434" s="6" t="s">
        <v>90</v>
      </c>
      <c r="D434" s="6" t="s">
        <v>120</v>
      </c>
      <c r="E434" s="8">
        <v>10</v>
      </c>
      <c r="F434" s="9">
        <v>0.15</v>
      </c>
      <c r="G434" s="10" t="s">
        <v>64</v>
      </c>
      <c r="H434" s="10" t="s">
        <v>69</v>
      </c>
      <c r="I434" s="10" t="s">
        <v>77</v>
      </c>
    </row>
    <row r="435" spans="1:9" x14ac:dyDescent="0.25">
      <c r="A435" s="11" t="s">
        <v>519</v>
      </c>
      <c r="B435" s="12">
        <v>45853</v>
      </c>
      <c r="C435" s="11" t="s">
        <v>116</v>
      </c>
      <c r="D435" s="11" t="s">
        <v>60</v>
      </c>
      <c r="E435" s="13">
        <v>14</v>
      </c>
      <c r="F435" s="14">
        <v>0.05</v>
      </c>
      <c r="G435" s="15" t="s">
        <v>55</v>
      </c>
      <c r="H435" s="15" t="s">
        <v>69</v>
      </c>
      <c r="I435" s="15" t="s">
        <v>73</v>
      </c>
    </row>
    <row r="436" spans="1:9" x14ac:dyDescent="0.25">
      <c r="A436" s="6" t="s">
        <v>520</v>
      </c>
      <c r="B436" s="7">
        <v>45886</v>
      </c>
      <c r="C436" s="6" t="s">
        <v>90</v>
      </c>
      <c r="D436" s="6" t="s">
        <v>103</v>
      </c>
      <c r="E436" s="8">
        <v>1</v>
      </c>
      <c r="F436" s="9">
        <v>0.2</v>
      </c>
      <c r="G436" s="10" t="s">
        <v>55</v>
      </c>
      <c r="H436" s="10" t="s">
        <v>83</v>
      </c>
      <c r="I436" s="10" t="s">
        <v>73</v>
      </c>
    </row>
    <row r="437" spans="1:9" x14ac:dyDescent="0.25">
      <c r="A437" s="11" t="s">
        <v>521</v>
      </c>
      <c r="B437" s="12">
        <v>45913</v>
      </c>
      <c r="C437" s="11" t="s">
        <v>105</v>
      </c>
      <c r="D437" s="11" t="s">
        <v>92</v>
      </c>
      <c r="E437" s="13">
        <v>1</v>
      </c>
      <c r="F437" s="14">
        <v>0</v>
      </c>
      <c r="G437" s="15" t="s">
        <v>68</v>
      </c>
      <c r="H437" s="15" t="s">
        <v>69</v>
      </c>
      <c r="I437" s="15" t="s">
        <v>57</v>
      </c>
    </row>
    <row r="438" spans="1:9" x14ac:dyDescent="0.25">
      <c r="A438" s="6" t="s">
        <v>522</v>
      </c>
      <c r="B438" s="7">
        <v>45872</v>
      </c>
      <c r="C438" s="6" t="s">
        <v>80</v>
      </c>
      <c r="D438" s="6" t="s">
        <v>88</v>
      </c>
      <c r="E438" s="8">
        <v>11</v>
      </c>
      <c r="F438" s="9">
        <v>0.2</v>
      </c>
      <c r="G438" s="10" t="s">
        <v>61</v>
      </c>
      <c r="H438" s="10" t="s">
        <v>69</v>
      </c>
      <c r="I438" s="10" t="s">
        <v>73</v>
      </c>
    </row>
    <row r="439" spans="1:9" x14ac:dyDescent="0.25">
      <c r="A439" s="11" t="s">
        <v>523</v>
      </c>
      <c r="B439" s="12">
        <v>45903</v>
      </c>
      <c r="C439" s="11" t="s">
        <v>105</v>
      </c>
      <c r="D439" s="11" t="s">
        <v>63</v>
      </c>
      <c r="E439" s="13">
        <v>21</v>
      </c>
      <c r="F439" s="14">
        <v>0.2</v>
      </c>
      <c r="G439" s="15" t="s">
        <v>68</v>
      </c>
      <c r="H439" s="15" t="s">
        <v>69</v>
      </c>
      <c r="I439" s="15" t="s">
        <v>73</v>
      </c>
    </row>
    <row r="440" spans="1:9" x14ac:dyDescent="0.25">
      <c r="A440" s="6" t="s">
        <v>524</v>
      </c>
      <c r="B440" s="7">
        <v>45750</v>
      </c>
      <c r="C440" s="6" t="s">
        <v>71</v>
      </c>
      <c r="D440" s="6" t="s">
        <v>120</v>
      </c>
      <c r="E440" s="8">
        <v>10</v>
      </c>
      <c r="F440" s="9">
        <v>0.05</v>
      </c>
      <c r="G440" s="10" t="s">
        <v>61</v>
      </c>
      <c r="H440" s="10" t="s">
        <v>69</v>
      </c>
      <c r="I440" s="10" t="s">
        <v>77</v>
      </c>
    </row>
    <row r="441" spans="1:9" x14ac:dyDescent="0.25">
      <c r="A441" s="11" t="s">
        <v>525</v>
      </c>
      <c r="B441" s="12">
        <v>45899</v>
      </c>
      <c r="C441" s="11" t="s">
        <v>71</v>
      </c>
      <c r="D441" s="11" t="s">
        <v>63</v>
      </c>
      <c r="E441" s="13">
        <v>10</v>
      </c>
      <c r="F441" s="14">
        <v>0.05</v>
      </c>
      <c r="G441" s="15" t="s">
        <v>61</v>
      </c>
      <c r="H441" s="15" t="s">
        <v>56</v>
      </c>
      <c r="I441" s="15" t="s">
        <v>57</v>
      </c>
    </row>
    <row r="442" spans="1:9" x14ac:dyDescent="0.25">
      <c r="A442" s="6" t="s">
        <v>526</v>
      </c>
      <c r="B442" s="7">
        <v>45794</v>
      </c>
      <c r="C442" s="6" t="s">
        <v>53</v>
      </c>
      <c r="D442" s="6" t="s">
        <v>63</v>
      </c>
      <c r="E442" s="8">
        <v>21</v>
      </c>
      <c r="F442" s="9">
        <v>0.15</v>
      </c>
      <c r="G442" s="10" t="s">
        <v>68</v>
      </c>
      <c r="H442" s="10" t="s">
        <v>56</v>
      </c>
      <c r="I442" s="10" t="s">
        <v>57</v>
      </c>
    </row>
    <row r="443" spans="1:9" x14ac:dyDescent="0.25">
      <c r="A443" s="11" t="s">
        <v>527</v>
      </c>
      <c r="B443" s="12">
        <v>45779</v>
      </c>
      <c r="C443" s="11" t="s">
        <v>71</v>
      </c>
      <c r="D443" s="11" t="s">
        <v>76</v>
      </c>
      <c r="E443" s="13">
        <v>25</v>
      </c>
      <c r="F443" s="14">
        <v>0.1</v>
      </c>
      <c r="G443" s="15" t="s">
        <v>61</v>
      </c>
      <c r="H443" s="15" t="s">
        <v>83</v>
      </c>
      <c r="I443" s="15" t="s">
        <v>73</v>
      </c>
    </row>
    <row r="444" spans="1:9" x14ac:dyDescent="0.25">
      <c r="A444" s="6" t="s">
        <v>528</v>
      </c>
      <c r="B444" s="7">
        <v>45948</v>
      </c>
      <c r="C444" s="6" t="s">
        <v>90</v>
      </c>
      <c r="D444" s="6" t="s">
        <v>76</v>
      </c>
      <c r="E444" s="8">
        <v>9</v>
      </c>
      <c r="F444" s="9">
        <v>0.15</v>
      </c>
      <c r="G444" s="10" t="s">
        <v>68</v>
      </c>
      <c r="H444" s="10" t="s">
        <v>56</v>
      </c>
      <c r="I444" s="10" t="s">
        <v>65</v>
      </c>
    </row>
    <row r="445" spans="1:9" x14ac:dyDescent="0.25">
      <c r="A445" s="11" t="s">
        <v>529</v>
      </c>
      <c r="B445" s="12">
        <v>45677</v>
      </c>
      <c r="C445" s="11" t="s">
        <v>53</v>
      </c>
      <c r="D445" s="11" t="s">
        <v>54</v>
      </c>
      <c r="E445" s="13">
        <v>4</v>
      </c>
      <c r="F445" s="14">
        <v>0.2</v>
      </c>
      <c r="G445" s="15" t="s">
        <v>55</v>
      </c>
      <c r="H445" s="15" t="s">
        <v>56</v>
      </c>
      <c r="I445" s="15" t="s">
        <v>65</v>
      </c>
    </row>
    <row r="446" spans="1:9" x14ac:dyDescent="0.25">
      <c r="A446" s="6" t="s">
        <v>530</v>
      </c>
      <c r="B446" s="7">
        <v>45658</v>
      </c>
      <c r="C446" s="6" t="s">
        <v>80</v>
      </c>
      <c r="D446" s="6" t="s">
        <v>82</v>
      </c>
      <c r="E446" s="8">
        <v>3</v>
      </c>
      <c r="F446" s="9">
        <v>0.1</v>
      </c>
      <c r="G446" s="10" t="s">
        <v>55</v>
      </c>
      <c r="H446" s="10" t="s">
        <v>69</v>
      </c>
      <c r="I446" s="10" t="s">
        <v>77</v>
      </c>
    </row>
    <row r="447" spans="1:9" x14ac:dyDescent="0.25">
      <c r="A447" s="11" t="s">
        <v>531</v>
      </c>
      <c r="B447" s="12">
        <v>45669</v>
      </c>
      <c r="C447" s="11" t="s">
        <v>90</v>
      </c>
      <c r="D447" s="11" t="s">
        <v>94</v>
      </c>
      <c r="E447" s="13">
        <v>2</v>
      </c>
      <c r="F447" s="14">
        <v>0.2</v>
      </c>
      <c r="G447" s="15" t="s">
        <v>68</v>
      </c>
      <c r="H447" s="15" t="s">
        <v>56</v>
      </c>
      <c r="I447" s="15" t="s">
        <v>73</v>
      </c>
    </row>
    <row r="448" spans="1:9" x14ac:dyDescent="0.25">
      <c r="A448" s="6" t="s">
        <v>532</v>
      </c>
      <c r="B448" s="7">
        <v>46018</v>
      </c>
      <c r="C448" s="6" t="s">
        <v>116</v>
      </c>
      <c r="D448" s="6" t="s">
        <v>60</v>
      </c>
      <c r="E448" s="8">
        <v>6</v>
      </c>
      <c r="F448" s="9">
        <v>0.1</v>
      </c>
      <c r="G448" s="10" t="s">
        <v>68</v>
      </c>
      <c r="H448" s="10" t="s">
        <v>69</v>
      </c>
      <c r="I448" s="10" t="s">
        <v>57</v>
      </c>
    </row>
    <row r="449" spans="1:9" x14ac:dyDescent="0.25">
      <c r="A449" s="11" t="s">
        <v>533</v>
      </c>
      <c r="B449" s="12">
        <v>45738</v>
      </c>
      <c r="C449" s="11" t="s">
        <v>116</v>
      </c>
      <c r="D449" s="11" t="s">
        <v>85</v>
      </c>
      <c r="E449" s="13">
        <v>18</v>
      </c>
      <c r="F449" s="14">
        <v>0.1</v>
      </c>
      <c r="G449" s="15" t="s">
        <v>55</v>
      </c>
      <c r="H449" s="15" t="s">
        <v>83</v>
      </c>
      <c r="I449" s="15" t="s">
        <v>73</v>
      </c>
    </row>
    <row r="450" spans="1:9" x14ac:dyDescent="0.25">
      <c r="A450" s="6" t="s">
        <v>534</v>
      </c>
      <c r="B450" s="7">
        <v>45772</v>
      </c>
      <c r="C450" s="6" t="s">
        <v>90</v>
      </c>
      <c r="D450" s="6" t="s">
        <v>60</v>
      </c>
      <c r="E450" s="8">
        <v>12</v>
      </c>
      <c r="F450" s="9">
        <v>0.1</v>
      </c>
      <c r="G450" s="10" t="s">
        <v>55</v>
      </c>
      <c r="H450" s="10" t="s">
        <v>56</v>
      </c>
      <c r="I450" s="10" t="s">
        <v>77</v>
      </c>
    </row>
    <row r="451" spans="1:9" x14ac:dyDescent="0.25">
      <c r="A451" s="11" t="s">
        <v>535</v>
      </c>
      <c r="B451" s="12">
        <v>46017</v>
      </c>
      <c r="C451" s="11" t="s">
        <v>116</v>
      </c>
      <c r="D451" s="11" t="s">
        <v>76</v>
      </c>
      <c r="E451" s="13">
        <v>4</v>
      </c>
      <c r="F451" s="14">
        <v>0.05</v>
      </c>
      <c r="G451" s="15" t="s">
        <v>68</v>
      </c>
      <c r="H451" s="15" t="s">
        <v>83</v>
      </c>
      <c r="I451" s="15" t="s">
        <v>57</v>
      </c>
    </row>
    <row r="452" spans="1:9" x14ac:dyDescent="0.25">
      <c r="A452" s="6" t="s">
        <v>536</v>
      </c>
      <c r="B452" s="7">
        <v>45985</v>
      </c>
      <c r="C452" s="6" t="s">
        <v>59</v>
      </c>
      <c r="D452" s="6" t="s">
        <v>76</v>
      </c>
      <c r="E452" s="8">
        <v>7</v>
      </c>
      <c r="F452" s="9">
        <v>0.1</v>
      </c>
      <c r="G452" s="10" t="s">
        <v>61</v>
      </c>
      <c r="H452" s="10" t="s">
        <v>56</v>
      </c>
      <c r="I452" s="10" t="s">
        <v>73</v>
      </c>
    </row>
    <row r="453" spans="1:9" x14ac:dyDescent="0.25">
      <c r="A453" s="11" t="s">
        <v>537</v>
      </c>
      <c r="B453" s="12">
        <v>45821</v>
      </c>
      <c r="C453" s="11" t="s">
        <v>59</v>
      </c>
      <c r="D453" s="11" t="s">
        <v>94</v>
      </c>
      <c r="E453" s="13">
        <v>12</v>
      </c>
      <c r="F453" s="14">
        <v>0.1</v>
      </c>
      <c r="G453" s="15" t="s">
        <v>64</v>
      </c>
      <c r="H453" s="15" t="s">
        <v>56</v>
      </c>
      <c r="I453" s="15" t="s">
        <v>73</v>
      </c>
    </row>
    <row r="454" spans="1:9" x14ac:dyDescent="0.25">
      <c r="A454" s="6" t="s">
        <v>538</v>
      </c>
      <c r="B454" s="7">
        <v>45765</v>
      </c>
      <c r="C454" s="6" t="s">
        <v>59</v>
      </c>
      <c r="D454" s="6" t="s">
        <v>88</v>
      </c>
      <c r="E454" s="8">
        <v>6</v>
      </c>
      <c r="F454" s="9">
        <v>0.1</v>
      </c>
      <c r="G454" s="10" t="s">
        <v>61</v>
      </c>
      <c r="H454" s="10" t="s">
        <v>83</v>
      </c>
      <c r="I454" s="10" t="s">
        <v>77</v>
      </c>
    </row>
    <row r="455" spans="1:9" x14ac:dyDescent="0.25">
      <c r="A455" s="11" t="s">
        <v>539</v>
      </c>
      <c r="B455" s="12">
        <v>45682</v>
      </c>
      <c r="C455" s="11" t="s">
        <v>105</v>
      </c>
      <c r="D455" s="11" t="s">
        <v>92</v>
      </c>
      <c r="E455" s="13">
        <v>12</v>
      </c>
      <c r="F455" s="14">
        <v>0.15</v>
      </c>
      <c r="G455" s="15" t="s">
        <v>55</v>
      </c>
      <c r="H455" s="15" t="s">
        <v>69</v>
      </c>
      <c r="I455" s="15" t="s">
        <v>65</v>
      </c>
    </row>
    <row r="456" spans="1:9" x14ac:dyDescent="0.25">
      <c r="A456" s="6" t="s">
        <v>540</v>
      </c>
      <c r="B456" s="7">
        <v>45851</v>
      </c>
      <c r="C456" s="6" t="s">
        <v>116</v>
      </c>
      <c r="D456" s="6" t="s">
        <v>82</v>
      </c>
      <c r="E456" s="8">
        <v>2</v>
      </c>
      <c r="F456" s="9">
        <v>0.15</v>
      </c>
      <c r="G456" s="10" t="s">
        <v>55</v>
      </c>
      <c r="H456" s="10" t="s">
        <v>56</v>
      </c>
      <c r="I456" s="10" t="s">
        <v>65</v>
      </c>
    </row>
    <row r="457" spans="1:9" x14ac:dyDescent="0.25">
      <c r="A457" s="11" t="s">
        <v>541</v>
      </c>
      <c r="B457" s="12">
        <v>45695</v>
      </c>
      <c r="C457" s="11" t="s">
        <v>53</v>
      </c>
      <c r="D457" s="11" t="s">
        <v>72</v>
      </c>
      <c r="E457" s="13">
        <v>5</v>
      </c>
      <c r="F457" s="14">
        <v>0</v>
      </c>
      <c r="G457" s="15" t="s">
        <v>68</v>
      </c>
      <c r="H457" s="15" t="s">
        <v>69</v>
      </c>
      <c r="I457" s="15" t="s">
        <v>77</v>
      </c>
    </row>
    <row r="458" spans="1:9" x14ac:dyDescent="0.25">
      <c r="A458" s="6" t="s">
        <v>542</v>
      </c>
      <c r="B458" s="7">
        <v>45695</v>
      </c>
      <c r="C458" s="6" t="s">
        <v>90</v>
      </c>
      <c r="D458" s="6" t="s">
        <v>82</v>
      </c>
      <c r="E458" s="8">
        <v>7</v>
      </c>
      <c r="F458" s="9">
        <v>0.05</v>
      </c>
      <c r="G458" s="10" t="s">
        <v>61</v>
      </c>
      <c r="H458" s="10" t="s">
        <v>83</v>
      </c>
      <c r="I458" s="10" t="s">
        <v>77</v>
      </c>
    </row>
    <row r="459" spans="1:9" x14ac:dyDescent="0.25">
      <c r="A459" s="11" t="s">
        <v>543</v>
      </c>
      <c r="B459" s="12">
        <v>45831</v>
      </c>
      <c r="C459" s="11" t="s">
        <v>105</v>
      </c>
      <c r="D459" s="11" t="s">
        <v>76</v>
      </c>
      <c r="E459" s="13">
        <v>3</v>
      </c>
      <c r="F459" s="14">
        <v>0.15</v>
      </c>
      <c r="G459" s="15" t="s">
        <v>55</v>
      </c>
      <c r="H459" s="15" t="s">
        <v>83</v>
      </c>
      <c r="I459" s="15" t="s">
        <v>65</v>
      </c>
    </row>
    <row r="460" spans="1:9" x14ac:dyDescent="0.25">
      <c r="A460" s="6" t="s">
        <v>544</v>
      </c>
      <c r="B460" s="7">
        <v>45738</v>
      </c>
      <c r="C460" s="6" t="s">
        <v>59</v>
      </c>
      <c r="D460" s="6" t="s">
        <v>120</v>
      </c>
      <c r="E460" s="8">
        <v>6</v>
      </c>
      <c r="F460" s="9">
        <v>0.05</v>
      </c>
      <c r="G460" s="10" t="s">
        <v>55</v>
      </c>
      <c r="H460" s="10" t="s">
        <v>69</v>
      </c>
      <c r="I460" s="10" t="s">
        <v>73</v>
      </c>
    </row>
    <row r="461" spans="1:9" x14ac:dyDescent="0.25">
      <c r="A461" s="11" t="s">
        <v>545</v>
      </c>
      <c r="B461" s="12">
        <v>45996</v>
      </c>
      <c r="C461" s="11" t="s">
        <v>75</v>
      </c>
      <c r="D461" s="11" t="s">
        <v>67</v>
      </c>
      <c r="E461" s="13">
        <v>4</v>
      </c>
      <c r="F461" s="14">
        <v>0</v>
      </c>
      <c r="G461" s="15" t="s">
        <v>61</v>
      </c>
      <c r="H461" s="15" t="s">
        <v>69</v>
      </c>
      <c r="I461" s="15" t="s">
        <v>65</v>
      </c>
    </row>
    <row r="462" spans="1:9" x14ac:dyDescent="0.25">
      <c r="A462" s="6" t="s">
        <v>546</v>
      </c>
      <c r="B462" s="7">
        <v>45736</v>
      </c>
      <c r="C462" s="6" t="s">
        <v>71</v>
      </c>
      <c r="D462" s="6" t="s">
        <v>120</v>
      </c>
      <c r="E462" s="8">
        <v>1</v>
      </c>
      <c r="F462" s="9">
        <v>0.15</v>
      </c>
      <c r="G462" s="10" t="s">
        <v>61</v>
      </c>
      <c r="H462" s="10" t="s">
        <v>69</v>
      </c>
      <c r="I462" s="10" t="s">
        <v>65</v>
      </c>
    </row>
    <row r="463" spans="1:9" x14ac:dyDescent="0.25">
      <c r="A463" s="11" t="s">
        <v>547</v>
      </c>
      <c r="B463" s="12">
        <v>45760</v>
      </c>
      <c r="C463" s="11" t="s">
        <v>53</v>
      </c>
      <c r="D463" s="11" t="s">
        <v>54</v>
      </c>
      <c r="E463" s="13">
        <v>4</v>
      </c>
      <c r="F463" s="14">
        <v>0.05</v>
      </c>
      <c r="G463" s="15" t="s">
        <v>68</v>
      </c>
      <c r="H463" s="15" t="s">
        <v>56</v>
      </c>
      <c r="I463" s="15" t="s">
        <v>65</v>
      </c>
    </row>
    <row r="464" spans="1:9" x14ac:dyDescent="0.25">
      <c r="A464" s="6" t="s">
        <v>548</v>
      </c>
      <c r="B464" s="7">
        <v>45717</v>
      </c>
      <c r="C464" s="6" t="s">
        <v>116</v>
      </c>
      <c r="D464" s="6" t="s">
        <v>67</v>
      </c>
      <c r="E464" s="8">
        <v>8</v>
      </c>
      <c r="F464" s="9">
        <v>0.15</v>
      </c>
      <c r="G464" s="10" t="s">
        <v>68</v>
      </c>
      <c r="H464" s="10" t="s">
        <v>56</v>
      </c>
      <c r="I464" s="10" t="s">
        <v>65</v>
      </c>
    </row>
    <row r="465" spans="1:9" x14ac:dyDescent="0.25">
      <c r="A465" s="11" t="s">
        <v>549</v>
      </c>
      <c r="B465" s="12">
        <v>45752</v>
      </c>
      <c r="C465" s="11" t="s">
        <v>116</v>
      </c>
      <c r="D465" s="11" t="s">
        <v>82</v>
      </c>
      <c r="E465" s="13">
        <v>6</v>
      </c>
      <c r="F465" s="14">
        <v>0.05</v>
      </c>
      <c r="G465" s="15" t="s">
        <v>64</v>
      </c>
      <c r="H465" s="15" t="s">
        <v>56</v>
      </c>
      <c r="I465" s="15" t="s">
        <v>73</v>
      </c>
    </row>
    <row r="466" spans="1:9" x14ac:dyDescent="0.25">
      <c r="A466" s="6" t="s">
        <v>550</v>
      </c>
      <c r="B466" s="7">
        <v>45883</v>
      </c>
      <c r="C466" s="6" t="s">
        <v>75</v>
      </c>
      <c r="D466" s="6" t="s">
        <v>96</v>
      </c>
      <c r="E466" s="8">
        <v>4</v>
      </c>
      <c r="F466" s="9">
        <v>0.1</v>
      </c>
      <c r="G466" s="10" t="s">
        <v>61</v>
      </c>
      <c r="H466" s="10" t="s">
        <v>56</v>
      </c>
      <c r="I466" s="10" t="s">
        <v>77</v>
      </c>
    </row>
    <row r="467" spans="1:9" x14ac:dyDescent="0.25">
      <c r="A467" s="11" t="s">
        <v>551</v>
      </c>
      <c r="B467" s="12">
        <v>45701</v>
      </c>
      <c r="C467" s="11" t="s">
        <v>71</v>
      </c>
      <c r="D467" s="11" t="s">
        <v>60</v>
      </c>
      <c r="E467" s="13">
        <v>16</v>
      </c>
      <c r="F467" s="14">
        <v>0.2</v>
      </c>
      <c r="G467" s="15" t="s">
        <v>55</v>
      </c>
      <c r="H467" s="15" t="s">
        <v>83</v>
      </c>
      <c r="I467" s="15" t="s">
        <v>77</v>
      </c>
    </row>
    <row r="468" spans="1:9" x14ac:dyDescent="0.25">
      <c r="A468" s="6" t="s">
        <v>552</v>
      </c>
      <c r="B468" s="7">
        <v>45856</v>
      </c>
      <c r="C468" s="6" t="s">
        <v>116</v>
      </c>
      <c r="D468" s="6" t="s">
        <v>111</v>
      </c>
      <c r="E468" s="8">
        <v>9</v>
      </c>
      <c r="F468" s="9">
        <v>0.15</v>
      </c>
      <c r="G468" s="10" t="s">
        <v>55</v>
      </c>
      <c r="H468" s="10" t="s">
        <v>69</v>
      </c>
      <c r="I468" s="10" t="s">
        <v>73</v>
      </c>
    </row>
    <row r="469" spans="1:9" x14ac:dyDescent="0.25">
      <c r="A469" s="11" t="s">
        <v>553</v>
      </c>
      <c r="B469" s="12">
        <v>45698</v>
      </c>
      <c r="C469" s="11" t="s">
        <v>53</v>
      </c>
      <c r="D469" s="11" t="s">
        <v>92</v>
      </c>
      <c r="E469" s="13">
        <v>9</v>
      </c>
      <c r="F469" s="14">
        <v>0.2</v>
      </c>
      <c r="G469" s="15" t="s">
        <v>55</v>
      </c>
      <c r="H469" s="15" t="s">
        <v>56</v>
      </c>
      <c r="I469" s="15" t="s">
        <v>65</v>
      </c>
    </row>
    <row r="470" spans="1:9" x14ac:dyDescent="0.25">
      <c r="A470" s="6" t="s">
        <v>554</v>
      </c>
      <c r="B470" s="7">
        <v>45746</v>
      </c>
      <c r="C470" s="6" t="s">
        <v>80</v>
      </c>
      <c r="D470" s="6" t="s">
        <v>94</v>
      </c>
      <c r="E470" s="8">
        <v>4</v>
      </c>
      <c r="F470" s="9">
        <v>0.05</v>
      </c>
      <c r="G470" s="10" t="s">
        <v>61</v>
      </c>
      <c r="H470" s="10" t="s">
        <v>69</v>
      </c>
      <c r="I470" s="10" t="s">
        <v>77</v>
      </c>
    </row>
    <row r="471" spans="1:9" x14ac:dyDescent="0.25">
      <c r="A471" s="11" t="s">
        <v>555</v>
      </c>
      <c r="B471" s="12">
        <v>46007</v>
      </c>
      <c r="C471" s="11" t="s">
        <v>80</v>
      </c>
      <c r="D471" s="11" t="s">
        <v>92</v>
      </c>
      <c r="E471" s="13">
        <v>11</v>
      </c>
      <c r="F471" s="14">
        <v>0.05</v>
      </c>
      <c r="G471" s="15" t="s">
        <v>68</v>
      </c>
      <c r="H471" s="15" t="s">
        <v>69</v>
      </c>
      <c r="I471" s="15" t="s">
        <v>77</v>
      </c>
    </row>
    <row r="472" spans="1:9" x14ac:dyDescent="0.25">
      <c r="A472" s="6" t="s">
        <v>556</v>
      </c>
      <c r="B472" s="7">
        <v>45702</v>
      </c>
      <c r="C472" s="6" t="s">
        <v>116</v>
      </c>
      <c r="D472" s="6" t="s">
        <v>92</v>
      </c>
      <c r="E472" s="8">
        <v>9</v>
      </c>
      <c r="F472" s="9">
        <v>0.1</v>
      </c>
      <c r="G472" s="10" t="s">
        <v>68</v>
      </c>
      <c r="H472" s="10" t="s">
        <v>83</v>
      </c>
      <c r="I472" s="10" t="s">
        <v>65</v>
      </c>
    </row>
    <row r="473" spans="1:9" x14ac:dyDescent="0.25">
      <c r="A473" s="11" t="s">
        <v>557</v>
      </c>
      <c r="B473" s="12">
        <v>45664</v>
      </c>
      <c r="C473" s="11" t="s">
        <v>116</v>
      </c>
      <c r="D473" s="11" t="s">
        <v>72</v>
      </c>
      <c r="E473" s="13">
        <v>2</v>
      </c>
      <c r="F473" s="14">
        <v>0.15</v>
      </c>
      <c r="G473" s="15" t="s">
        <v>55</v>
      </c>
      <c r="H473" s="15" t="s">
        <v>56</v>
      </c>
      <c r="I473" s="15" t="s">
        <v>77</v>
      </c>
    </row>
    <row r="474" spans="1:9" x14ac:dyDescent="0.25">
      <c r="A474" s="6" t="s">
        <v>558</v>
      </c>
      <c r="B474" s="7">
        <v>45712</v>
      </c>
      <c r="C474" s="6" t="s">
        <v>59</v>
      </c>
      <c r="D474" s="6" t="s">
        <v>76</v>
      </c>
      <c r="E474" s="8">
        <v>30</v>
      </c>
      <c r="F474" s="9">
        <v>0.2</v>
      </c>
      <c r="G474" s="10" t="s">
        <v>68</v>
      </c>
      <c r="H474" s="10" t="s">
        <v>69</v>
      </c>
      <c r="I474" s="10" t="s">
        <v>73</v>
      </c>
    </row>
    <row r="475" spans="1:9" x14ac:dyDescent="0.25">
      <c r="A475" s="11" t="s">
        <v>559</v>
      </c>
      <c r="B475" s="12">
        <v>45854</v>
      </c>
      <c r="C475" s="11" t="s">
        <v>105</v>
      </c>
      <c r="D475" s="11" t="s">
        <v>60</v>
      </c>
      <c r="E475" s="13">
        <v>22</v>
      </c>
      <c r="F475" s="14">
        <v>0.15</v>
      </c>
      <c r="G475" s="15" t="s">
        <v>61</v>
      </c>
      <c r="H475" s="15" t="s">
        <v>56</v>
      </c>
      <c r="I475" s="15" t="s">
        <v>73</v>
      </c>
    </row>
    <row r="476" spans="1:9" x14ac:dyDescent="0.25">
      <c r="A476" s="6" t="s">
        <v>560</v>
      </c>
      <c r="B476" s="7">
        <v>45864</v>
      </c>
      <c r="C476" s="6" t="s">
        <v>116</v>
      </c>
      <c r="D476" s="6" t="s">
        <v>94</v>
      </c>
      <c r="E476" s="8">
        <v>1</v>
      </c>
      <c r="F476" s="9">
        <v>0.15</v>
      </c>
      <c r="G476" s="10" t="s">
        <v>68</v>
      </c>
      <c r="H476" s="10" t="s">
        <v>83</v>
      </c>
      <c r="I476" s="10" t="s">
        <v>57</v>
      </c>
    </row>
    <row r="477" spans="1:9" x14ac:dyDescent="0.25">
      <c r="A477" s="11" t="s">
        <v>561</v>
      </c>
      <c r="B477" s="12">
        <v>45683</v>
      </c>
      <c r="C477" s="11" t="s">
        <v>105</v>
      </c>
      <c r="D477" s="11" t="s">
        <v>85</v>
      </c>
      <c r="E477" s="13">
        <v>14</v>
      </c>
      <c r="F477" s="14">
        <v>0</v>
      </c>
      <c r="G477" s="15" t="s">
        <v>68</v>
      </c>
      <c r="H477" s="15" t="s">
        <v>69</v>
      </c>
      <c r="I477" s="15" t="s">
        <v>73</v>
      </c>
    </row>
    <row r="478" spans="1:9" x14ac:dyDescent="0.25">
      <c r="A478" s="6" t="s">
        <v>562</v>
      </c>
      <c r="B478" s="7">
        <v>45801</v>
      </c>
      <c r="C478" s="6" t="s">
        <v>105</v>
      </c>
      <c r="D478" s="6" t="s">
        <v>111</v>
      </c>
      <c r="E478" s="8">
        <v>12</v>
      </c>
      <c r="F478" s="9">
        <v>0</v>
      </c>
      <c r="G478" s="10" t="s">
        <v>55</v>
      </c>
      <c r="H478" s="10" t="s">
        <v>56</v>
      </c>
      <c r="I478" s="10" t="s">
        <v>73</v>
      </c>
    </row>
    <row r="479" spans="1:9" x14ac:dyDescent="0.25">
      <c r="A479" s="11" t="s">
        <v>563</v>
      </c>
      <c r="B479" s="12">
        <v>45884</v>
      </c>
      <c r="C479" s="11" t="s">
        <v>71</v>
      </c>
      <c r="D479" s="11" t="s">
        <v>72</v>
      </c>
      <c r="E479" s="13">
        <v>5</v>
      </c>
      <c r="F479" s="14">
        <v>0.15</v>
      </c>
      <c r="G479" s="15" t="s">
        <v>61</v>
      </c>
      <c r="H479" s="15" t="s">
        <v>56</v>
      </c>
      <c r="I479" s="15" t="s">
        <v>65</v>
      </c>
    </row>
    <row r="480" spans="1:9" x14ac:dyDescent="0.25">
      <c r="A480" s="6" t="s">
        <v>564</v>
      </c>
      <c r="B480" s="7">
        <v>45766</v>
      </c>
      <c r="C480" s="6" t="s">
        <v>116</v>
      </c>
      <c r="D480" s="6" t="s">
        <v>103</v>
      </c>
      <c r="E480" s="8">
        <v>12</v>
      </c>
      <c r="F480" s="9">
        <v>0.15</v>
      </c>
      <c r="G480" s="10" t="s">
        <v>68</v>
      </c>
      <c r="H480" s="10" t="s">
        <v>56</v>
      </c>
      <c r="I480" s="10" t="s">
        <v>57</v>
      </c>
    </row>
    <row r="481" spans="1:9" x14ac:dyDescent="0.25">
      <c r="A481" s="11" t="s">
        <v>565</v>
      </c>
      <c r="B481" s="12">
        <v>45691</v>
      </c>
      <c r="C481" s="11" t="s">
        <v>116</v>
      </c>
      <c r="D481" s="11" t="s">
        <v>67</v>
      </c>
      <c r="E481" s="13">
        <v>3</v>
      </c>
      <c r="F481" s="14">
        <v>0.2</v>
      </c>
      <c r="G481" s="15" t="s">
        <v>61</v>
      </c>
      <c r="H481" s="15" t="s">
        <v>56</v>
      </c>
      <c r="I481" s="15" t="s">
        <v>57</v>
      </c>
    </row>
    <row r="482" spans="1:9" x14ac:dyDescent="0.25">
      <c r="A482" s="6" t="s">
        <v>566</v>
      </c>
      <c r="B482" s="7">
        <v>45760</v>
      </c>
      <c r="C482" s="6" t="s">
        <v>53</v>
      </c>
      <c r="D482" s="6" t="s">
        <v>111</v>
      </c>
      <c r="E482" s="8">
        <v>4</v>
      </c>
      <c r="F482" s="9">
        <v>0</v>
      </c>
      <c r="G482" s="10" t="s">
        <v>64</v>
      </c>
      <c r="H482" s="10" t="s">
        <v>56</v>
      </c>
      <c r="I482" s="10" t="s">
        <v>73</v>
      </c>
    </row>
    <row r="483" spans="1:9" x14ac:dyDescent="0.25">
      <c r="A483" s="11" t="s">
        <v>567</v>
      </c>
      <c r="B483" s="12">
        <v>46018</v>
      </c>
      <c r="C483" s="11" t="s">
        <v>75</v>
      </c>
      <c r="D483" s="11" t="s">
        <v>88</v>
      </c>
      <c r="E483" s="13">
        <v>6</v>
      </c>
      <c r="F483" s="14">
        <v>0.15</v>
      </c>
      <c r="G483" s="15" t="s">
        <v>64</v>
      </c>
      <c r="H483" s="15" t="s">
        <v>83</v>
      </c>
      <c r="I483" s="15" t="s">
        <v>77</v>
      </c>
    </row>
    <row r="484" spans="1:9" x14ac:dyDescent="0.25">
      <c r="A484" s="6" t="s">
        <v>568</v>
      </c>
      <c r="B484" s="7">
        <v>46006</v>
      </c>
      <c r="C484" s="6" t="s">
        <v>80</v>
      </c>
      <c r="D484" s="6" t="s">
        <v>120</v>
      </c>
      <c r="E484" s="8">
        <v>6</v>
      </c>
      <c r="F484" s="9">
        <v>0.15</v>
      </c>
      <c r="G484" s="10" t="s">
        <v>64</v>
      </c>
      <c r="H484" s="10" t="s">
        <v>56</v>
      </c>
      <c r="I484" s="10" t="s">
        <v>65</v>
      </c>
    </row>
    <row r="485" spans="1:9" x14ac:dyDescent="0.25">
      <c r="A485" s="11" t="s">
        <v>569</v>
      </c>
      <c r="B485" s="12">
        <v>45958</v>
      </c>
      <c r="C485" s="11" t="s">
        <v>71</v>
      </c>
      <c r="D485" s="11" t="s">
        <v>63</v>
      </c>
      <c r="E485" s="13">
        <v>8</v>
      </c>
      <c r="F485" s="14">
        <v>0.1</v>
      </c>
      <c r="G485" s="15" t="s">
        <v>61</v>
      </c>
      <c r="H485" s="15" t="s">
        <v>69</v>
      </c>
      <c r="I485" s="15" t="s">
        <v>77</v>
      </c>
    </row>
    <row r="486" spans="1:9" x14ac:dyDescent="0.25">
      <c r="A486" s="6" t="s">
        <v>570</v>
      </c>
      <c r="B486" s="7">
        <v>45855</v>
      </c>
      <c r="C486" s="6" t="s">
        <v>90</v>
      </c>
      <c r="D486" s="6" t="s">
        <v>120</v>
      </c>
      <c r="E486" s="8">
        <v>10</v>
      </c>
      <c r="F486" s="9">
        <v>0.05</v>
      </c>
      <c r="G486" s="10" t="s">
        <v>55</v>
      </c>
      <c r="H486" s="10" t="s">
        <v>83</v>
      </c>
      <c r="I486" s="10" t="s">
        <v>57</v>
      </c>
    </row>
    <row r="487" spans="1:9" x14ac:dyDescent="0.25">
      <c r="A487" s="11" t="s">
        <v>571</v>
      </c>
      <c r="B487" s="12">
        <v>46004</v>
      </c>
      <c r="C487" s="11" t="s">
        <v>75</v>
      </c>
      <c r="D487" s="11" t="s">
        <v>88</v>
      </c>
      <c r="E487" s="13">
        <v>11</v>
      </c>
      <c r="F487" s="14">
        <v>0.15</v>
      </c>
      <c r="G487" s="15" t="s">
        <v>61</v>
      </c>
      <c r="H487" s="15" t="s">
        <v>83</v>
      </c>
      <c r="I487" s="15" t="s">
        <v>77</v>
      </c>
    </row>
    <row r="488" spans="1:9" x14ac:dyDescent="0.25">
      <c r="A488" s="6" t="s">
        <v>572</v>
      </c>
      <c r="B488" s="7">
        <v>45900</v>
      </c>
      <c r="C488" s="6" t="s">
        <v>90</v>
      </c>
      <c r="D488" s="6" t="s">
        <v>103</v>
      </c>
      <c r="E488" s="8">
        <v>11</v>
      </c>
      <c r="F488" s="9">
        <v>0.05</v>
      </c>
      <c r="G488" s="10" t="s">
        <v>61</v>
      </c>
      <c r="H488" s="10" t="s">
        <v>56</v>
      </c>
      <c r="I488" s="10" t="s">
        <v>73</v>
      </c>
    </row>
    <row r="489" spans="1:9" x14ac:dyDescent="0.25">
      <c r="A489" s="11" t="s">
        <v>573</v>
      </c>
      <c r="B489" s="12">
        <v>45969</v>
      </c>
      <c r="C489" s="11" t="s">
        <v>75</v>
      </c>
      <c r="D489" s="11" t="s">
        <v>72</v>
      </c>
      <c r="E489" s="13">
        <v>12</v>
      </c>
      <c r="F489" s="14">
        <v>0.1</v>
      </c>
      <c r="G489" s="15" t="s">
        <v>64</v>
      </c>
      <c r="H489" s="15" t="s">
        <v>69</v>
      </c>
      <c r="I489" s="15" t="s">
        <v>73</v>
      </c>
    </row>
    <row r="490" spans="1:9" x14ac:dyDescent="0.25">
      <c r="A490" s="6" t="s">
        <v>574</v>
      </c>
      <c r="B490" s="7">
        <v>45893</v>
      </c>
      <c r="C490" s="6" t="s">
        <v>80</v>
      </c>
      <c r="D490" s="6" t="s">
        <v>67</v>
      </c>
      <c r="E490" s="8">
        <v>8</v>
      </c>
      <c r="F490" s="9">
        <v>0.1</v>
      </c>
      <c r="G490" s="10" t="s">
        <v>64</v>
      </c>
      <c r="H490" s="10" t="s">
        <v>83</v>
      </c>
      <c r="I490" s="10" t="s">
        <v>77</v>
      </c>
    </row>
    <row r="491" spans="1:9" x14ac:dyDescent="0.25">
      <c r="A491" s="11" t="s">
        <v>575</v>
      </c>
      <c r="B491" s="12">
        <v>45661</v>
      </c>
      <c r="C491" s="11" t="s">
        <v>71</v>
      </c>
      <c r="D491" s="11" t="s">
        <v>63</v>
      </c>
      <c r="E491" s="13">
        <v>23</v>
      </c>
      <c r="F491" s="14">
        <v>0.2</v>
      </c>
      <c r="G491" s="15" t="s">
        <v>68</v>
      </c>
      <c r="H491" s="15" t="s">
        <v>69</v>
      </c>
      <c r="I491" s="15" t="s">
        <v>77</v>
      </c>
    </row>
    <row r="492" spans="1:9" x14ac:dyDescent="0.25">
      <c r="A492" s="6" t="s">
        <v>576</v>
      </c>
      <c r="B492" s="7">
        <v>45904</v>
      </c>
      <c r="C492" s="6" t="s">
        <v>71</v>
      </c>
      <c r="D492" s="6" t="s">
        <v>54</v>
      </c>
      <c r="E492" s="8">
        <v>5</v>
      </c>
      <c r="F492" s="9">
        <v>0.1</v>
      </c>
      <c r="G492" s="10" t="s">
        <v>68</v>
      </c>
      <c r="H492" s="10" t="s">
        <v>69</v>
      </c>
      <c r="I492" s="10" t="s">
        <v>73</v>
      </c>
    </row>
    <row r="493" spans="1:9" x14ac:dyDescent="0.25">
      <c r="A493" s="11" t="s">
        <v>577</v>
      </c>
      <c r="B493" s="12">
        <v>45754</v>
      </c>
      <c r="C493" s="11" t="s">
        <v>80</v>
      </c>
      <c r="D493" s="11" t="s">
        <v>94</v>
      </c>
      <c r="E493" s="13">
        <v>1</v>
      </c>
      <c r="F493" s="14">
        <v>0.2</v>
      </c>
      <c r="G493" s="15" t="s">
        <v>64</v>
      </c>
      <c r="H493" s="15" t="s">
        <v>83</v>
      </c>
      <c r="I493" s="15" t="s">
        <v>73</v>
      </c>
    </row>
    <row r="494" spans="1:9" x14ac:dyDescent="0.25">
      <c r="A494" s="6" t="s">
        <v>578</v>
      </c>
      <c r="B494" s="7">
        <v>46006</v>
      </c>
      <c r="C494" s="6" t="s">
        <v>53</v>
      </c>
      <c r="D494" s="6" t="s">
        <v>94</v>
      </c>
      <c r="E494" s="8">
        <v>11</v>
      </c>
      <c r="F494" s="9">
        <v>0.15</v>
      </c>
      <c r="G494" s="10" t="s">
        <v>68</v>
      </c>
      <c r="H494" s="10" t="s">
        <v>69</v>
      </c>
      <c r="I494" s="10" t="s">
        <v>65</v>
      </c>
    </row>
    <row r="495" spans="1:9" x14ac:dyDescent="0.25">
      <c r="A495" s="11" t="s">
        <v>579</v>
      </c>
      <c r="B495" s="12">
        <v>45865</v>
      </c>
      <c r="C495" s="11" t="s">
        <v>53</v>
      </c>
      <c r="D495" s="11" t="s">
        <v>92</v>
      </c>
      <c r="E495" s="13">
        <v>10</v>
      </c>
      <c r="F495" s="14">
        <v>0.2</v>
      </c>
      <c r="G495" s="15" t="s">
        <v>55</v>
      </c>
      <c r="H495" s="15" t="s">
        <v>69</v>
      </c>
      <c r="I495" s="15" t="s">
        <v>57</v>
      </c>
    </row>
    <row r="496" spans="1:9" x14ac:dyDescent="0.25">
      <c r="A496" s="6" t="s">
        <v>580</v>
      </c>
      <c r="B496" s="7">
        <v>46009</v>
      </c>
      <c r="C496" s="6" t="s">
        <v>105</v>
      </c>
      <c r="D496" s="6" t="s">
        <v>63</v>
      </c>
      <c r="E496" s="8">
        <v>14</v>
      </c>
      <c r="F496" s="9">
        <v>0.2</v>
      </c>
      <c r="G496" s="10" t="s">
        <v>68</v>
      </c>
      <c r="H496" s="10" t="s">
        <v>56</v>
      </c>
      <c r="I496" s="10" t="s">
        <v>57</v>
      </c>
    </row>
    <row r="497" spans="1:9" x14ac:dyDescent="0.25">
      <c r="A497" s="11" t="s">
        <v>581</v>
      </c>
      <c r="B497" s="12">
        <v>45808</v>
      </c>
      <c r="C497" s="11" t="s">
        <v>105</v>
      </c>
      <c r="D497" s="11" t="s">
        <v>54</v>
      </c>
      <c r="E497" s="13">
        <v>3</v>
      </c>
      <c r="F497" s="14">
        <v>0.1</v>
      </c>
      <c r="G497" s="15" t="s">
        <v>55</v>
      </c>
      <c r="H497" s="15" t="s">
        <v>83</v>
      </c>
      <c r="I497" s="15" t="s">
        <v>73</v>
      </c>
    </row>
    <row r="498" spans="1:9" x14ac:dyDescent="0.25">
      <c r="A498" s="6" t="s">
        <v>582</v>
      </c>
      <c r="B498" s="7">
        <v>45993</v>
      </c>
      <c r="C498" s="6" t="s">
        <v>80</v>
      </c>
      <c r="D498" s="6" t="s">
        <v>54</v>
      </c>
      <c r="E498" s="8">
        <v>6</v>
      </c>
      <c r="F498" s="9">
        <v>0.05</v>
      </c>
      <c r="G498" s="10" t="s">
        <v>68</v>
      </c>
      <c r="H498" s="10" t="s">
        <v>69</v>
      </c>
      <c r="I498" s="10" t="s">
        <v>73</v>
      </c>
    </row>
    <row r="499" spans="1:9" x14ac:dyDescent="0.25">
      <c r="A499" s="11" t="s">
        <v>583</v>
      </c>
      <c r="B499" s="12">
        <v>45848</v>
      </c>
      <c r="C499" s="11" t="s">
        <v>75</v>
      </c>
      <c r="D499" s="11" t="s">
        <v>67</v>
      </c>
      <c r="E499" s="13">
        <v>8</v>
      </c>
      <c r="F499" s="14">
        <v>0</v>
      </c>
      <c r="G499" s="15" t="s">
        <v>64</v>
      </c>
      <c r="H499" s="15" t="s">
        <v>56</v>
      </c>
      <c r="I499" s="15" t="s">
        <v>77</v>
      </c>
    </row>
    <row r="500" spans="1:9" x14ac:dyDescent="0.25">
      <c r="A500" s="6" t="s">
        <v>584</v>
      </c>
      <c r="B500" s="7">
        <v>45899</v>
      </c>
      <c r="C500" s="6" t="s">
        <v>80</v>
      </c>
      <c r="D500" s="6" t="s">
        <v>103</v>
      </c>
      <c r="E500" s="8">
        <v>9</v>
      </c>
      <c r="F500" s="9">
        <v>0</v>
      </c>
      <c r="G500" s="10" t="s">
        <v>64</v>
      </c>
      <c r="H500" s="10" t="s">
        <v>83</v>
      </c>
      <c r="I500" s="10" t="s">
        <v>73</v>
      </c>
    </row>
    <row r="501" spans="1:9" x14ac:dyDescent="0.25">
      <c r="A501" s="11" t="s">
        <v>585</v>
      </c>
      <c r="B501" s="12">
        <v>45869</v>
      </c>
      <c r="C501" s="11" t="s">
        <v>90</v>
      </c>
      <c r="D501" s="11" t="s">
        <v>120</v>
      </c>
      <c r="E501" s="13">
        <v>3</v>
      </c>
      <c r="F501" s="14">
        <v>0.05</v>
      </c>
      <c r="G501" s="15" t="s">
        <v>68</v>
      </c>
      <c r="H501" s="15" t="s">
        <v>69</v>
      </c>
      <c r="I501" s="15" t="s">
        <v>65</v>
      </c>
    </row>
    <row r="502" spans="1:9" x14ac:dyDescent="0.25">
      <c r="A502" s="6" t="s">
        <v>586</v>
      </c>
      <c r="B502" s="7">
        <v>45731</v>
      </c>
      <c r="C502" s="6" t="s">
        <v>90</v>
      </c>
      <c r="D502" s="6" t="s">
        <v>82</v>
      </c>
      <c r="E502" s="8">
        <v>2</v>
      </c>
      <c r="F502" s="9">
        <v>0.15</v>
      </c>
      <c r="G502" s="10" t="s">
        <v>68</v>
      </c>
      <c r="H502" s="10" t="s">
        <v>83</v>
      </c>
      <c r="I502" s="10" t="s">
        <v>57</v>
      </c>
    </row>
    <row r="503" spans="1:9" x14ac:dyDescent="0.25">
      <c r="A503" s="11" t="s">
        <v>587</v>
      </c>
      <c r="B503" s="12">
        <v>45818</v>
      </c>
      <c r="C503" s="11" t="s">
        <v>53</v>
      </c>
      <c r="D503" s="11" t="s">
        <v>60</v>
      </c>
      <c r="E503" s="13">
        <v>17</v>
      </c>
      <c r="F503" s="14">
        <v>0.1</v>
      </c>
      <c r="G503" s="15" t="s">
        <v>55</v>
      </c>
      <c r="H503" s="15" t="s">
        <v>56</v>
      </c>
      <c r="I503" s="15" t="s">
        <v>57</v>
      </c>
    </row>
    <row r="504" spans="1:9" x14ac:dyDescent="0.25">
      <c r="A504" s="6" t="s">
        <v>588</v>
      </c>
      <c r="B504" s="7">
        <v>45908</v>
      </c>
      <c r="C504" s="6" t="s">
        <v>59</v>
      </c>
      <c r="D504" s="6" t="s">
        <v>72</v>
      </c>
      <c r="E504" s="8">
        <v>3</v>
      </c>
      <c r="F504" s="9">
        <v>0.2</v>
      </c>
      <c r="G504" s="10" t="s">
        <v>64</v>
      </c>
      <c r="H504" s="10" t="s">
        <v>83</v>
      </c>
      <c r="I504" s="10" t="s">
        <v>65</v>
      </c>
    </row>
    <row r="505" spans="1:9" x14ac:dyDescent="0.25">
      <c r="A505" s="11" t="s">
        <v>589</v>
      </c>
      <c r="B505" s="12">
        <v>45864</v>
      </c>
      <c r="C505" s="11" t="s">
        <v>105</v>
      </c>
      <c r="D505" s="11" t="s">
        <v>92</v>
      </c>
      <c r="E505" s="13">
        <v>7</v>
      </c>
      <c r="F505" s="14">
        <v>0</v>
      </c>
      <c r="G505" s="15" t="s">
        <v>61</v>
      </c>
      <c r="H505" s="15" t="s">
        <v>83</v>
      </c>
      <c r="I505" s="15" t="s">
        <v>57</v>
      </c>
    </row>
    <row r="506" spans="1:9" x14ac:dyDescent="0.25">
      <c r="A506" s="6" t="s">
        <v>590</v>
      </c>
      <c r="B506" s="7">
        <v>45849</v>
      </c>
      <c r="C506" s="6" t="s">
        <v>71</v>
      </c>
      <c r="D506" s="6" t="s">
        <v>120</v>
      </c>
      <c r="E506" s="8">
        <v>9</v>
      </c>
      <c r="F506" s="9">
        <v>0.05</v>
      </c>
      <c r="G506" s="10" t="s">
        <v>61</v>
      </c>
      <c r="H506" s="10" t="s">
        <v>83</v>
      </c>
      <c r="I506" s="10" t="s">
        <v>77</v>
      </c>
    </row>
    <row r="507" spans="1:9" x14ac:dyDescent="0.25">
      <c r="A507" s="11" t="s">
        <v>591</v>
      </c>
      <c r="B507" s="12">
        <v>45978</v>
      </c>
      <c r="C507" s="11" t="s">
        <v>80</v>
      </c>
      <c r="D507" s="11" t="s">
        <v>85</v>
      </c>
      <c r="E507" s="13">
        <v>25</v>
      </c>
      <c r="F507" s="14">
        <v>0.1</v>
      </c>
      <c r="G507" s="15" t="s">
        <v>68</v>
      </c>
      <c r="H507" s="15" t="s">
        <v>56</v>
      </c>
      <c r="I507" s="15" t="s">
        <v>77</v>
      </c>
    </row>
    <row r="508" spans="1:9" x14ac:dyDescent="0.25">
      <c r="A508" s="6" t="s">
        <v>592</v>
      </c>
      <c r="B508" s="7">
        <v>45854</v>
      </c>
      <c r="C508" s="6" t="s">
        <v>75</v>
      </c>
      <c r="D508" s="6" t="s">
        <v>63</v>
      </c>
      <c r="E508" s="8">
        <v>5</v>
      </c>
      <c r="F508" s="9">
        <v>0</v>
      </c>
      <c r="G508" s="10" t="s">
        <v>68</v>
      </c>
      <c r="H508" s="10" t="s">
        <v>69</v>
      </c>
      <c r="I508" s="10" t="s">
        <v>65</v>
      </c>
    </row>
    <row r="509" spans="1:9" x14ac:dyDescent="0.25">
      <c r="A509" s="11" t="s">
        <v>593</v>
      </c>
      <c r="B509" s="12">
        <v>45924</v>
      </c>
      <c r="C509" s="11" t="s">
        <v>71</v>
      </c>
      <c r="D509" s="11" t="s">
        <v>76</v>
      </c>
      <c r="E509" s="13">
        <v>24</v>
      </c>
      <c r="F509" s="14">
        <v>0.05</v>
      </c>
      <c r="G509" s="15" t="s">
        <v>68</v>
      </c>
      <c r="H509" s="15" t="s">
        <v>69</v>
      </c>
      <c r="I509" s="15" t="s">
        <v>73</v>
      </c>
    </row>
    <row r="510" spans="1:9" x14ac:dyDescent="0.25">
      <c r="A510" s="6" t="s">
        <v>594</v>
      </c>
      <c r="B510" s="7">
        <v>45754</v>
      </c>
      <c r="C510" s="6" t="s">
        <v>116</v>
      </c>
      <c r="D510" s="6" t="s">
        <v>94</v>
      </c>
      <c r="E510" s="8">
        <v>1</v>
      </c>
      <c r="F510" s="9">
        <v>0.05</v>
      </c>
      <c r="G510" s="10" t="s">
        <v>55</v>
      </c>
      <c r="H510" s="10" t="s">
        <v>83</v>
      </c>
      <c r="I510" s="10" t="s">
        <v>57</v>
      </c>
    </row>
    <row r="511" spans="1:9" x14ac:dyDescent="0.25">
      <c r="A511" s="11" t="s">
        <v>595</v>
      </c>
      <c r="B511" s="12">
        <v>45766</v>
      </c>
      <c r="C511" s="11" t="s">
        <v>53</v>
      </c>
      <c r="D511" s="11" t="s">
        <v>85</v>
      </c>
      <c r="E511" s="13">
        <v>19</v>
      </c>
      <c r="F511" s="14">
        <v>0.05</v>
      </c>
      <c r="G511" s="15" t="s">
        <v>61</v>
      </c>
      <c r="H511" s="15" t="s">
        <v>69</v>
      </c>
      <c r="I511" s="15" t="s">
        <v>77</v>
      </c>
    </row>
    <row r="512" spans="1:9" x14ac:dyDescent="0.25">
      <c r="A512" s="6" t="s">
        <v>596</v>
      </c>
      <c r="B512" s="7">
        <v>45850</v>
      </c>
      <c r="C512" s="6" t="s">
        <v>75</v>
      </c>
      <c r="D512" s="6" t="s">
        <v>103</v>
      </c>
      <c r="E512" s="8">
        <v>9</v>
      </c>
      <c r="F512" s="9">
        <v>0.2</v>
      </c>
      <c r="G512" s="10" t="s">
        <v>61</v>
      </c>
      <c r="H512" s="10" t="s">
        <v>83</v>
      </c>
      <c r="I512" s="10" t="s">
        <v>77</v>
      </c>
    </row>
    <row r="513" spans="1:9" x14ac:dyDescent="0.25">
      <c r="A513" s="11" t="s">
        <v>597</v>
      </c>
      <c r="B513" s="12">
        <v>45996</v>
      </c>
      <c r="C513" s="11" t="s">
        <v>53</v>
      </c>
      <c r="D513" s="11" t="s">
        <v>54</v>
      </c>
      <c r="E513" s="13">
        <v>1</v>
      </c>
      <c r="F513" s="14">
        <v>0</v>
      </c>
      <c r="G513" s="15" t="s">
        <v>64</v>
      </c>
      <c r="H513" s="15" t="s">
        <v>69</v>
      </c>
      <c r="I513" s="15" t="s">
        <v>65</v>
      </c>
    </row>
    <row r="514" spans="1:9" x14ac:dyDescent="0.25">
      <c r="A514" s="6" t="s">
        <v>598</v>
      </c>
      <c r="B514" s="7">
        <v>45721</v>
      </c>
      <c r="C514" s="6" t="s">
        <v>75</v>
      </c>
      <c r="D514" s="6" t="s">
        <v>63</v>
      </c>
      <c r="E514" s="8">
        <v>25</v>
      </c>
      <c r="F514" s="9">
        <v>0.05</v>
      </c>
      <c r="G514" s="10" t="s">
        <v>55</v>
      </c>
      <c r="H514" s="10" t="s">
        <v>83</v>
      </c>
      <c r="I514" s="10" t="s">
        <v>77</v>
      </c>
    </row>
    <row r="515" spans="1:9" x14ac:dyDescent="0.25">
      <c r="A515" s="11" t="s">
        <v>599</v>
      </c>
      <c r="B515" s="12">
        <v>45812</v>
      </c>
      <c r="C515" s="11" t="s">
        <v>59</v>
      </c>
      <c r="D515" s="11" t="s">
        <v>92</v>
      </c>
      <c r="E515" s="13">
        <v>11</v>
      </c>
      <c r="F515" s="14">
        <v>0.2</v>
      </c>
      <c r="G515" s="15" t="s">
        <v>68</v>
      </c>
      <c r="H515" s="15" t="s">
        <v>83</v>
      </c>
      <c r="I515" s="15" t="s">
        <v>57</v>
      </c>
    </row>
    <row r="516" spans="1:9" x14ac:dyDescent="0.25">
      <c r="A516" s="6" t="s">
        <v>600</v>
      </c>
      <c r="B516" s="7">
        <v>45872</v>
      </c>
      <c r="C516" s="6" t="s">
        <v>59</v>
      </c>
      <c r="D516" s="6" t="s">
        <v>111</v>
      </c>
      <c r="E516" s="8">
        <v>9</v>
      </c>
      <c r="F516" s="9">
        <v>0.2</v>
      </c>
      <c r="G516" s="10" t="s">
        <v>61</v>
      </c>
      <c r="H516" s="10" t="s">
        <v>69</v>
      </c>
      <c r="I516" s="10" t="s">
        <v>77</v>
      </c>
    </row>
    <row r="517" spans="1:9" x14ac:dyDescent="0.25">
      <c r="A517" s="11" t="s">
        <v>601</v>
      </c>
      <c r="B517" s="12">
        <v>45712</v>
      </c>
      <c r="C517" s="11" t="s">
        <v>80</v>
      </c>
      <c r="D517" s="11" t="s">
        <v>96</v>
      </c>
      <c r="E517" s="13">
        <v>10</v>
      </c>
      <c r="F517" s="14">
        <v>0.05</v>
      </c>
      <c r="G517" s="15" t="s">
        <v>68</v>
      </c>
      <c r="H517" s="15" t="s">
        <v>83</v>
      </c>
      <c r="I517" s="15" t="s">
        <v>57</v>
      </c>
    </row>
    <row r="518" spans="1:9" x14ac:dyDescent="0.25">
      <c r="A518" s="6" t="s">
        <v>602</v>
      </c>
      <c r="B518" s="7">
        <v>45841</v>
      </c>
      <c r="C518" s="6" t="s">
        <v>116</v>
      </c>
      <c r="D518" s="6" t="s">
        <v>85</v>
      </c>
      <c r="E518" s="8">
        <v>8</v>
      </c>
      <c r="F518" s="9">
        <v>0</v>
      </c>
      <c r="G518" s="10" t="s">
        <v>64</v>
      </c>
      <c r="H518" s="10" t="s">
        <v>56</v>
      </c>
      <c r="I518" s="10" t="s">
        <v>65</v>
      </c>
    </row>
    <row r="519" spans="1:9" x14ac:dyDescent="0.25">
      <c r="A519" s="11" t="s">
        <v>603</v>
      </c>
      <c r="B519" s="12">
        <v>45827</v>
      </c>
      <c r="C519" s="11" t="s">
        <v>53</v>
      </c>
      <c r="D519" s="11" t="s">
        <v>88</v>
      </c>
      <c r="E519" s="13">
        <v>1</v>
      </c>
      <c r="F519" s="14">
        <v>0</v>
      </c>
      <c r="G519" s="15" t="s">
        <v>61</v>
      </c>
      <c r="H519" s="15" t="s">
        <v>83</v>
      </c>
      <c r="I519" s="15" t="s">
        <v>65</v>
      </c>
    </row>
    <row r="520" spans="1:9" x14ac:dyDescent="0.25">
      <c r="A520" s="6" t="s">
        <v>604</v>
      </c>
      <c r="B520" s="7">
        <v>45734</v>
      </c>
      <c r="C520" s="6" t="s">
        <v>59</v>
      </c>
      <c r="D520" s="6" t="s">
        <v>54</v>
      </c>
      <c r="E520" s="8">
        <v>12</v>
      </c>
      <c r="F520" s="9">
        <v>0</v>
      </c>
      <c r="G520" s="10" t="s">
        <v>68</v>
      </c>
      <c r="H520" s="10" t="s">
        <v>83</v>
      </c>
      <c r="I520" s="10" t="s">
        <v>57</v>
      </c>
    </row>
    <row r="521" spans="1:9" x14ac:dyDescent="0.25">
      <c r="A521" s="11" t="s">
        <v>605</v>
      </c>
      <c r="B521" s="12">
        <v>45891</v>
      </c>
      <c r="C521" s="11" t="s">
        <v>75</v>
      </c>
      <c r="D521" s="11" t="s">
        <v>67</v>
      </c>
      <c r="E521" s="13">
        <v>8</v>
      </c>
      <c r="F521" s="14">
        <v>0</v>
      </c>
      <c r="G521" s="15" t="s">
        <v>61</v>
      </c>
      <c r="H521" s="15" t="s">
        <v>56</v>
      </c>
      <c r="I521" s="15" t="s">
        <v>77</v>
      </c>
    </row>
    <row r="522" spans="1:9" x14ac:dyDescent="0.25">
      <c r="A522" s="6" t="s">
        <v>606</v>
      </c>
      <c r="B522" s="7">
        <v>45806</v>
      </c>
      <c r="C522" s="6" t="s">
        <v>71</v>
      </c>
      <c r="D522" s="6" t="s">
        <v>82</v>
      </c>
      <c r="E522" s="8">
        <v>7</v>
      </c>
      <c r="F522" s="9">
        <v>0</v>
      </c>
      <c r="G522" s="10" t="s">
        <v>61</v>
      </c>
      <c r="H522" s="10" t="s">
        <v>56</v>
      </c>
      <c r="I522" s="10" t="s">
        <v>77</v>
      </c>
    </row>
    <row r="523" spans="1:9" x14ac:dyDescent="0.25">
      <c r="A523" s="11" t="s">
        <v>607</v>
      </c>
      <c r="B523" s="12">
        <v>45728</v>
      </c>
      <c r="C523" s="11" t="s">
        <v>90</v>
      </c>
      <c r="D523" s="11" t="s">
        <v>60</v>
      </c>
      <c r="E523" s="13">
        <v>14</v>
      </c>
      <c r="F523" s="14">
        <v>0.15</v>
      </c>
      <c r="G523" s="15" t="s">
        <v>68</v>
      </c>
      <c r="H523" s="15" t="s">
        <v>83</v>
      </c>
      <c r="I523" s="15" t="s">
        <v>77</v>
      </c>
    </row>
    <row r="524" spans="1:9" x14ac:dyDescent="0.25">
      <c r="A524" s="6" t="s">
        <v>608</v>
      </c>
      <c r="B524" s="7">
        <v>45848</v>
      </c>
      <c r="C524" s="6" t="s">
        <v>71</v>
      </c>
      <c r="D524" s="6" t="s">
        <v>111</v>
      </c>
      <c r="E524" s="8">
        <v>3</v>
      </c>
      <c r="F524" s="9">
        <v>0</v>
      </c>
      <c r="G524" s="10" t="s">
        <v>64</v>
      </c>
      <c r="H524" s="10" t="s">
        <v>69</v>
      </c>
      <c r="I524" s="10" t="s">
        <v>65</v>
      </c>
    </row>
    <row r="525" spans="1:9" x14ac:dyDescent="0.25">
      <c r="A525" s="11" t="s">
        <v>609</v>
      </c>
      <c r="B525" s="12">
        <v>45797</v>
      </c>
      <c r="C525" s="11" t="s">
        <v>116</v>
      </c>
      <c r="D525" s="11" t="s">
        <v>111</v>
      </c>
      <c r="E525" s="13">
        <v>12</v>
      </c>
      <c r="F525" s="14">
        <v>0.15</v>
      </c>
      <c r="G525" s="15" t="s">
        <v>64</v>
      </c>
      <c r="H525" s="15" t="s">
        <v>83</v>
      </c>
      <c r="I525" s="15" t="s">
        <v>57</v>
      </c>
    </row>
    <row r="526" spans="1:9" x14ac:dyDescent="0.25">
      <c r="A526" s="6" t="s">
        <v>610</v>
      </c>
      <c r="B526" s="7">
        <v>45715</v>
      </c>
      <c r="C526" s="6" t="s">
        <v>53</v>
      </c>
      <c r="D526" s="6" t="s">
        <v>94</v>
      </c>
      <c r="E526" s="8">
        <v>3</v>
      </c>
      <c r="F526" s="9">
        <v>0</v>
      </c>
      <c r="G526" s="10" t="s">
        <v>64</v>
      </c>
      <c r="H526" s="10" t="s">
        <v>83</v>
      </c>
      <c r="I526" s="10" t="s">
        <v>65</v>
      </c>
    </row>
    <row r="527" spans="1:9" x14ac:dyDescent="0.25">
      <c r="A527" s="11" t="s">
        <v>611</v>
      </c>
      <c r="B527" s="12">
        <v>45949</v>
      </c>
      <c r="C527" s="11" t="s">
        <v>105</v>
      </c>
      <c r="D527" s="11" t="s">
        <v>60</v>
      </c>
      <c r="E527" s="13">
        <v>22</v>
      </c>
      <c r="F527" s="14">
        <v>0.15</v>
      </c>
      <c r="G527" s="15" t="s">
        <v>68</v>
      </c>
      <c r="H527" s="15" t="s">
        <v>83</v>
      </c>
      <c r="I527" s="15" t="s">
        <v>77</v>
      </c>
    </row>
    <row r="528" spans="1:9" x14ac:dyDescent="0.25">
      <c r="A528" s="6" t="s">
        <v>612</v>
      </c>
      <c r="B528" s="7">
        <v>46008</v>
      </c>
      <c r="C528" s="6" t="s">
        <v>90</v>
      </c>
      <c r="D528" s="6" t="s">
        <v>103</v>
      </c>
      <c r="E528" s="8">
        <v>8</v>
      </c>
      <c r="F528" s="9">
        <v>0.15</v>
      </c>
      <c r="G528" s="10" t="s">
        <v>61</v>
      </c>
      <c r="H528" s="10" t="s">
        <v>69</v>
      </c>
      <c r="I528" s="10" t="s">
        <v>65</v>
      </c>
    </row>
    <row r="529" spans="1:9" x14ac:dyDescent="0.25">
      <c r="A529" s="11" t="s">
        <v>613</v>
      </c>
      <c r="B529" s="12">
        <v>45681</v>
      </c>
      <c r="C529" s="11" t="s">
        <v>75</v>
      </c>
      <c r="D529" s="11" t="s">
        <v>54</v>
      </c>
      <c r="E529" s="13">
        <v>11</v>
      </c>
      <c r="F529" s="14">
        <v>0.1</v>
      </c>
      <c r="G529" s="15" t="s">
        <v>61</v>
      </c>
      <c r="H529" s="15" t="s">
        <v>83</v>
      </c>
      <c r="I529" s="15" t="s">
        <v>57</v>
      </c>
    </row>
    <row r="530" spans="1:9" x14ac:dyDescent="0.25">
      <c r="A530" s="6" t="s">
        <v>614</v>
      </c>
      <c r="B530" s="7">
        <v>46000</v>
      </c>
      <c r="C530" s="6" t="s">
        <v>71</v>
      </c>
      <c r="D530" s="6" t="s">
        <v>111</v>
      </c>
      <c r="E530" s="8">
        <v>9</v>
      </c>
      <c r="F530" s="9">
        <v>0.2</v>
      </c>
      <c r="G530" s="10" t="s">
        <v>61</v>
      </c>
      <c r="H530" s="10" t="s">
        <v>69</v>
      </c>
      <c r="I530" s="10" t="s">
        <v>57</v>
      </c>
    </row>
    <row r="531" spans="1:9" x14ac:dyDescent="0.25">
      <c r="A531" s="11" t="s">
        <v>615</v>
      </c>
      <c r="B531" s="12">
        <v>45904</v>
      </c>
      <c r="C531" s="11" t="s">
        <v>116</v>
      </c>
      <c r="D531" s="11" t="s">
        <v>82</v>
      </c>
      <c r="E531" s="13">
        <v>3</v>
      </c>
      <c r="F531" s="14">
        <v>0.2</v>
      </c>
      <c r="G531" s="15" t="s">
        <v>61</v>
      </c>
      <c r="H531" s="15" t="s">
        <v>56</v>
      </c>
      <c r="I531" s="15" t="s">
        <v>57</v>
      </c>
    </row>
    <row r="532" spans="1:9" x14ac:dyDescent="0.25">
      <c r="A532" s="6" t="s">
        <v>616</v>
      </c>
      <c r="B532" s="7">
        <v>45916</v>
      </c>
      <c r="C532" s="6" t="s">
        <v>105</v>
      </c>
      <c r="D532" s="6" t="s">
        <v>111</v>
      </c>
      <c r="E532" s="8">
        <v>8</v>
      </c>
      <c r="F532" s="9">
        <v>0.05</v>
      </c>
      <c r="G532" s="10" t="s">
        <v>61</v>
      </c>
      <c r="H532" s="10" t="s">
        <v>69</v>
      </c>
      <c r="I532" s="10" t="s">
        <v>73</v>
      </c>
    </row>
    <row r="533" spans="1:9" x14ac:dyDescent="0.25">
      <c r="A533" s="11" t="s">
        <v>617</v>
      </c>
      <c r="B533" s="12">
        <v>45781</v>
      </c>
      <c r="C533" s="11" t="s">
        <v>75</v>
      </c>
      <c r="D533" s="11" t="s">
        <v>82</v>
      </c>
      <c r="E533" s="13">
        <v>1</v>
      </c>
      <c r="F533" s="14">
        <v>0.2</v>
      </c>
      <c r="G533" s="15" t="s">
        <v>55</v>
      </c>
      <c r="H533" s="15" t="s">
        <v>83</v>
      </c>
      <c r="I533" s="15" t="s">
        <v>65</v>
      </c>
    </row>
    <row r="534" spans="1:9" x14ac:dyDescent="0.25">
      <c r="A534" s="6" t="s">
        <v>618</v>
      </c>
      <c r="B534" s="7">
        <v>45864</v>
      </c>
      <c r="C534" s="6" t="s">
        <v>80</v>
      </c>
      <c r="D534" s="6" t="s">
        <v>111</v>
      </c>
      <c r="E534" s="8">
        <v>2</v>
      </c>
      <c r="F534" s="9">
        <v>0.15</v>
      </c>
      <c r="G534" s="10" t="s">
        <v>64</v>
      </c>
      <c r="H534" s="10" t="s">
        <v>83</v>
      </c>
      <c r="I534" s="10" t="s">
        <v>65</v>
      </c>
    </row>
    <row r="535" spans="1:9" x14ac:dyDescent="0.25">
      <c r="A535" s="11" t="s">
        <v>619</v>
      </c>
      <c r="B535" s="12">
        <v>45703</v>
      </c>
      <c r="C535" s="11" t="s">
        <v>105</v>
      </c>
      <c r="D535" s="11" t="s">
        <v>111</v>
      </c>
      <c r="E535" s="13">
        <v>8</v>
      </c>
      <c r="F535" s="14">
        <v>0.1</v>
      </c>
      <c r="G535" s="15" t="s">
        <v>61</v>
      </c>
      <c r="H535" s="15" t="s">
        <v>69</v>
      </c>
      <c r="I535" s="15" t="s">
        <v>77</v>
      </c>
    </row>
    <row r="536" spans="1:9" x14ac:dyDescent="0.25">
      <c r="A536" s="6" t="s">
        <v>620</v>
      </c>
      <c r="B536" s="7">
        <v>45710</v>
      </c>
      <c r="C536" s="6" t="s">
        <v>116</v>
      </c>
      <c r="D536" s="6" t="s">
        <v>92</v>
      </c>
      <c r="E536" s="8">
        <v>1</v>
      </c>
      <c r="F536" s="9">
        <v>0.2</v>
      </c>
      <c r="G536" s="10" t="s">
        <v>61</v>
      </c>
      <c r="H536" s="10" t="s">
        <v>56</v>
      </c>
      <c r="I536" s="10" t="s">
        <v>73</v>
      </c>
    </row>
    <row r="537" spans="1:9" x14ac:dyDescent="0.25">
      <c r="A537" s="11" t="s">
        <v>621</v>
      </c>
      <c r="B537" s="12">
        <v>45918</v>
      </c>
      <c r="C537" s="11" t="s">
        <v>80</v>
      </c>
      <c r="D537" s="11" t="s">
        <v>63</v>
      </c>
      <c r="E537" s="13">
        <v>24</v>
      </c>
      <c r="F537" s="14">
        <v>0.15</v>
      </c>
      <c r="G537" s="15" t="s">
        <v>68</v>
      </c>
      <c r="H537" s="15" t="s">
        <v>69</v>
      </c>
      <c r="I537" s="15" t="s">
        <v>77</v>
      </c>
    </row>
    <row r="538" spans="1:9" x14ac:dyDescent="0.25">
      <c r="A538" s="6" t="s">
        <v>622</v>
      </c>
      <c r="B538" s="7">
        <v>45772</v>
      </c>
      <c r="C538" s="6" t="s">
        <v>105</v>
      </c>
      <c r="D538" s="6" t="s">
        <v>111</v>
      </c>
      <c r="E538" s="8">
        <v>6</v>
      </c>
      <c r="F538" s="9">
        <v>0.2</v>
      </c>
      <c r="G538" s="10" t="s">
        <v>64</v>
      </c>
      <c r="H538" s="10" t="s">
        <v>83</v>
      </c>
      <c r="I538" s="10" t="s">
        <v>73</v>
      </c>
    </row>
    <row r="539" spans="1:9" x14ac:dyDescent="0.25">
      <c r="A539" s="11" t="s">
        <v>623</v>
      </c>
      <c r="B539" s="12">
        <v>45889</v>
      </c>
      <c r="C539" s="11" t="s">
        <v>59</v>
      </c>
      <c r="D539" s="11" t="s">
        <v>54</v>
      </c>
      <c r="E539" s="13">
        <v>11</v>
      </c>
      <c r="F539" s="14">
        <v>0.05</v>
      </c>
      <c r="G539" s="15" t="s">
        <v>61</v>
      </c>
      <c r="H539" s="15" t="s">
        <v>69</v>
      </c>
      <c r="I539" s="15" t="s">
        <v>73</v>
      </c>
    </row>
    <row r="540" spans="1:9" x14ac:dyDescent="0.25">
      <c r="A540" s="6" t="s">
        <v>624</v>
      </c>
      <c r="B540" s="7">
        <v>45982</v>
      </c>
      <c r="C540" s="6" t="s">
        <v>75</v>
      </c>
      <c r="D540" s="6" t="s">
        <v>72</v>
      </c>
      <c r="E540" s="8">
        <v>9</v>
      </c>
      <c r="F540" s="9">
        <v>0.2</v>
      </c>
      <c r="G540" s="10" t="s">
        <v>68</v>
      </c>
      <c r="H540" s="10" t="s">
        <v>83</v>
      </c>
      <c r="I540" s="10" t="s">
        <v>77</v>
      </c>
    </row>
    <row r="541" spans="1:9" x14ac:dyDescent="0.25">
      <c r="A541" s="11" t="s">
        <v>625</v>
      </c>
      <c r="B541" s="12">
        <v>45681</v>
      </c>
      <c r="C541" s="11" t="s">
        <v>90</v>
      </c>
      <c r="D541" s="11" t="s">
        <v>103</v>
      </c>
      <c r="E541" s="13">
        <v>8</v>
      </c>
      <c r="F541" s="14">
        <v>0.05</v>
      </c>
      <c r="G541" s="15" t="s">
        <v>64</v>
      </c>
      <c r="H541" s="15" t="s">
        <v>56</v>
      </c>
      <c r="I541" s="15" t="s">
        <v>73</v>
      </c>
    </row>
    <row r="542" spans="1:9" x14ac:dyDescent="0.25">
      <c r="A542" s="6" t="s">
        <v>626</v>
      </c>
      <c r="B542" s="7">
        <v>45970</v>
      </c>
      <c r="C542" s="6" t="s">
        <v>80</v>
      </c>
      <c r="D542" s="6" t="s">
        <v>88</v>
      </c>
      <c r="E542" s="8">
        <v>2</v>
      </c>
      <c r="F542" s="9">
        <v>0.15</v>
      </c>
      <c r="G542" s="10" t="s">
        <v>55</v>
      </c>
      <c r="H542" s="10" t="s">
        <v>69</v>
      </c>
      <c r="I542" s="10" t="s">
        <v>57</v>
      </c>
    </row>
    <row r="543" spans="1:9" x14ac:dyDescent="0.25">
      <c r="A543" s="11" t="s">
        <v>627</v>
      </c>
      <c r="B543" s="12">
        <v>45831</v>
      </c>
      <c r="C543" s="11" t="s">
        <v>116</v>
      </c>
      <c r="D543" s="11" t="s">
        <v>54</v>
      </c>
      <c r="E543" s="13">
        <v>1</v>
      </c>
      <c r="F543" s="14">
        <v>0.2</v>
      </c>
      <c r="G543" s="15" t="s">
        <v>61</v>
      </c>
      <c r="H543" s="15" t="s">
        <v>69</v>
      </c>
      <c r="I543" s="15" t="s">
        <v>65</v>
      </c>
    </row>
    <row r="544" spans="1:9" x14ac:dyDescent="0.25">
      <c r="A544" s="6" t="s">
        <v>628</v>
      </c>
      <c r="B544" s="7">
        <v>45995</v>
      </c>
      <c r="C544" s="6" t="s">
        <v>90</v>
      </c>
      <c r="D544" s="6" t="s">
        <v>76</v>
      </c>
      <c r="E544" s="8">
        <v>3</v>
      </c>
      <c r="F544" s="9">
        <v>0.2</v>
      </c>
      <c r="G544" s="10" t="s">
        <v>61</v>
      </c>
      <c r="H544" s="10" t="s">
        <v>83</v>
      </c>
      <c r="I544" s="10" t="s">
        <v>65</v>
      </c>
    </row>
    <row r="545" spans="1:9" x14ac:dyDescent="0.25">
      <c r="A545" s="11" t="s">
        <v>629</v>
      </c>
      <c r="B545" s="12">
        <v>45957</v>
      </c>
      <c r="C545" s="11" t="s">
        <v>90</v>
      </c>
      <c r="D545" s="11" t="s">
        <v>96</v>
      </c>
      <c r="E545" s="13">
        <v>12</v>
      </c>
      <c r="F545" s="14">
        <v>0.2</v>
      </c>
      <c r="G545" s="15" t="s">
        <v>55</v>
      </c>
      <c r="H545" s="15" t="s">
        <v>83</v>
      </c>
      <c r="I545" s="15" t="s">
        <v>57</v>
      </c>
    </row>
    <row r="546" spans="1:9" x14ac:dyDescent="0.25">
      <c r="A546" s="6" t="s">
        <v>630</v>
      </c>
      <c r="B546" s="7">
        <v>45711</v>
      </c>
      <c r="C546" s="6" t="s">
        <v>71</v>
      </c>
      <c r="D546" s="6" t="s">
        <v>92</v>
      </c>
      <c r="E546" s="8">
        <v>9</v>
      </c>
      <c r="F546" s="9">
        <v>0.15</v>
      </c>
      <c r="G546" s="10" t="s">
        <v>64</v>
      </c>
      <c r="H546" s="10" t="s">
        <v>83</v>
      </c>
      <c r="I546" s="10" t="s">
        <v>57</v>
      </c>
    </row>
    <row r="547" spans="1:9" x14ac:dyDescent="0.25">
      <c r="A547" s="11" t="s">
        <v>631</v>
      </c>
      <c r="B547" s="12">
        <v>45798</v>
      </c>
      <c r="C547" s="11" t="s">
        <v>71</v>
      </c>
      <c r="D547" s="11" t="s">
        <v>92</v>
      </c>
      <c r="E547" s="13">
        <v>5</v>
      </c>
      <c r="F547" s="14">
        <v>0.15</v>
      </c>
      <c r="G547" s="15" t="s">
        <v>55</v>
      </c>
      <c r="H547" s="15" t="s">
        <v>56</v>
      </c>
      <c r="I547" s="15" t="s">
        <v>65</v>
      </c>
    </row>
    <row r="548" spans="1:9" x14ac:dyDescent="0.25">
      <c r="A548" s="6" t="s">
        <v>632</v>
      </c>
      <c r="B548" s="7">
        <v>45966</v>
      </c>
      <c r="C548" s="6" t="s">
        <v>75</v>
      </c>
      <c r="D548" s="6" t="s">
        <v>85</v>
      </c>
      <c r="E548" s="8">
        <v>20</v>
      </c>
      <c r="F548" s="9">
        <v>0.1</v>
      </c>
      <c r="G548" s="10" t="s">
        <v>55</v>
      </c>
      <c r="H548" s="10" t="s">
        <v>56</v>
      </c>
      <c r="I548" s="10" t="s">
        <v>57</v>
      </c>
    </row>
    <row r="549" spans="1:9" x14ac:dyDescent="0.25">
      <c r="A549" s="11" t="s">
        <v>633</v>
      </c>
      <c r="B549" s="12">
        <v>45977</v>
      </c>
      <c r="C549" s="11" t="s">
        <v>75</v>
      </c>
      <c r="D549" s="11" t="s">
        <v>85</v>
      </c>
      <c r="E549" s="13">
        <v>14</v>
      </c>
      <c r="F549" s="14">
        <v>0.05</v>
      </c>
      <c r="G549" s="15" t="s">
        <v>55</v>
      </c>
      <c r="H549" s="15" t="s">
        <v>83</v>
      </c>
      <c r="I549" s="15" t="s">
        <v>73</v>
      </c>
    </row>
    <row r="550" spans="1:9" x14ac:dyDescent="0.25">
      <c r="A550" s="6" t="s">
        <v>634</v>
      </c>
      <c r="B550" s="7">
        <v>46021</v>
      </c>
      <c r="C550" s="6" t="s">
        <v>71</v>
      </c>
      <c r="D550" s="6" t="s">
        <v>54</v>
      </c>
      <c r="E550" s="8">
        <v>9</v>
      </c>
      <c r="F550" s="9">
        <v>0.15</v>
      </c>
      <c r="G550" s="10" t="s">
        <v>64</v>
      </c>
      <c r="H550" s="10" t="s">
        <v>83</v>
      </c>
      <c r="I550" s="10" t="s">
        <v>73</v>
      </c>
    </row>
    <row r="551" spans="1:9" x14ac:dyDescent="0.25">
      <c r="A551" s="11" t="s">
        <v>635</v>
      </c>
      <c r="B551" s="12">
        <v>45874</v>
      </c>
      <c r="C551" s="11" t="s">
        <v>53</v>
      </c>
      <c r="D551" s="11" t="s">
        <v>72</v>
      </c>
      <c r="E551" s="13">
        <v>9</v>
      </c>
      <c r="F551" s="14">
        <v>0</v>
      </c>
      <c r="G551" s="15" t="s">
        <v>61</v>
      </c>
      <c r="H551" s="15" t="s">
        <v>69</v>
      </c>
      <c r="I551" s="15" t="s">
        <v>57</v>
      </c>
    </row>
    <row r="552" spans="1:9" x14ac:dyDescent="0.25">
      <c r="A552" s="6" t="s">
        <v>636</v>
      </c>
      <c r="B552" s="7">
        <v>45685</v>
      </c>
      <c r="C552" s="6" t="s">
        <v>53</v>
      </c>
      <c r="D552" s="6" t="s">
        <v>60</v>
      </c>
      <c r="E552" s="8">
        <v>11</v>
      </c>
      <c r="F552" s="9">
        <v>0.05</v>
      </c>
      <c r="G552" s="10" t="s">
        <v>68</v>
      </c>
      <c r="H552" s="10" t="s">
        <v>83</v>
      </c>
      <c r="I552" s="10" t="s">
        <v>73</v>
      </c>
    </row>
    <row r="553" spans="1:9" x14ac:dyDescent="0.25">
      <c r="A553" s="11" t="s">
        <v>637</v>
      </c>
      <c r="B553" s="12">
        <v>45732</v>
      </c>
      <c r="C553" s="11" t="s">
        <v>53</v>
      </c>
      <c r="D553" s="11" t="s">
        <v>111</v>
      </c>
      <c r="E553" s="13">
        <v>12</v>
      </c>
      <c r="F553" s="14">
        <v>0.1</v>
      </c>
      <c r="G553" s="15" t="s">
        <v>55</v>
      </c>
      <c r="H553" s="15" t="s">
        <v>83</v>
      </c>
      <c r="I553" s="15" t="s">
        <v>77</v>
      </c>
    </row>
    <row r="554" spans="1:9" x14ac:dyDescent="0.25">
      <c r="A554" s="6" t="s">
        <v>638</v>
      </c>
      <c r="B554" s="7">
        <v>45841</v>
      </c>
      <c r="C554" s="6" t="s">
        <v>105</v>
      </c>
      <c r="D554" s="6" t="s">
        <v>111</v>
      </c>
      <c r="E554" s="8">
        <v>2</v>
      </c>
      <c r="F554" s="9">
        <v>0.2</v>
      </c>
      <c r="G554" s="10" t="s">
        <v>55</v>
      </c>
      <c r="H554" s="10" t="s">
        <v>83</v>
      </c>
      <c r="I554" s="10" t="s">
        <v>65</v>
      </c>
    </row>
    <row r="555" spans="1:9" x14ac:dyDescent="0.25">
      <c r="A555" s="11" t="s">
        <v>639</v>
      </c>
      <c r="B555" s="12">
        <v>45779</v>
      </c>
      <c r="C555" s="11" t="s">
        <v>75</v>
      </c>
      <c r="D555" s="11" t="s">
        <v>63</v>
      </c>
      <c r="E555" s="13">
        <v>24</v>
      </c>
      <c r="F555" s="14">
        <v>0</v>
      </c>
      <c r="G555" s="15" t="s">
        <v>64</v>
      </c>
      <c r="H555" s="15" t="s">
        <v>69</v>
      </c>
      <c r="I555" s="15" t="s">
        <v>65</v>
      </c>
    </row>
    <row r="556" spans="1:9" x14ac:dyDescent="0.25">
      <c r="A556" s="6" t="s">
        <v>640</v>
      </c>
      <c r="B556" s="7">
        <v>46008</v>
      </c>
      <c r="C556" s="6" t="s">
        <v>53</v>
      </c>
      <c r="D556" s="6" t="s">
        <v>82</v>
      </c>
      <c r="E556" s="8">
        <v>1</v>
      </c>
      <c r="F556" s="9">
        <v>0.1</v>
      </c>
      <c r="G556" s="10" t="s">
        <v>55</v>
      </c>
      <c r="H556" s="10" t="s">
        <v>83</v>
      </c>
      <c r="I556" s="10" t="s">
        <v>65</v>
      </c>
    </row>
    <row r="557" spans="1:9" x14ac:dyDescent="0.25">
      <c r="A557" s="11" t="s">
        <v>641</v>
      </c>
      <c r="B557" s="12">
        <v>45773</v>
      </c>
      <c r="C557" s="11" t="s">
        <v>71</v>
      </c>
      <c r="D557" s="11" t="s">
        <v>103</v>
      </c>
      <c r="E557" s="13">
        <v>10</v>
      </c>
      <c r="F557" s="14">
        <v>0.2</v>
      </c>
      <c r="G557" s="15" t="s">
        <v>55</v>
      </c>
      <c r="H557" s="15" t="s">
        <v>83</v>
      </c>
      <c r="I557" s="15" t="s">
        <v>57</v>
      </c>
    </row>
    <row r="558" spans="1:9" x14ac:dyDescent="0.25">
      <c r="A558" s="6" t="s">
        <v>642</v>
      </c>
      <c r="B558" s="7">
        <v>45808</v>
      </c>
      <c r="C558" s="6" t="s">
        <v>90</v>
      </c>
      <c r="D558" s="6" t="s">
        <v>96</v>
      </c>
      <c r="E558" s="8">
        <v>11</v>
      </c>
      <c r="F558" s="9">
        <v>0</v>
      </c>
      <c r="G558" s="10" t="s">
        <v>55</v>
      </c>
      <c r="H558" s="10" t="s">
        <v>56</v>
      </c>
      <c r="I558" s="10" t="s">
        <v>77</v>
      </c>
    </row>
    <row r="559" spans="1:9" x14ac:dyDescent="0.25">
      <c r="A559" s="11" t="s">
        <v>643</v>
      </c>
      <c r="B559" s="12">
        <v>45851</v>
      </c>
      <c r="C559" s="11" t="s">
        <v>116</v>
      </c>
      <c r="D559" s="11" t="s">
        <v>120</v>
      </c>
      <c r="E559" s="13">
        <v>5</v>
      </c>
      <c r="F559" s="14">
        <v>0.2</v>
      </c>
      <c r="G559" s="15" t="s">
        <v>68</v>
      </c>
      <c r="H559" s="15" t="s">
        <v>56</v>
      </c>
      <c r="I559" s="15" t="s">
        <v>57</v>
      </c>
    </row>
    <row r="560" spans="1:9" x14ac:dyDescent="0.25">
      <c r="A560" s="6" t="s">
        <v>644</v>
      </c>
      <c r="B560" s="7">
        <v>45957</v>
      </c>
      <c r="C560" s="6" t="s">
        <v>75</v>
      </c>
      <c r="D560" s="6" t="s">
        <v>111</v>
      </c>
      <c r="E560" s="8">
        <v>1</v>
      </c>
      <c r="F560" s="9">
        <v>0.1</v>
      </c>
      <c r="G560" s="10" t="s">
        <v>64</v>
      </c>
      <c r="H560" s="10" t="s">
        <v>83</v>
      </c>
      <c r="I560" s="10" t="s">
        <v>57</v>
      </c>
    </row>
    <row r="561" spans="1:9" x14ac:dyDescent="0.25">
      <c r="A561" s="11" t="s">
        <v>645</v>
      </c>
      <c r="B561" s="12">
        <v>45678</v>
      </c>
      <c r="C561" s="11" t="s">
        <v>71</v>
      </c>
      <c r="D561" s="11" t="s">
        <v>94</v>
      </c>
      <c r="E561" s="13">
        <v>10</v>
      </c>
      <c r="F561" s="14">
        <v>0</v>
      </c>
      <c r="G561" s="15" t="s">
        <v>68</v>
      </c>
      <c r="H561" s="15" t="s">
        <v>69</v>
      </c>
      <c r="I561" s="15" t="s">
        <v>73</v>
      </c>
    </row>
    <row r="562" spans="1:9" x14ac:dyDescent="0.25">
      <c r="A562" s="6" t="s">
        <v>646</v>
      </c>
      <c r="B562" s="7">
        <v>45695</v>
      </c>
      <c r="C562" s="6" t="s">
        <v>71</v>
      </c>
      <c r="D562" s="6" t="s">
        <v>72</v>
      </c>
      <c r="E562" s="8">
        <v>9</v>
      </c>
      <c r="F562" s="9">
        <v>0.05</v>
      </c>
      <c r="G562" s="10" t="s">
        <v>55</v>
      </c>
      <c r="H562" s="10" t="s">
        <v>83</v>
      </c>
      <c r="I562" s="10" t="s">
        <v>77</v>
      </c>
    </row>
    <row r="563" spans="1:9" x14ac:dyDescent="0.25">
      <c r="A563" s="11" t="s">
        <v>647</v>
      </c>
      <c r="B563" s="12">
        <v>45916</v>
      </c>
      <c r="C563" s="11" t="s">
        <v>116</v>
      </c>
      <c r="D563" s="11" t="s">
        <v>94</v>
      </c>
      <c r="E563" s="13">
        <v>9</v>
      </c>
      <c r="F563" s="14">
        <v>0.2</v>
      </c>
      <c r="G563" s="15" t="s">
        <v>64</v>
      </c>
      <c r="H563" s="15" t="s">
        <v>56</v>
      </c>
      <c r="I563" s="15" t="s">
        <v>73</v>
      </c>
    </row>
    <row r="564" spans="1:9" x14ac:dyDescent="0.25">
      <c r="A564" s="6" t="s">
        <v>648</v>
      </c>
      <c r="B564" s="7">
        <v>45771</v>
      </c>
      <c r="C564" s="6" t="s">
        <v>80</v>
      </c>
      <c r="D564" s="6" t="s">
        <v>103</v>
      </c>
      <c r="E564" s="8">
        <v>11</v>
      </c>
      <c r="F564" s="9">
        <v>0.1</v>
      </c>
      <c r="G564" s="10" t="s">
        <v>68</v>
      </c>
      <c r="H564" s="10" t="s">
        <v>69</v>
      </c>
      <c r="I564" s="10" t="s">
        <v>73</v>
      </c>
    </row>
    <row r="565" spans="1:9" x14ac:dyDescent="0.25">
      <c r="A565" s="11" t="s">
        <v>649</v>
      </c>
      <c r="B565" s="12">
        <v>45769</v>
      </c>
      <c r="C565" s="11" t="s">
        <v>105</v>
      </c>
      <c r="D565" s="11" t="s">
        <v>72</v>
      </c>
      <c r="E565" s="13">
        <v>9</v>
      </c>
      <c r="F565" s="14">
        <v>0</v>
      </c>
      <c r="G565" s="15" t="s">
        <v>61</v>
      </c>
      <c r="H565" s="15" t="s">
        <v>83</v>
      </c>
      <c r="I565" s="15" t="s">
        <v>73</v>
      </c>
    </row>
    <row r="566" spans="1:9" x14ac:dyDescent="0.25">
      <c r="A566" s="6" t="s">
        <v>650</v>
      </c>
      <c r="B566" s="7">
        <v>45886</v>
      </c>
      <c r="C566" s="6" t="s">
        <v>80</v>
      </c>
      <c r="D566" s="6" t="s">
        <v>88</v>
      </c>
      <c r="E566" s="8">
        <v>1</v>
      </c>
      <c r="F566" s="9">
        <v>0.1</v>
      </c>
      <c r="G566" s="10" t="s">
        <v>64</v>
      </c>
      <c r="H566" s="10" t="s">
        <v>56</v>
      </c>
      <c r="I566" s="10" t="s">
        <v>65</v>
      </c>
    </row>
    <row r="567" spans="1:9" x14ac:dyDescent="0.25">
      <c r="A567" s="11" t="s">
        <v>651</v>
      </c>
      <c r="B567" s="12">
        <v>45789</v>
      </c>
      <c r="C567" s="11" t="s">
        <v>75</v>
      </c>
      <c r="D567" s="11" t="s">
        <v>63</v>
      </c>
      <c r="E567" s="13">
        <v>19</v>
      </c>
      <c r="F567" s="14">
        <v>0.1</v>
      </c>
      <c r="G567" s="15" t="s">
        <v>64</v>
      </c>
      <c r="H567" s="15" t="s">
        <v>69</v>
      </c>
      <c r="I567" s="15" t="s">
        <v>77</v>
      </c>
    </row>
    <row r="568" spans="1:9" x14ac:dyDescent="0.25">
      <c r="A568" s="6" t="s">
        <v>652</v>
      </c>
      <c r="B568" s="7">
        <v>45809</v>
      </c>
      <c r="C568" s="6" t="s">
        <v>80</v>
      </c>
      <c r="D568" s="6" t="s">
        <v>103</v>
      </c>
      <c r="E568" s="8">
        <v>6</v>
      </c>
      <c r="F568" s="9">
        <v>0.2</v>
      </c>
      <c r="G568" s="10" t="s">
        <v>61</v>
      </c>
      <c r="H568" s="10" t="s">
        <v>56</v>
      </c>
      <c r="I568" s="10" t="s">
        <v>57</v>
      </c>
    </row>
    <row r="569" spans="1:9" x14ac:dyDescent="0.25">
      <c r="A569" s="11" t="s">
        <v>653</v>
      </c>
      <c r="B569" s="12">
        <v>45933</v>
      </c>
      <c r="C569" s="11" t="s">
        <v>53</v>
      </c>
      <c r="D569" s="11" t="s">
        <v>63</v>
      </c>
      <c r="E569" s="13">
        <v>5</v>
      </c>
      <c r="F569" s="14">
        <v>0.05</v>
      </c>
      <c r="G569" s="15" t="s">
        <v>55</v>
      </c>
      <c r="H569" s="15" t="s">
        <v>83</v>
      </c>
      <c r="I569" s="15" t="s">
        <v>65</v>
      </c>
    </row>
    <row r="570" spans="1:9" x14ac:dyDescent="0.25">
      <c r="A570" s="6" t="s">
        <v>654</v>
      </c>
      <c r="B570" s="7">
        <v>45711</v>
      </c>
      <c r="C570" s="6" t="s">
        <v>116</v>
      </c>
      <c r="D570" s="6" t="s">
        <v>88</v>
      </c>
      <c r="E570" s="8">
        <v>11</v>
      </c>
      <c r="F570" s="9">
        <v>0</v>
      </c>
      <c r="G570" s="10" t="s">
        <v>55</v>
      </c>
      <c r="H570" s="10" t="s">
        <v>56</v>
      </c>
      <c r="I570" s="10" t="s">
        <v>65</v>
      </c>
    </row>
    <row r="571" spans="1:9" x14ac:dyDescent="0.25">
      <c r="A571" s="11" t="s">
        <v>655</v>
      </c>
      <c r="B571" s="12">
        <v>45827</v>
      </c>
      <c r="C571" s="11" t="s">
        <v>59</v>
      </c>
      <c r="D571" s="11" t="s">
        <v>120</v>
      </c>
      <c r="E571" s="13">
        <v>2</v>
      </c>
      <c r="F571" s="14">
        <v>0</v>
      </c>
      <c r="G571" s="15" t="s">
        <v>55</v>
      </c>
      <c r="H571" s="15" t="s">
        <v>69</v>
      </c>
      <c r="I571" s="15" t="s">
        <v>77</v>
      </c>
    </row>
    <row r="572" spans="1:9" x14ac:dyDescent="0.25">
      <c r="A572" s="6" t="s">
        <v>656</v>
      </c>
      <c r="B572" s="7">
        <v>45952</v>
      </c>
      <c r="C572" s="6" t="s">
        <v>80</v>
      </c>
      <c r="D572" s="6" t="s">
        <v>111</v>
      </c>
      <c r="E572" s="8">
        <v>5</v>
      </c>
      <c r="F572" s="9">
        <v>0.15</v>
      </c>
      <c r="G572" s="10" t="s">
        <v>64</v>
      </c>
      <c r="H572" s="10" t="s">
        <v>69</v>
      </c>
      <c r="I572" s="10" t="s">
        <v>65</v>
      </c>
    </row>
    <row r="573" spans="1:9" x14ac:dyDescent="0.25">
      <c r="A573" s="11" t="s">
        <v>657</v>
      </c>
      <c r="B573" s="12">
        <v>45879</v>
      </c>
      <c r="C573" s="11" t="s">
        <v>53</v>
      </c>
      <c r="D573" s="11" t="s">
        <v>82</v>
      </c>
      <c r="E573" s="13">
        <v>7</v>
      </c>
      <c r="F573" s="14">
        <v>0</v>
      </c>
      <c r="G573" s="15" t="s">
        <v>61</v>
      </c>
      <c r="H573" s="15" t="s">
        <v>83</v>
      </c>
      <c r="I573" s="15" t="s">
        <v>77</v>
      </c>
    </row>
    <row r="574" spans="1:9" x14ac:dyDescent="0.25">
      <c r="A574" s="6" t="s">
        <v>658</v>
      </c>
      <c r="B574" s="7">
        <v>45957</v>
      </c>
      <c r="C574" s="6" t="s">
        <v>59</v>
      </c>
      <c r="D574" s="6" t="s">
        <v>120</v>
      </c>
      <c r="E574" s="8">
        <v>6</v>
      </c>
      <c r="F574" s="9">
        <v>0.2</v>
      </c>
      <c r="G574" s="10" t="s">
        <v>61</v>
      </c>
      <c r="H574" s="10" t="s">
        <v>69</v>
      </c>
      <c r="I574" s="10" t="s">
        <v>73</v>
      </c>
    </row>
    <row r="575" spans="1:9" x14ac:dyDescent="0.25">
      <c r="A575" s="11" t="s">
        <v>659</v>
      </c>
      <c r="B575" s="12">
        <v>45968</v>
      </c>
      <c r="C575" s="11" t="s">
        <v>75</v>
      </c>
      <c r="D575" s="11" t="s">
        <v>54</v>
      </c>
      <c r="E575" s="13">
        <v>8</v>
      </c>
      <c r="F575" s="14">
        <v>0.15</v>
      </c>
      <c r="G575" s="15" t="s">
        <v>64</v>
      </c>
      <c r="H575" s="15" t="s">
        <v>83</v>
      </c>
      <c r="I575" s="15" t="s">
        <v>77</v>
      </c>
    </row>
    <row r="576" spans="1:9" x14ac:dyDescent="0.25">
      <c r="A576" s="6" t="s">
        <v>660</v>
      </c>
      <c r="B576" s="7">
        <v>45900</v>
      </c>
      <c r="C576" s="6" t="s">
        <v>80</v>
      </c>
      <c r="D576" s="6" t="s">
        <v>94</v>
      </c>
      <c r="E576" s="8">
        <v>3</v>
      </c>
      <c r="F576" s="9">
        <v>0.15</v>
      </c>
      <c r="G576" s="10" t="s">
        <v>68</v>
      </c>
      <c r="H576" s="10" t="s">
        <v>83</v>
      </c>
      <c r="I576" s="10" t="s">
        <v>57</v>
      </c>
    </row>
    <row r="577" spans="1:9" x14ac:dyDescent="0.25">
      <c r="A577" s="11" t="s">
        <v>661</v>
      </c>
      <c r="B577" s="12">
        <v>45810</v>
      </c>
      <c r="C577" s="11" t="s">
        <v>71</v>
      </c>
      <c r="D577" s="11" t="s">
        <v>60</v>
      </c>
      <c r="E577" s="13">
        <v>20</v>
      </c>
      <c r="F577" s="14">
        <v>0.2</v>
      </c>
      <c r="G577" s="15" t="s">
        <v>55</v>
      </c>
      <c r="H577" s="15" t="s">
        <v>56</v>
      </c>
      <c r="I577" s="15" t="s">
        <v>77</v>
      </c>
    </row>
    <row r="578" spans="1:9" x14ac:dyDescent="0.25">
      <c r="A578" s="6" t="s">
        <v>662</v>
      </c>
      <c r="B578" s="7">
        <v>45660</v>
      </c>
      <c r="C578" s="6" t="s">
        <v>116</v>
      </c>
      <c r="D578" s="6" t="s">
        <v>76</v>
      </c>
      <c r="E578" s="8">
        <v>20</v>
      </c>
      <c r="F578" s="9">
        <v>0</v>
      </c>
      <c r="G578" s="10" t="s">
        <v>68</v>
      </c>
      <c r="H578" s="10" t="s">
        <v>56</v>
      </c>
      <c r="I578" s="10" t="s">
        <v>73</v>
      </c>
    </row>
    <row r="579" spans="1:9" x14ac:dyDescent="0.25">
      <c r="A579" s="11" t="s">
        <v>663</v>
      </c>
      <c r="B579" s="12">
        <v>45766</v>
      </c>
      <c r="C579" s="11" t="s">
        <v>90</v>
      </c>
      <c r="D579" s="11" t="s">
        <v>92</v>
      </c>
      <c r="E579" s="13">
        <v>3</v>
      </c>
      <c r="F579" s="14">
        <v>0.05</v>
      </c>
      <c r="G579" s="15" t="s">
        <v>55</v>
      </c>
      <c r="H579" s="15" t="s">
        <v>83</v>
      </c>
      <c r="I579" s="15" t="s">
        <v>73</v>
      </c>
    </row>
    <row r="580" spans="1:9" x14ac:dyDescent="0.25">
      <c r="A580" s="6" t="s">
        <v>664</v>
      </c>
      <c r="B580" s="7">
        <v>45757</v>
      </c>
      <c r="C580" s="6" t="s">
        <v>90</v>
      </c>
      <c r="D580" s="6" t="s">
        <v>54</v>
      </c>
      <c r="E580" s="8">
        <v>11</v>
      </c>
      <c r="F580" s="9">
        <v>0.2</v>
      </c>
      <c r="G580" s="10" t="s">
        <v>61</v>
      </c>
      <c r="H580" s="10" t="s">
        <v>83</v>
      </c>
      <c r="I580" s="10" t="s">
        <v>65</v>
      </c>
    </row>
    <row r="581" spans="1:9" x14ac:dyDescent="0.25">
      <c r="A581" s="11" t="s">
        <v>665</v>
      </c>
      <c r="B581" s="12">
        <v>45988</v>
      </c>
      <c r="C581" s="11" t="s">
        <v>59</v>
      </c>
      <c r="D581" s="11" t="s">
        <v>63</v>
      </c>
      <c r="E581" s="13">
        <v>24</v>
      </c>
      <c r="F581" s="14">
        <v>0</v>
      </c>
      <c r="G581" s="15" t="s">
        <v>68</v>
      </c>
      <c r="H581" s="15" t="s">
        <v>56</v>
      </c>
      <c r="I581" s="15" t="s">
        <v>57</v>
      </c>
    </row>
    <row r="582" spans="1:9" x14ac:dyDescent="0.25">
      <c r="A582" s="6" t="s">
        <v>666</v>
      </c>
      <c r="B582" s="7">
        <v>45955</v>
      </c>
      <c r="C582" s="6" t="s">
        <v>71</v>
      </c>
      <c r="D582" s="6" t="s">
        <v>96</v>
      </c>
      <c r="E582" s="8">
        <v>6</v>
      </c>
      <c r="F582" s="9">
        <v>0.05</v>
      </c>
      <c r="G582" s="10" t="s">
        <v>55</v>
      </c>
      <c r="H582" s="10" t="s">
        <v>56</v>
      </c>
      <c r="I582" s="10" t="s">
        <v>73</v>
      </c>
    </row>
    <row r="583" spans="1:9" x14ac:dyDescent="0.25">
      <c r="A583" s="11" t="s">
        <v>667</v>
      </c>
      <c r="B583" s="12">
        <v>45975</v>
      </c>
      <c r="C583" s="11" t="s">
        <v>80</v>
      </c>
      <c r="D583" s="11" t="s">
        <v>54</v>
      </c>
      <c r="E583" s="13">
        <v>6</v>
      </c>
      <c r="F583" s="14">
        <v>0.15</v>
      </c>
      <c r="G583" s="15" t="s">
        <v>64</v>
      </c>
      <c r="H583" s="15" t="s">
        <v>69</v>
      </c>
      <c r="I583" s="15" t="s">
        <v>73</v>
      </c>
    </row>
    <row r="584" spans="1:9" x14ac:dyDescent="0.25">
      <c r="A584" s="6" t="s">
        <v>668</v>
      </c>
      <c r="B584" s="7">
        <v>46013</v>
      </c>
      <c r="C584" s="6" t="s">
        <v>90</v>
      </c>
      <c r="D584" s="6" t="s">
        <v>76</v>
      </c>
      <c r="E584" s="8">
        <v>21</v>
      </c>
      <c r="F584" s="9">
        <v>0.1</v>
      </c>
      <c r="G584" s="10" t="s">
        <v>68</v>
      </c>
      <c r="H584" s="10" t="s">
        <v>69</v>
      </c>
      <c r="I584" s="10" t="s">
        <v>57</v>
      </c>
    </row>
    <row r="585" spans="1:9" x14ac:dyDescent="0.25">
      <c r="A585" s="11" t="s">
        <v>669</v>
      </c>
      <c r="B585" s="12">
        <v>45660</v>
      </c>
      <c r="C585" s="11" t="s">
        <v>80</v>
      </c>
      <c r="D585" s="11" t="s">
        <v>82</v>
      </c>
      <c r="E585" s="13">
        <v>4</v>
      </c>
      <c r="F585" s="14">
        <v>0.15</v>
      </c>
      <c r="G585" s="15" t="s">
        <v>68</v>
      </c>
      <c r="H585" s="15" t="s">
        <v>69</v>
      </c>
      <c r="I585" s="15" t="s">
        <v>57</v>
      </c>
    </row>
    <row r="586" spans="1:9" x14ac:dyDescent="0.25">
      <c r="A586" s="6" t="s">
        <v>670</v>
      </c>
      <c r="B586" s="7">
        <v>46005</v>
      </c>
      <c r="C586" s="6" t="s">
        <v>71</v>
      </c>
      <c r="D586" s="6" t="s">
        <v>85</v>
      </c>
      <c r="E586" s="8">
        <v>17</v>
      </c>
      <c r="F586" s="9">
        <v>0.15</v>
      </c>
      <c r="G586" s="10" t="s">
        <v>68</v>
      </c>
      <c r="H586" s="10" t="s">
        <v>69</v>
      </c>
      <c r="I586" s="10" t="s">
        <v>65</v>
      </c>
    </row>
    <row r="587" spans="1:9" x14ac:dyDescent="0.25">
      <c r="A587" s="11" t="s">
        <v>671</v>
      </c>
      <c r="B587" s="12">
        <v>45940</v>
      </c>
      <c r="C587" s="11" t="s">
        <v>90</v>
      </c>
      <c r="D587" s="11" t="s">
        <v>54</v>
      </c>
      <c r="E587" s="13">
        <v>11</v>
      </c>
      <c r="F587" s="14">
        <v>0.2</v>
      </c>
      <c r="G587" s="15" t="s">
        <v>61</v>
      </c>
      <c r="H587" s="15" t="s">
        <v>69</v>
      </c>
      <c r="I587" s="15" t="s">
        <v>57</v>
      </c>
    </row>
    <row r="588" spans="1:9" x14ac:dyDescent="0.25">
      <c r="A588" s="6" t="s">
        <v>672</v>
      </c>
      <c r="B588" s="7">
        <v>45933</v>
      </c>
      <c r="C588" s="6" t="s">
        <v>75</v>
      </c>
      <c r="D588" s="6" t="s">
        <v>88</v>
      </c>
      <c r="E588" s="8">
        <v>12</v>
      </c>
      <c r="F588" s="9">
        <v>0</v>
      </c>
      <c r="G588" s="10" t="s">
        <v>61</v>
      </c>
      <c r="H588" s="10" t="s">
        <v>56</v>
      </c>
      <c r="I588" s="10" t="s">
        <v>77</v>
      </c>
    </row>
    <row r="589" spans="1:9" x14ac:dyDescent="0.25">
      <c r="A589" s="11" t="s">
        <v>673</v>
      </c>
      <c r="B589" s="12">
        <v>45955</v>
      </c>
      <c r="C589" s="11" t="s">
        <v>116</v>
      </c>
      <c r="D589" s="11" t="s">
        <v>76</v>
      </c>
      <c r="E589" s="13">
        <v>9</v>
      </c>
      <c r="F589" s="14">
        <v>0</v>
      </c>
      <c r="G589" s="15" t="s">
        <v>68</v>
      </c>
      <c r="H589" s="15" t="s">
        <v>83</v>
      </c>
      <c r="I589" s="15" t="s">
        <v>65</v>
      </c>
    </row>
    <row r="590" spans="1:9" x14ac:dyDescent="0.25">
      <c r="A590" s="6" t="s">
        <v>674</v>
      </c>
      <c r="B590" s="7">
        <v>45992</v>
      </c>
      <c r="C590" s="6" t="s">
        <v>90</v>
      </c>
      <c r="D590" s="6" t="s">
        <v>72</v>
      </c>
      <c r="E590" s="8">
        <v>6</v>
      </c>
      <c r="F590" s="9">
        <v>0.15</v>
      </c>
      <c r="G590" s="10" t="s">
        <v>55</v>
      </c>
      <c r="H590" s="10" t="s">
        <v>83</v>
      </c>
      <c r="I590" s="10" t="s">
        <v>73</v>
      </c>
    </row>
    <row r="591" spans="1:9" x14ac:dyDescent="0.25">
      <c r="A591" s="11" t="s">
        <v>675</v>
      </c>
      <c r="B591" s="12">
        <v>45726</v>
      </c>
      <c r="C591" s="11" t="s">
        <v>59</v>
      </c>
      <c r="D591" s="11" t="s">
        <v>96</v>
      </c>
      <c r="E591" s="13">
        <v>7</v>
      </c>
      <c r="F591" s="14">
        <v>0.1</v>
      </c>
      <c r="G591" s="15" t="s">
        <v>61</v>
      </c>
      <c r="H591" s="15" t="s">
        <v>83</v>
      </c>
      <c r="I591" s="15" t="s">
        <v>57</v>
      </c>
    </row>
    <row r="592" spans="1:9" x14ac:dyDescent="0.25">
      <c r="A592" s="6" t="s">
        <v>676</v>
      </c>
      <c r="B592" s="7">
        <v>45972</v>
      </c>
      <c r="C592" s="6" t="s">
        <v>90</v>
      </c>
      <c r="D592" s="6" t="s">
        <v>60</v>
      </c>
      <c r="E592" s="8">
        <v>7</v>
      </c>
      <c r="F592" s="9">
        <v>0.15</v>
      </c>
      <c r="G592" s="10" t="s">
        <v>55</v>
      </c>
      <c r="H592" s="10" t="s">
        <v>56</v>
      </c>
      <c r="I592" s="10" t="s">
        <v>57</v>
      </c>
    </row>
    <row r="593" spans="1:9" x14ac:dyDescent="0.25">
      <c r="A593" s="11" t="s">
        <v>677</v>
      </c>
      <c r="B593" s="12">
        <v>45905</v>
      </c>
      <c r="C593" s="11" t="s">
        <v>53</v>
      </c>
      <c r="D593" s="11" t="s">
        <v>82</v>
      </c>
      <c r="E593" s="13">
        <v>4</v>
      </c>
      <c r="F593" s="14">
        <v>0.15</v>
      </c>
      <c r="G593" s="15" t="s">
        <v>55</v>
      </c>
      <c r="H593" s="15" t="s">
        <v>56</v>
      </c>
      <c r="I593" s="15" t="s">
        <v>73</v>
      </c>
    </row>
    <row r="594" spans="1:9" x14ac:dyDescent="0.25">
      <c r="A594" s="6" t="s">
        <v>678</v>
      </c>
      <c r="B594" s="7">
        <v>45847</v>
      </c>
      <c r="C594" s="6" t="s">
        <v>53</v>
      </c>
      <c r="D594" s="6" t="s">
        <v>88</v>
      </c>
      <c r="E594" s="8">
        <v>11</v>
      </c>
      <c r="F594" s="9">
        <v>0.05</v>
      </c>
      <c r="G594" s="10" t="s">
        <v>68</v>
      </c>
      <c r="H594" s="10" t="s">
        <v>69</v>
      </c>
      <c r="I594" s="10" t="s">
        <v>65</v>
      </c>
    </row>
    <row r="595" spans="1:9" x14ac:dyDescent="0.25">
      <c r="A595" s="11" t="s">
        <v>679</v>
      </c>
      <c r="B595" s="12">
        <v>45890</v>
      </c>
      <c r="C595" s="11" t="s">
        <v>53</v>
      </c>
      <c r="D595" s="11" t="s">
        <v>103</v>
      </c>
      <c r="E595" s="13">
        <v>1</v>
      </c>
      <c r="F595" s="14">
        <v>0.1</v>
      </c>
      <c r="G595" s="15" t="s">
        <v>61</v>
      </c>
      <c r="H595" s="15" t="s">
        <v>83</v>
      </c>
      <c r="I595" s="15" t="s">
        <v>73</v>
      </c>
    </row>
    <row r="596" spans="1:9" x14ac:dyDescent="0.25">
      <c r="A596" s="6" t="s">
        <v>680</v>
      </c>
      <c r="B596" s="7">
        <v>45792</v>
      </c>
      <c r="C596" s="6" t="s">
        <v>90</v>
      </c>
      <c r="D596" s="6" t="s">
        <v>76</v>
      </c>
      <c r="E596" s="8">
        <v>23</v>
      </c>
      <c r="F596" s="9">
        <v>0.15</v>
      </c>
      <c r="G596" s="10" t="s">
        <v>68</v>
      </c>
      <c r="H596" s="10" t="s">
        <v>83</v>
      </c>
      <c r="I596" s="10" t="s">
        <v>77</v>
      </c>
    </row>
    <row r="597" spans="1:9" x14ac:dyDescent="0.25">
      <c r="A597" s="11" t="s">
        <v>681</v>
      </c>
      <c r="B597" s="12">
        <v>45922</v>
      </c>
      <c r="C597" s="11" t="s">
        <v>116</v>
      </c>
      <c r="D597" s="11" t="s">
        <v>67</v>
      </c>
      <c r="E597" s="13">
        <v>4</v>
      </c>
      <c r="F597" s="14">
        <v>0.2</v>
      </c>
      <c r="G597" s="15" t="s">
        <v>64</v>
      </c>
      <c r="H597" s="15" t="s">
        <v>69</v>
      </c>
      <c r="I597" s="15" t="s">
        <v>73</v>
      </c>
    </row>
    <row r="598" spans="1:9" x14ac:dyDescent="0.25">
      <c r="A598" s="6" t="s">
        <v>682</v>
      </c>
      <c r="B598" s="7">
        <v>45907</v>
      </c>
      <c r="C598" s="6" t="s">
        <v>105</v>
      </c>
      <c r="D598" s="6" t="s">
        <v>72</v>
      </c>
      <c r="E598" s="8">
        <v>10</v>
      </c>
      <c r="F598" s="9">
        <v>0</v>
      </c>
      <c r="G598" s="10" t="s">
        <v>55</v>
      </c>
      <c r="H598" s="10" t="s">
        <v>69</v>
      </c>
      <c r="I598" s="10" t="s">
        <v>57</v>
      </c>
    </row>
    <row r="599" spans="1:9" x14ac:dyDescent="0.25">
      <c r="A599" s="11" t="s">
        <v>683</v>
      </c>
      <c r="B599" s="12">
        <v>45775</v>
      </c>
      <c r="C599" s="11" t="s">
        <v>75</v>
      </c>
      <c r="D599" s="11" t="s">
        <v>54</v>
      </c>
      <c r="E599" s="13">
        <v>4</v>
      </c>
      <c r="F599" s="14">
        <v>0.05</v>
      </c>
      <c r="G599" s="15" t="s">
        <v>55</v>
      </c>
      <c r="H599" s="15" t="s">
        <v>56</v>
      </c>
      <c r="I599" s="15" t="s">
        <v>73</v>
      </c>
    </row>
    <row r="600" spans="1:9" x14ac:dyDescent="0.25">
      <c r="A600" s="6" t="s">
        <v>684</v>
      </c>
      <c r="B600" s="7">
        <v>45966</v>
      </c>
      <c r="C600" s="6" t="s">
        <v>59</v>
      </c>
      <c r="D600" s="6" t="s">
        <v>85</v>
      </c>
      <c r="E600" s="8">
        <v>10</v>
      </c>
      <c r="F600" s="9">
        <v>0.15</v>
      </c>
      <c r="G600" s="10" t="s">
        <v>68</v>
      </c>
      <c r="H600" s="10" t="s">
        <v>83</v>
      </c>
      <c r="I600" s="10" t="s">
        <v>77</v>
      </c>
    </row>
    <row r="601" spans="1:9" x14ac:dyDescent="0.25">
      <c r="A601" s="11" t="s">
        <v>685</v>
      </c>
      <c r="B601" s="12">
        <v>45904</v>
      </c>
      <c r="C601" s="11" t="s">
        <v>105</v>
      </c>
      <c r="D601" s="11" t="s">
        <v>60</v>
      </c>
      <c r="E601" s="13">
        <v>9</v>
      </c>
      <c r="F601" s="14">
        <v>0.2</v>
      </c>
      <c r="G601" s="15" t="s">
        <v>55</v>
      </c>
      <c r="H601" s="15" t="s">
        <v>83</v>
      </c>
      <c r="I601" s="15" t="s">
        <v>65</v>
      </c>
    </row>
    <row r="602" spans="1:9" x14ac:dyDescent="0.25">
      <c r="A602" s="6" t="s">
        <v>686</v>
      </c>
      <c r="B602" s="7">
        <v>45669</v>
      </c>
      <c r="C602" s="6" t="s">
        <v>53</v>
      </c>
      <c r="D602" s="6" t="s">
        <v>88</v>
      </c>
      <c r="E602" s="8">
        <v>3</v>
      </c>
      <c r="F602" s="9">
        <v>0.2</v>
      </c>
      <c r="G602" s="10" t="s">
        <v>55</v>
      </c>
      <c r="H602" s="10" t="s">
        <v>56</v>
      </c>
      <c r="I602" s="10" t="s">
        <v>77</v>
      </c>
    </row>
    <row r="603" spans="1:9" x14ac:dyDescent="0.25">
      <c r="A603" s="11" t="s">
        <v>687</v>
      </c>
      <c r="B603" s="12">
        <v>45951</v>
      </c>
      <c r="C603" s="11" t="s">
        <v>53</v>
      </c>
      <c r="D603" s="11" t="s">
        <v>94</v>
      </c>
      <c r="E603" s="13">
        <v>3</v>
      </c>
      <c r="F603" s="14">
        <v>0.1</v>
      </c>
      <c r="G603" s="15" t="s">
        <v>55</v>
      </c>
      <c r="H603" s="15" t="s">
        <v>83</v>
      </c>
      <c r="I603" s="15" t="s">
        <v>65</v>
      </c>
    </row>
    <row r="604" spans="1:9" x14ac:dyDescent="0.25">
      <c r="A604" s="6" t="s">
        <v>688</v>
      </c>
      <c r="B604" s="7">
        <v>45964</v>
      </c>
      <c r="C604" s="6" t="s">
        <v>53</v>
      </c>
      <c r="D604" s="6" t="s">
        <v>76</v>
      </c>
      <c r="E604" s="8">
        <v>26</v>
      </c>
      <c r="F604" s="9">
        <v>0.1</v>
      </c>
      <c r="G604" s="10" t="s">
        <v>61</v>
      </c>
      <c r="H604" s="10" t="s">
        <v>56</v>
      </c>
      <c r="I604" s="10" t="s">
        <v>65</v>
      </c>
    </row>
    <row r="605" spans="1:9" x14ac:dyDescent="0.25">
      <c r="A605" s="11" t="s">
        <v>689</v>
      </c>
      <c r="B605" s="12">
        <v>45968</v>
      </c>
      <c r="C605" s="11" t="s">
        <v>105</v>
      </c>
      <c r="D605" s="11" t="s">
        <v>96</v>
      </c>
      <c r="E605" s="13">
        <v>3</v>
      </c>
      <c r="F605" s="14">
        <v>0.05</v>
      </c>
      <c r="G605" s="15" t="s">
        <v>64</v>
      </c>
      <c r="H605" s="15" t="s">
        <v>83</v>
      </c>
      <c r="I605" s="15" t="s">
        <v>57</v>
      </c>
    </row>
    <row r="606" spans="1:9" x14ac:dyDescent="0.25">
      <c r="A606" s="6" t="s">
        <v>690</v>
      </c>
      <c r="B606" s="7">
        <v>45956</v>
      </c>
      <c r="C606" s="6" t="s">
        <v>90</v>
      </c>
      <c r="D606" s="6" t="s">
        <v>111</v>
      </c>
      <c r="E606" s="8">
        <v>10</v>
      </c>
      <c r="F606" s="9">
        <v>0.2</v>
      </c>
      <c r="G606" s="10" t="s">
        <v>68</v>
      </c>
      <c r="H606" s="10" t="s">
        <v>56</v>
      </c>
      <c r="I606" s="10" t="s">
        <v>73</v>
      </c>
    </row>
    <row r="607" spans="1:9" x14ac:dyDescent="0.25">
      <c r="A607" s="11" t="s">
        <v>691</v>
      </c>
      <c r="B607" s="12">
        <v>45890</v>
      </c>
      <c r="C607" s="11" t="s">
        <v>59</v>
      </c>
      <c r="D607" s="11" t="s">
        <v>76</v>
      </c>
      <c r="E607" s="13">
        <v>15</v>
      </c>
      <c r="F607" s="14">
        <v>0.15</v>
      </c>
      <c r="G607" s="15" t="s">
        <v>55</v>
      </c>
      <c r="H607" s="15" t="s">
        <v>56</v>
      </c>
      <c r="I607" s="15" t="s">
        <v>77</v>
      </c>
    </row>
    <row r="608" spans="1:9" x14ac:dyDescent="0.25">
      <c r="A608" s="6" t="s">
        <v>692</v>
      </c>
      <c r="B608" s="7">
        <v>45761</v>
      </c>
      <c r="C608" s="6" t="s">
        <v>116</v>
      </c>
      <c r="D608" s="6" t="s">
        <v>63</v>
      </c>
      <c r="E608" s="8">
        <v>22</v>
      </c>
      <c r="F608" s="9">
        <v>0</v>
      </c>
      <c r="G608" s="10" t="s">
        <v>55</v>
      </c>
      <c r="H608" s="10" t="s">
        <v>69</v>
      </c>
      <c r="I608" s="10" t="s">
        <v>77</v>
      </c>
    </row>
    <row r="609" spans="1:9" x14ac:dyDescent="0.25">
      <c r="A609" s="11" t="s">
        <v>693</v>
      </c>
      <c r="B609" s="12">
        <v>45930</v>
      </c>
      <c r="C609" s="11" t="s">
        <v>59</v>
      </c>
      <c r="D609" s="11" t="s">
        <v>63</v>
      </c>
      <c r="E609" s="13">
        <v>18</v>
      </c>
      <c r="F609" s="14">
        <v>0.05</v>
      </c>
      <c r="G609" s="15" t="s">
        <v>61</v>
      </c>
      <c r="H609" s="15" t="s">
        <v>83</v>
      </c>
      <c r="I609" s="15" t="s">
        <v>65</v>
      </c>
    </row>
    <row r="610" spans="1:9" x14ac:dyDescent="0.25">
      <c r="A610" s="6" t="s">
        <v>694</v>
      </c>
      <c r="B610" s="7">
        <v>45925</v>
      </c>
      <c r="C610" s="6" t="s">
        <v>71</v>
      </c>
      <c r="D610" s="6" t="s">
        <v>92</v>
      </c>
      <c r="E610" s="8">
        <v>1</v>
      </c>
      <c r="F610" s="9">
        <v>0.2</v>
      </c>
      <c r="G610" s="10" t="s">
        <v>64</v>
      </c>
      <c r="H610" s="10" t="s">
        <v>56</v>
      </c>
      <c r="I610" s="10" t="s">
        <v>65</v>
      </c>
    </row>
    <row r="611" spans="1:9" x14ac:dyDescent="0.25">
      <c r="A611" s="11" t="s">
        <v>695</v>
      </c>
      <c r="B611" s="12">
        <v>45853</v>
      </c>
      <c r="C611" s="11" t="s">
        <v>59</v>
      </c>
      <c r="D611" s="11" t="s">
        <v>82</v>
      </c>
      <c r="E611" s="13">
        <v>7</v>
      </c>
      <c r="F611" s="14">
        <v>0.05</v>
      </c>
      <c r="G611" s="15" t="s">
        <v>68</v>
      </c>
      <c r="H611" s="15" t="s">
        <v>69</v>
      </c>
      <c r="I611" s="15" t="s">
        <v>57</v>
      </c>
    </row>
    <row r="612" spans="1:9" x14ac:dyDescent="0.25">
      <c r="A612" s="6" t="s">
        <v>696</v>
      </c>
      <c r="B612" s="7">
        <v>45700</v>
      </c>
      <c r="C612" s="6" t="s">
        <v>116</v>
      </c>
      <c r="D612" s="6" t="s">
        <v>67</v>
      </c>
      <c r="E612" s="8">
        <v>5</v>
      </c>
      <c r="F612" s="9">
        <v>0.05</v>
      </c>
      <c r="G612" s="10" t="s">
        <v>61</v>
      </c>
      <c r="H612" s="10" t="s">
        <v>83</v>
      </c>
      <c r="I612" s="10" t="s">
        <v>77</v>
      </c>
    </row>
    <row r="613" spans="1:9" x14ac:dyDescent="0.25">
      <c r="A613" s="11" t="s">
        <v>697</v>
      </c>
      <c r="B613" s="12">
        <v>45953</v>
      </c>
      <c r="C613" s="11" t="s">
        <v>59</v>
      </c>
      <c r="D613" s="11" t="s">
        <v>63</v>
      </c>
      <c r="E613" s="13">
        <v>3</v>
      </c>
      <c r="F613" s="14">
        <v>0.15</v>
      </c>
      <c r="G613" s="15" t="s">
        <v>55</v>
      </c>
      <c r="H613" s="15" t="s">
        <v>83</v>
      </c>
      <c r="I613" s="15" t="s">
        <v>73</v>
      </c>
    </row>
    <row r="614" spans="1:9" x14ac:dyDescent="0.25">
      <c r="A614" s="6" t="s">
        <v>698</v>
      </c>
      <c r="B614" s="7">
        <v>45867</v>
      </c>
      <c r="C614" s="6" t="s">
        <v>59</v>
      </c>
      <c r="D614" s="6" t="s">
        <v>82</v>
      </c>
      <c r="E614" s="8">
        <v>3</v>
      </c>
      <c r="F614" s="9">
        <v>0.15</v>
      </c>
      <c r="G614" s="10" t="s">
        <v>68</v>
      </c>
      <c r="H614" s="10" t="s">
        <v>69</v>
      </c>
      <c r="I614" s="10" t="s">
        <v>65</v>
      </c>
    </row>
    <row r="615" spans="1:9" x14ac:dyDescent="0.25">
      <c r="A615" s="11" t="s">
        <v>699</v>
      </c>
      <c r="B615" s="12">
        <v>45947</v>
      </c>
      <c r="C615" s="11" t="s">
        <v>75</v>
      </c>
      <c r="D615" s="11" t="s">
        <v>82</v>
      </c>
      <c r="E615" s="13">
        <v>11</v>
      </c>
      <c r="F615" s="14">
        <v>0.15</v>
      </c>
      <c r="G615" s="15" t="s">
        <v>55</v>
      </c>
      <c r="H615" s="15" t="s">
        <v>69</v>
      </c>
      <c r="I615" s="15" t="s">
        <v>65</v>
      </c>
    </row>
    <row r="616" spans="1:9" x14ac:dyDescent="0.25">
      <c r="A616" s="6" t="s">
        <v>700</v>
      </c>
      <c r="B616" s="7">
        <v>45749</v>
      </c>
      <c r="C616" s="6" t="s">
        <v>105</v>
      </c>
      <c r="D616" s="6" t="s">
        <v>82</v>
      </c>
      <c r="E616" s="8">
        <v>5</v>
      </c>
      <c r="F616" s="9">
        <v>0.1</v>
      </c>
      <c r="G616" s="10" t="s">
        <v>68</v>
      </c>
      <c r="H616" s="10" t="s">
        <v>83</v>
      </c>
      <c r="I616" s="10" t="s">
        <v>65</v>
      </c>
    </row>
    <row r="617" spans="1:9" x14ac:dyDescent="0.25">
      <c r="A617" s="11" t="s">
        <v>701</v>
      </c>
      <c r="B617" s="12">
        <v>45728</v>
      </c>
      <c r="C617" s="11" t="s">
        <v>59</v>
      </c>
      <c r="D617" s="11" t="s">
        <v>111</v>
      </c>
      <c r="E617" s="13">
        <v>12</v>
      </c>
      <c r="F617" s="14">
        <v>0.05</v>
      </c>
      <c r="G617" s="15" t="s">
        <v>64</v>
      </c>
      <c r="H617" s="15" t="s">
        <v>83</v>
      </c>
      <c r="I617" s="15" t="s">
        <v>57</v>
      </c>
    </row>
    <row r="618" spans="1:9" x14ac:dyDescent="0.25">
      <c r="A618" s="6" t="s">
        <v>702</v>
      </c>
      <c r="B618" s="7">
        <v>45709</v>
      </c>
      <c r="C618" s="6" t="s">
        <v>116</v>
      </c>
      <c r="D618" s="6" t="s">
        <v>88</v>
      </c>
      <c r="E618" s="8">
        <v>6</v>
      </c>
      <c r="F618" s="9">
        <v>0.2</v>
      </c>
      <c r="G618" s="10" t="s">
        <v>61</v>
      </c>
      <c r="H618" s="10" t="s">
        <v>56</v>
      </c>
      <c r="I618" s="10" t="s">
        <v>65</v>
      </c>
    </row>
    <row r="619" spans="1:9" x14ac:dyDescent="0.25">
      <c r="A619" s="11" t="s">
        <v>703</v>
      </c>
      <c r="B619" s="12">
        <v>45983</v>
      </c>
      <c r="C619" s="11" t="s">
        <v>59</v>
      </c>
      <c r="D619" s="11" t="s">
        <v>120</v>
      </c>
      <c r="E619" s="13">
        <v>3</v>
      </c>
      <c r="F619" s="14">
        <v>0.15</v>
      </c>
      <c r="G619" s="15" t="s">
        <v>64</v>
      </c>
      <c r="H619" s="15" t="s">
        <v>56</v>
      </c>
      <c r="I619" s="15" t="s">
        <v>77</v>
      </c>
    </row>
    <row r="620" spans="1:9" x14ac:dyDescent="0.25">
      <c r="A620" s="6" t="s">
        <v>704</v>
      </c>
      <c r="B620" s="7">
        <v>45792</v>
      </c>
      <c r="C620" s="6" t="s">
        <v>71</v>
      </c>
      <c r="D620" s="6" t="s">
        <v>88</v>
      </c>
      <c r="E620" s="8">
        <v>2</v>
      </c>
      <c r="F620" s="9">
        <v>0.2</v>
      </c>
      <c r="G620" s="10" t="s">
        <v>61</v>
      </c>
      <c r="H620" s="10" t="s">
        <v>83</v>
      </c>
      <c r="I620" s="10" t="s">
        <v>65</v>
      </c>
    </row>
    <row r="621" spans="1:9" x14ac:dyDescent="0.25">
      <c r="A621" s="11" t="s">
        <v>705</v>
      </c>
      <c r="B621" s="12">
        <v>45863</v>
      </c>
      <c r="C621" s="11" t="s">
        <v>75</v>
      </c>
      <c r="D621" s="11" t="s">
        <v>76</v>
      </c>
      <c r="E621" s="13">
        <v>22</v>
      </c>
      <c r="F621" s="14">
        <v>0</v>
      </c>
      <c r="G621" s="15" t="s">
        <v>55</v>
      </c>
      <c r="H621" s="15" t="s">
        <v>83</v>
      </c>
      <c r="I621" s="15" t="s">
        <v>65</v>
      </c>
    </row>
    <row r="622" spans="1:9" x14ac:dyDescent="0.25">
      <c r="A622" s="6" t="s">
        <v>706</v>
      </c>
      <c r="B622" s="7">
        <v>45882</v>
      </c>
      <c r="C622" s="6" t="s">
        <v>80</v>
      </c>
      <c r="D622" s="6" t="s">
        <v>120</v>
      </c>
      <c r="E622" s="8">
        <v>11</v>
      </c>
      <c r="F622" s="9">
        <v>0.2</v>
      </c>
      <c r="G622" s="10" t="s">
        <v>68</v>
      </c>
      <c r="H622" s="10" t="s">
        <v>56</v>
      </c>
      <c r="I622" s="10" t="s">
        <v>77</v>
      </c>
    </row>
    <row r="623" spans="1:9" x14ac:dyDescent="0.25">
      <c r="A623" s="11" t="s">
        <v>707</v>
      </c>
      <c r="B623" s="12">
        <v>45964</v>
      </c>
      <c r="C623" s="11" t="s">
        <v>80</v>
      </c>
      <c r="D623" s="11" t="s">
        <v>63</v>
      </c>
      <c r="E623" s="13">
        <v>8</v>
      </c>
      <c r="F623" s="14">
        <v>0</v>
      </c>
      <c r="G623" s="15" t="s">
        <v>68</v>
      </c>
      <c r="H623" s="15" t="s">
        <v>56</v>
      </c>
      <c r="I623" s="15" t="s">
        <v>77</v>
      </c>
    </row>
    <row r="624" spans="1:9" x14ac:dyDescent="0.25">
      <c r="A624" s="6" t="s">
        <v>708</v>
      </c>
      <c r="B624" s="7">
        <v>45738</v>
      </c>
      <c r="C624" s="6" t="s">
        <v>75</v>
      </c>
      <c r="D624" s="6" t="s">
        <v>54</v>
      </c>
      <c r="E624" s="8">
        <v>7</v>
      </c>
      <c r="F624" s="9">
        <v>0.1</v>
      </c>
      <c r="G624" s="10" t="s">
        <v>64</v>
      </c>
      <c r="H624" s="10" t="s">
        <v>69</v>
      </c>
      <c r="I624" s="10" t="s">
        <v>57</v>
      </c>
    </row>
    <row r="625" spans="1:9" x14ac:dyDescent="0.25">
      <c r="A625" s="11" t="s">
        <v>709</v>
      </c>
      <c r="B625" s="12">
        <v>45923</v>
      </c>
      <c r="C625" s="11" t="s">
        <v>59</v>
      </c>
      <c r="D625" s="11" t="s">
        <v>120</v>
      </c>
      <c r="E625" s="13">
        <v>2</v>
      </c>
      <c r="F625" s="14">
        <v>0.2</v>
      </c>
      <c r="G625" s="15" t="s">
        <v>68</v>
      </c>
      <c r="H625" s="15" t="s">
        <v>83</v>
      </c>
      <c r="I625" s="15" t="s">
        <v>73</v>
      </c>
    </row>
    <row r="626" spans="1:9" x14ac:dyDescent="0.25">
      <c r="A626" s="6" t="s">
        <v>710</v>
      </c>
      <c r="B626" s="7">
        <v>45835</v>
      </c>
      <c r="C626" s="6" t="s">
        <v>75</v>
      </c>
      <c r="D626" s="6" t="s">
        <v>111</v>
      </c>
      <c r="E626" s="8">
        <v>4</v>
      </c>
      <c r="F626" s="9">
        <v>0.2</v>
      </c>
      <c r="G626" s="10" t="s">
        <v>55</v>
      </c>
      <c r="H626" s="10" t="s">
        <v>69</v>
      </c>
      <c r="I626" s="10" t="s">
        <v>65</v>
      </c>
    </row>
    <row r="627" spans="1:9" x14ac:dyDescent="0.25">
      <c r="A627" s="11" t="s">
        <v>711</v>
      </c>
      <c r="B627" s="12">
        <v>45952</v>
      </c>
      <c r="C627" s="11" t="s">
        <v>75</v>
      </c>
      <c r="D627" s="11" t="s">
        <v>120</v>
      </c>
      <c r="E627" s="13">
        <v>3</v>
      </c>
      <c r="F627" s="14">
        <v>0.15</v>
      </c>
      <c r="G627" s="15" t="s">
        <v>61</v>
      </c>
      <c r="H627" s="15" t="s">
        <v>83</v>
      </c>
      <c r="I627" s="15" t="s">
        <v>77</v>
      </c>
    </row>
    <row r="628" spans="1:9" x14ac:dyDescent="0.25">
      <c r="A628" s="6" t="s">
        <v>712</v>
      </c>
      <c r="B628" s="7">
        <v>45915</v>
      </c>
      <c r="C628" s="6" t="s">
        <v>71</v>
      </c>
      <c r="D628" s="6" t="s">
        <v>67</v>
      </c>
      <c r="E628" s="8">
        <v>2</v>
      </c>
      <c r="F628" s="9">
        <v>0.2</v>
      </c>
      <c r="G628" s="10" t="s">
        <v>68</v>
      </c>
      <c r="H628" s="10" t="s">
        <v>83</v>
      </c>
      <c r="I628" s="10" t="s">
        <v>73</v>
      </c>
    </row>
    <row r="629" spans="1:9" x14ac:dyDescent="0.25">
      <c r="A629" s="11" t="s">
        <v>713</v>
      </c>
      <c r="B629" s="12">
        <v>46013</v>
      </c>
      <c r="C629" s="11" t="s">
        <v>116</v>
      </c>
      <c r="D629" s="11" t="s">
        <v>96</v>
      </c>
      <c r="E629" s="13">
        <v>10</v>
      </c>
      <c r="F629" s="14">
        <v>0.15</v>
      </c>
      <c r="G629" s="15" t="s">
        <v>55</v>
      </c>
      <c r="H629" s="15" t="s">
        <v>69</v>
      </c>
      <c r="I629" s="15" t="s">
        <v>65</v>
      </c>
    </row>
    <row r="630" spans="1:9" x14ac:dyDescent="0.25">
      <c r="A630" s="6" t="s">
        <v>714</v>
      </c>
      <c r="B630" s="7">
        <v>46006</v>
      </c>
      <c r="C630" s="6" t="s">
        <v>53</v>
      </c>
      <c r="D630" s="6" t="s">
        <v>96</v>
      </c>
      <c r="E630" s="8">
        <v>8</v>
      </c>
      <c r="F630" s="9">
        <v>0</v>
      </c>
      <c r="G630" s="10" t="s">
        <v>68</v>
      </c>
      <c r="H630" s="10" t="s">
        <v>56</v>
      </c>
      <c r="I630" s="10" t="s">
        <v>65</v>
      </c>
    </row>
    <row r="631" spans="1:9" x14ac:dyDescent="0.25">
      <c r="A631" s="11" t="s">
        <v>715</v>
      </c>
      <c r="B631" s="12">
        <v>45982</v>
      </c>
      <c r="C631" s="11" t="s">
        <v>80</v>
      </c>
      <c r="D631" s="11" t="s">
        <v>72</v>
      </c>
      <c r="E631" s="13">
        <v>11</v>
      </c>
      <c r="F631" s="14">
        <v>0.05</v>
      </c>
      <c r="G631" s="15" t="s">
        <v>68</v>
      </c>
      <c r="H631" s="15" t="s">
        <v>69</v>
      </c>
      <c r="I631" s="15" t="s">
        <v>73</v>
      </c>
    </row>
    <row r="632" spans="1:9" x14ac:dyDescent="0.25">
      <c r="A632" s="6" t="s">
        <v>716</v>
      </c>
      <c r="B632" s="7">
        <v>45922</v>
      </c>
      <c r="C632" s="6" t="s">
        <v>53</v>
      </c>
      <c r="D632" s="6" t="s">
        <v>63</v>
      </c>
      <c r="E632" s="8">
        <v>29</v>
      </c>
      <c r="F632" s="9">
        <v>0.1</v>
      </c>
      <c r="G632" s="10" t="s">
        <v>55</v>
      </c>
      <c r="H632" s="10" t="s">
        <v>69</v>
      </c>
      <c r="I632" s="10" t="s">
        <v>77</v>
      </c>
    </row>
    <row r="633" spans="1:9" x14ac:dyDescent="0.25">
      <c r="A633" s="11" t="s">
        <v>717</v>
      </c>
      <c r="B633" s="12">
        <v>45862</v>
      </c>
      <c r="C633" s="11" t="s">
        <v>71</v>
      </c>
      <c r="D633" s="11" t="s">
        <v>60</v>
      </c>
      <c r="E633" s="13">
        <v>20</v>
      </c>
      <c r="F633" s="14">
        <v>0.05</v>
      </c>
      <c r="G633" s="15" t="s">
        <v>64</v>
      </c>
      <c r="H633" s="15" t="s">
        <v>69</v>
      </c>
      <c r="I633" s="15" t="s">
        <v>73</v>
      </c>
    </row>
    <row r="634" spans="1:9" x14ac:dyDescent="0.25">
      <c r="A634" s="6" t="s">
        <v>718</v>
      </c>
      <c r="B634" s="7">
        <v>45769</v>
      </c>
      <c r="C634" s="6" t="s">
        <v>75</v>
      </c>
      <c r="D634" s="6" t="s">
        <v>103</v>
      </c>
      <c r="E634" s="8">
        <v>3</v>
      </c>
      <c r="F634" s="9">
        <v>0.05</v>
      </c>
      <c r="G634" s="10" t="s">
        <v>64</v>
      </c>
      <c r="H634" s="10" t="s">
        <v>83</v>
      </c>
      <c r="I634" s="10" t="s">
        <v>57</v>
      </c>
    </row>
    <row r="635" spans="1:9" x14ac:dyDescent="0.25">
      <c r="A635" s="11" t="s">
        <v>719</v>
      </c>
      <c r="B635" s="12">
        <v>45778</v>
      </c>
      <c r="C635" s="11" t="s">
        <v>80</v>
      </c>
      <c r="D635" s="11" t="s">
        <v>85</v>
      </c>
      <c r="E635" s="13">
        <v>9</v>
      </c>
      <c r="F635" s="14">
        <v>0.05</v>
      </c>
      <c r="G635" s="15" t="s">
        <v>55</v>
      </c>
      <c r="H635" s="15" t="s">
        <v>56</v>
      </c>
      <c r="I635" s="15" t="s">
        <v>73</v>
      </c>
    </row>
    <row r="636" spans="1:9" x14ac:dyDescent="0.25">
      <c r="A636" s="6" t="s">
        <v>720</v>
      </c>
      <c r="B636" s="7">
        <v>45737</v>
      </c>
      <c r="C636" s="6" t="s">
        <v>59</v>
      </c>
      <c r="D636" s="6" t="s">
        <v>72</v>
      </c>
      <c r="E636" s="8">
        <v>2</v>
      </c>
      <c r="F636" s="9">
        <v>0</v>
      </c>
      <c r="G636" s="10" t="s">
        <v>64</v>
      </c>
      <c r="H636" s="10" t="s">
        <v>83</v>
      </c>
      <c r="I636" s="10" t="s">
        <v>77</v>
      </c>
    </row>
    <row r="637" spans="1:9" x14ac:dyDescent="0.25">
      <c r="A637" s="11" t="s">
        <v>721</v>
      </c>
      <c r="B637" s="12">
        <v>45935</v>
      </c>
      <c r="C637" s="11" t="s">
        <v>105</v>
      </c>
      <c r="D637" s="11" t="s">
        <v>120</v>
      </c>
      <c r="E637" s="13">
        <v>6</v>
      </c>
      <c r="F637" s="14">
        <v>0.2</v>
      </c>
      <c r="G637" s="15" t="s">
        <v>68</v>
      </c>
      <c r="H637" s="15" t="s">
        <v>69</v>
      </c>
      <c r="I637" s="15" t="s">
        <v>73</v>
      </c>
    </row>
    <row r="638" spans="1:9" x14ac:dyDescent="0.25">
      <c r="A638" s="6" t="s">
        <v>722</v>
      </c>
      <c r="B638" s="7">
        <v>45909</v>
      </c>
      <c r="C638" s="6" t="s">
        <v>75</v>
      </c>
      <c r="D638" s="6" t="s">
        <v>94</v>
      </c>
      <c r="E638" s="8">
        <v>7</v>
      </c>
      <c r="F638" s="9">
        <v>0.05</v>
      </c>
      <c r="G638" s="10" t="s">
        <v>55</v>
      </c>
      <c r="H638" s="10" t="s">
        <v>56</v>
      </c>
      <c r="I638" s="10" t="s">
        <v>65</v>
      </c>
    </row>
    <row r="639" spans="1:9" x14ac:dyDescent="0.25">
      <c r="A639" s="11" t="s">
        <v>723</v>
      </c>
      <c r="B639" s="12">
        <v>45902</v>
      </c>
      <c r="C639" s="11" t="s">
        <v>53</v>
      </c>
      <c r="D639" s="11" t="s">
        <v>63</v>
      </c>
      <c r="E639" s="13">
        <v>14</v>
      </c>
      <c r="F639" s="14">
        <v>0.15</v>
      </c>
      <c r="G639" s="15" t="s">
        <v>55</v>
      </c>
      <c r="H639" s="15" t="s">
        <v>69</v>
      </c>
      <c r="I639" s="15" t="s">
        <v>77</v>
      </c>
    </row>
    <row r="640" spans="1:9" x14ac:dyDescent="0.25">
      <c r="A640" s="6" t="s">
        <v>724</v>
      </c>
      <c r="B640" s="7">
        <v>46015</v>
      </c>
      <c r="C640" s="6" t="s">
        <v>105</v>
      </c>
      <c r="D640" s="6" t="s">
        <v>63</v>
      </c>
      <c r="E640" s="8">
        <v>25</v>
      </c>
      <c r="F640" s="9">
        <v>0</v>
      </c>
      <c r="G640" s="10" t="s">
        <v>61</v>
      </c>
      <c r="H640" s="10" t="s">
        <v>83</v>
      </c>
      <c r="I640" s="10" t="s">
        <v>57</v>
      </c>
    </row>
    <row r="641" spans="1:9" x14ac:dyDescent="0.25">
      <c r="A641" s="11" t="s">
        <v>725</v>
      </c>
      <c r="B641" s="12">
        <v>45852</v>
      </c>
      <c r="C641" s="11" t="s">
        <v>59</v>
      </c>
      <c r="D641" s="11" t="s">
        <v>76</v>
      </c>
      <c r="E641" s="13">
        <v>14</v>
      </c>
      <c r="F641" s="14">
        <v>0.2</v>
      </c>
      <c r="G641" s="15" t="s">
        <v>68</v>
      </c>
      <c r="H641" s="15" t="s">
        <v>56</v>
      </c>
      <c r="I641" s="15" t="s">
        <v>73</v>
      </c>
    </row>
    <row r="642" spans="1:9" x14ac:dyDescent="0.25">
      <c r="A642" s="6" t="s">
        <v>726</v>
      </c>
      <c r="B642" s="7">
        <v>45779</v>
      </c>
      <c r="C642" s="6" t="s">
        <v>105</v>
      </c>
      <c r="D642" s="6" t="s">
        <v>67</v>
      </c>
      <c r="E642" s="8">
        <v>10</v>
      </c>
      <c r="F642" s="9">
        <v>0.1</v>
      </c>
      <c r="G642" s="10" t="s">
        <v>68</v>
      </c>
      <c r="H642" s="10" t="s">
        <v>56</v>
      </c>
      <c r="I642" s="10" t="s">
        <v>65</v>
      </c>
    </row>
    <row r="643" spans="1:9" x14ac:dyDescent="0.25">
      <c r="A643" s="11" t="s">
        <v>727</v>
      </c>
      <c r="B643" s="12">
        <v>45875</v>
      </c>
      <c r="C643" s="11" t="s">
        <v>116</v>
      </c>
      <c r="D643" s="11" t="s">
        <v>88</v>
      </c>
      <c r="E643" s="13">
        <v>12</v>
      </c>
      <c r="F643" s="14">
        <v>0.1</v>
      </c>
      <c r="G643" s="15" t="s">
        <v>68</v>
      </c>
      <c r="H643" s="15" t="s">
        <v>69</v>
      </c>
      <c r="I643" s="15" t="s">
        <v>73</v>
      </c>
    </row>
    <row r="644" spans="1:9" x14ac:dyDescent="0.25">
      <c r="A644" s="6" t="s">
        <v>728</v>
      </c>
      <c r="B644" s="7">
        <v>45888</v>
      </c>
      <c r="C644" s="6" t="s">
        <v>90</v>
      </c>
      <c r="D644" s="6" t="s">
        <v>94</v>
      </c>
      <c r="E644" s="8">
        <v>10</v>
      </c>
      <c r="F644" s="9">
        <v>0.05</v>
      </c>
      <c r="G644" s="10" t="s">
        <v>61</v>
      </c>
      <c r="H644" s="10" t="s">
        <v>83</v>
      </c>
      <c r="I644" s="10" t="s">
        <v>73</v>
      </c>
    </row>
    <row r="645" spans="1:9" x14ac:dyDescent="0.25">
      <c r="A645" s="11" t="s">
        <v>729</v>
      </c>
      <c r="B645" s="12">
        <v>45778</v>
      </c>
      <c r="C645" s="11" t="s">
        <v>116</v>
      </c>
      <c r="D645" s="11" t="s">
        <v>63</v>
      </c>
      <c r="E645" s="13">
        <v>9</v>
      </c>
      <c r="F645" s="14">
        <v>0.05</v>
      </c>
      <c r="G645" s="15" t="s">
        <v>55</v>
      </c>
      <c r="H645" s="15" t="s">
        <v>69</v>
      </c>
      <c r="I645" s="15" t="s">
        <v>77</v>
      </c>
    </row>
    <row r="646" spans="1:9" x14ac:dyDescent="0.25">
      <c r="A646" s="6" t="s">
        <v>730</v>
      </c>
      <c r="B646" s="7">
        <v>45748</v>
      </c>
      <c r="C646" s="6" t="s">
        <v>105</v>
      </c>
      <c r="D646" s="6" t="s">
        <v>92</v>
      </c>
      <c r="E646" s="8">
        <v>3</v>
      </c>
      <c r="F646" s="9">
        <v>0.2</v>
      </c>
      <c r="G646" s="10" t="s">
        <v>68</v>
      </c>
      <c r="H646" s="10" t="s">
        <v>69</v>
      </c>
      <c r="I646" s="10" t="s">
        <v>73</v>
      </c>
    </row>
    <row r="647" spans="1:9" x14ac:dyDescent="0.25">
      <c r="A647" s="11" t="s">
        <v>731</v>
      </c>
      <c r="B647" s="12">
        <v>45786</v>
      </c>
      <c r="C647" s="11" t="s">
        <v>53</v>
      </c>
      <c r="D647" s="11" t="s">
        <v>63</v>
      </c>
      <c r="E647" s="13">
        <v>6</v>
      </c>
      <c r="F647" s="14">
        <v>0.05</v>
      </c>
      <c r="G647" s="15" t="s">
        <v>61</v>
      </c>
      <c r="H647" s="15" t="s">
        <v>56</v>
      </c>
      <c r="I647" s="15" t="s">
        <v>73</v>
      </c>
    </row>
    <row r="648" spans="1:9" x14ac:dyDescent="0.25">
      <c r="A648" s="6" t="s">
        <v>732</v>
      </c>
      <c r="B648" s="7">
        <v>45901</v>
      </c>
      <c r="C648" s="6" t="s">
        <v>59</v>
      </c>
      <c r="D648" s="6" t="s">
        <v>111</v>
      </c>
      <c r="E648" s="8">
        <v>8</v>
      </c>
      <c r="F648" s="9">
        <v>0.1</v>
      </c>
      <c r="G648" s="10" t="s">
        <v>68</v>
      </c>
      <c r="H648" s="10" t="s">
        <v>69</v>
      </c>
      <c r="I648" s="10" t="s">
        <v>73</v>
      </c>
    </row>
    <row r="649" spans="1:9" x14ac:dyDescent="0.25">
      <c r="A649" s="11" t="s">
        <v>733</v>
      </c>
      <c r="B649" s="12">
        <v>45944</v>
      </c>
      <c r="C649" s="11" t="s">
        <v>75</v>
      </c>
      <c r="D649" s="11" t="s">
        <v>63</v>
      </c>
      <c r="E649" s="13">
        <v>3</v>
      </c>
      <c r="F649" s="14">
        <v>0.15</v>
      </c>
      <c r="G649" s="15" t="s">
        <v>61</v>
      </c>
      <c r="H649" s="15" t="s">
        <v>69</v>
      </c>
      <c r="I649" s="15" t="s">
        <v>57</v>
      </c>
    </row>
    <row r="650" spans="1:9" x14ac:dyDescent="0.25">
      <c r="A650" s="6" t="s">
        <v>734</v>
      </c>
      <c r="B650" s="7">
        <v>45953</v>
      </c>
      <c r="C650" s="6" t="s">
        <v>90</v>
      </c>
      <c r="D650" s="6" t="s">
        <v>76</v>
      </c>
      <c r="E650" s="8">
        <v>14</v>
      </c>
      <c r="F650" s="9">
        <v>0.1</v>
      </c>
      <c r="G650" s="10" t="s">
        <v>64</v>
      </c>
      <c r="H650" s="10" t="s">
        <v>83</v>
      </c>
      <c r="I650" s="10" t="s">
        <v>65</v>
      </c>
    </row>
    <row r="651" spans="1:9" x14ac:dyDescent="0.25">
      <c r="A651" s="11" t="s">
        <v>735</v>
      </c>
      <c r="B651" s="12">
        <v>45698</v>
      </c>
      <c r="C651" s="11" t="s">
        <v>75</v>
      </c>
      <c r="D651" s="11" t="s">
        <v>92</v>
      </c>
      <c r="E651" s="13">
        <v>8</v>
      </c>
      <c r="F651" s="14">
        <v>0.05</v>
      </c>
      <c r="G651" s="15" t="s">
        <v>55</v>
      </c>
      <c r="H651" s="15" t="s">
        <v>83</v>
      </c>
      <c r="I651" s="15" t="s">
        <v>73</v>
      </c>
    </row>
    <row r="652" spans="1:9" x14ac:dyDescent="0.25">
      <c r="A652" s="6" t="s">
        <v>736</v>
      </c>
      <c r="B652" s="7">
        <v>45873</v>
      </c>
      <c r="C652" s="6" t="s">
        <v>116</v>
      </c>
      <c r="D652" s="6" t="s">
        <v>60</v>
      </c>
      <c r="E652" s="8">
        <v>5</v>
      </c>
      <c r="F652" s="9">
        <v>0.05</v>
      </c>
      <c r="G652" s="10" t="s">
        <v>68</v>
      </c>
      <c r="H652" s="10" t="s">
        <v>56</v>
      </c>
      <c r="I652" s="10" t="s">
        <v>73</v>
      </c>
    </row>
    <row r="653" spans="1:9" x14ac:dyDescent="0.25">
      <c r="A653" s="11" t="s">
        <v>737</v>
      </c>
      <c r="B653" s="12">
        <v>45820</v>
      </c>
      <c r="C653" s="11" t="s">
        <v>75</v>
      </c>
      <c r="D653" s="11" t="s">
        <v>60</v>
      </c>
      <c r="E653" s="13">
        <v>11</v>
      </c>
      <c r="F653" s="14">
        <v>0.2</v>
      </c>
      <c r="G653" s="15" t="s">
        <v>64</v>
      </c>
      <c r="H653" s="15" t="s">
        <v>69</v>
      </c>
      <c r="I653" s="15" t="s">
        <v>65</v>
      </c>
    </row>
    <row r="654" spans="1:9" x14ac:dyDescent="0.25">
      <c r="A654" s="6" t="s">
        <v>738</v>
      </c>
      <c r="B654" s="7">
        <v>45843</v>
      </c>
      <c r="C654" s="6" t="s">
        <v>105</v>
      </c>
      <c r="D654" s="6" t="s">
        <v>85</v>
      </c>
      <c r="E654" s="8">
        <v>8</v>
      </c>
      <c r="F654" s="9">
        <v>0.05</v>
      </c>
      <c r="G654" s="10" t="s">
        <v>61</v>
      </c>
      <c r="H654" s="10" t="s">
        <v>56</v>
      </c>
      <c r="I654" s="10" t="s">
        <v>57</v>
      </c>
    </row>
    <row r="655" spans="1:9" x14ac:dyDescent="0.25">
      <c r="A655" s="11" t="s">
        <v>739</v>
      </c>
      <c r="B655" s="12">
        <v>45996</v>
      </c>
      <c r="C655" s="11" t="s">
        <v>59</v>
      </c>
      <c r="D655" s="11" t="s">
        <v>67</v>
      </c>
      <c r="E655" s="13">
        <v>4</v>
      </c>
      <c r="F655" s="14">
        <v>0.05</v>
      </c>
      <c r="G655" s="15" t="s">
        <v>64</v>
      </c>
      <c r="H655" s="15" t="s">
        <v>56</v>
      </c>
      <c r="I655" s="15" t="s">
        <v>77</v>
      </c>
    </row>
    <row r="656" spans="1:9" x14ac:dyDescent="0.25">
      <c r="A656" s="6" t="s">
        <v>740</v>
      </c>
      <c r="B656" s="7">
        <v>45690</v>
      </c>
      <c r="C656" s="6" t="s">
        <v>105</v>
      </c>
      <c r="D656" s="6" t="s">
        <v>103</v>
      </c>
      <c r="E656" s="8">
        <v>9</v>
      </c>
      <c r="F656" s="9">
        <v>0</v>
      </c>
      <c r="G656" s="10" t="s">
        <v>61</v>
      </c>
      <c r="H656" s="10" t="s">
        <v>69</v>
      </c>
      <c r="I656" s="10" t="s">
        <v>77</v>
      </c>
    </row>
    <row r="657" spans="1:9" x14ac:dyDescent="0.25">
      <c r="A657" s="11" t="s">
        <v>741</v>
      </c>
      <c r="B657" s="12">
        <v>45711</v>
      </c>
      <c r="C657" s="11" t="s">
        <v>90</v>
      </c>
      <c r="D657" s="11" t="s">
        <v>67</v>
      </c>
      <c r="E657" s="13">
        <v>2</v>
      </c>
      <c r="F657" s="14">
        <v>0.15</v>
      </c>
      <c r="G657" s="15" t="s">
        <v>68</v>
      </c>
      <c r="H657" s="15" t="s">
        <v>56</v>
      </c>
      <c r="I657" s="15" t="s">
        <v>57</v>
      </c>
    </row>
    <row r="658" spans="1:9" x14ac:dyDescent="0.25">
      <c r="A658" s="6" t="s">
        <v>742</v>
      </c>
      <c r="B658" s="7">
        <v>45803</v>
      </c>
      <c r="C658" s="6" t="s">
        <v>90</v>
      </c>
      <c r="D658" s="6" t="s">
        <v>96</v>
      </c>
      <c r="E658" s="8">
        <v>3</v>
      </c>
      <c r="F658" s="9">
        <v>0.2</v>
      </c>
      <c r="G658" s="10" t="s">
        <v>55</v>
      </c>
      <c r="H658" s="10" t="s">
        <v>56</v>
      </c>
      <c r="I658" s="10" t="s">
        <v>77</v>
      </c>
    </row>
    <row r="659" spans="1:9" x14ac:dyDescent="0.25">
      <c r="A659" s="11" t="s">
        <v>743</v>
      </c>
      <c r="B659" s="12">
        <v>45997</v>
      </c>
      <c r="C659" s="11" t="s">
        <v>71</v>
      </c>
      <c r="D659" s="11" t="s">
        <v>82</v>
      </c>
      <c r="E659" s="13">
        <v>8</v>
      </c>
      <c r="F659" s="14">
        <v>0.15</v>
      </c>
      <c r="G659" s="15" t="s">
        <v>68</v>
      </c>
      <c r="H659" s="15" t="s">
        <v>83</v>
      </c>
      <c r="I659" s="15" t="s">
        <v>65</v>
      </c>
    </row>
    <row r="660" spans="1:9" x14ac:dyDescent="0.25">
      <c r="A660" s="6" t="s">
        <v>744</v>
      </c>
      <c r="B660" s="7">
        <v>45727</v>
      </c>
      <c r="C660" s="6" t="s">
        <v>90</v>
      </c>
      <c r="D660" s="6" t="s">
        <v>85</v>
      </c>
      <c r="E660" s="8">
        <v>22</v>
      </c>
      <c r="F660" s="9">
        <v>0.15</v>
      </c>
      <c r="G660" s="10" t="s">
        <v>64</v>
      </c>
      <c r="H660" s="10" t="s">
        <v>83</v>
      </c>
      <c r="I660" s="10" t="s">
        <v>73</v>
      </c>
    </row>
    <row r="661" spans="1:9" x14ac:dyDescent="0.25">
      <c r="A661" s="11" t="s">
        <v>745</v>
      </c>
      <c r="B661" s="12">
        <v>45835</v>
      </c>
      <c r="C661" s="11" t="s">
        <v>80</v>
      </c>
      <c r="D661" s="11" t="s">
        <v>96</v>
      </c>
      <c r="E661" s="13">
        <v>2</v>
      </c>
      <c r="F661" s="14">
        <v>0.15</v>
      </c>
      <c r="G661" s="15" t="s">
        <v>68</v>
      </c>
      <c r="H661" s="15" t="s">
        <v>69</v>
      </c>
      <c r="I661" s="15" t="s">
        <v>65</v>
      </c>
    </row>
    <row r="662" spans="1:9" x14ac:dyDescent="0.25">
      <c r="A662" s="6" t="s">
        <v>746</v>
      </c>
      <c r="B662" s="7">
        <v>45791</v>
      </c>
      <c r="C662" s="6" t="s">
        <v>75</v>
      </c>
      <c r="D662" s="6" t="s">
        <v>94</v>
      </c>
      <c r="E662" s="8">
        <v>1</v>
      </c>
      <c r="F662" s="9">
        <v>0</v>
      </c>
      <c r="G662" s="10" t="s">
        <v>55</v>
      </c>
      <c r="H662" s="10" t="s">
        <v>69</v>
      </c>
      <c r="I662" s="10" t="s">
        <v>73</v>
      </c>
    </row>
    <row r="663" spans="1:9" x14ac:dyDescent="0.25">
      <c r="A663" s="11" t="s">
        <v>747</v>
      </c>
      <c r="B663" s="12">
        <v>45898</v>
      </c>
      <c r="C663" s="11" t="s">
        <v>53</v>
      </c>
      <c r="D663" s="11" t="s">
        <v>63</v>
      </c>
      <c r="E663" s="13">
        <v>18</v>
      </c>
      <c r="F663" s="14">
        <v>0.15</v>
      </c>
      <c r="G663" s="15" t="s">
        <v>68</v>
      </c>
      <c r="H663" s="15" t="s">
        <v>56</v>
      </c>
      <c r="I663" s="15" t="s">
        <v>65</v>
      </c>
    </row>
    <row r="664" spans="1:9" x14ac:dyDescent="0.25">
      <c r="A664" s="6" t="s">
        <v>748</v>
      </c>
      <c r="B664" s="7">
        <v>45807</v>
      </c>
      <c r="C664" s="6" t="s">
        <v>80</v>
      </c>
      <c r="D664" s="6" t="s">
        <v>76</v>
      </c>
      <c r="E664" s="8">
        <v>20</v>
      </c>
      <c r="F664" s="9">
        <v>0.1</v>
      </c>
      <c r="G664" s="10" t="s">
        <v>55</v>
      </c>
      <c r="H664" s="10" t="s">
        <v>69</v>
      </c>
      <c r="I664" s="10" t="s">
        <v>65</v>
      </c>
    </row>
    <row r="665" spans="1:9" x14ac:dyDescent="0.25">
      <c r="A665" s="11" t="s">
        <v>749</v>
      </c>
      <c r="B665" s="12">
        <v>45860</v>
      </c>
      <c r="C665" s="11" t="s">
        <v>90</v>
      </c>
      <c r="D665" s="11" t="s">
        <v>88</v>
      </c>
      <c r="E665" s="13">
        <v>12</v>
      </c>
      <c r="F665" s="14">
        <v>0.15</v>
      </c>
      <c r="G665" s="15" t="s">
        <v>64</v>
      </c>
      <c r="H665" s="15" t="s">
        <v>56</v>
      </c>
      <c r="I665" s="15" t="s">
        <v>73</v>
      </c>
    </row>
    <row r="666" spans="1:9" x14ac:dyDescent="0.25">
      <c r="A666" s="6" t="s">
        <v>750</v>
      </c>
      <c r="B666" s="7">
        <v>45698</v>
      </c>
      <c r="C666" s="6" t="s">
        <v>80</v>
      </c>
      <c r="D666" s="6" t="s">
        <v>92</v>
      </c>
      <c r="E666" s="8">
        <v>9</v>
      </c>
      <c r="F666" s="9">
        <v>0.2</v>
      </c>
      <c r="G666" s="10" t="s">
        <v>68</v>
      </c>
      <c r="H666" s="10" t="s">
        <v>69</v>
      </c>
      <c r="I666" s="10" t="s">
        <v>73</v>
      </c>
    </row>
    <row r="667" spans="1:9" x14ac:dyDescent="0.25">
      <c r="A667" s="11" t="s">
        <v>751</v>
      </c>
      <c r="B667" s="12">
        <v>45869</v>
      </c>
      <c r="C667" s="11" t="s">
        <v>59</v>
      </c>
      <c r="D667" s="11" t="s">
        <v>88</v>
      </c>
      <c r="E667" s="13">
        <v>3</v>
      </c>
      <c r="F667" s="14">
        <v>0.05</v>
      </c>
      <c r="G667" s="15" t="s">
        <v>68</v>
      </c>
      <c r="H667" s="15" t="s">
        <v>56</v>
      </c>
      <c r="I667" s="15" t="s">
        <v>65</v>
      </c>
    </row>
    <row r="668" spans="1:9" x14ac:dyDescent="0.25">
      <c r="A668" s="6" t="s">
        <v>752</v>
      </c>
      <c r="B668" s="7">
        <v>45974</v>
      </c>
      <c r="C668" s="6" t="s">
        <v>75</v>
      </c>
      <c r="D668" s="6" t="s">
        <v>96</v>
      </c>
      <c r="E668" s="8">
        <v>12</v>
      </c>
      <c r="F668" s="9">
        <v>0.2</v>
      </c>
      <c r="G668" s="10" t="s">
        <v>64</v>
      </c>
      <c r="H668" s="10" t="s">
        <v>56</v>
      </c>
      <c r="I668" s="10" t="s">
        <v>73</v>
      </c>
    </row>
    <row r="669" spans="1:9" x14ac:dyDescent="0.25">
      <c r="A669" s="11" t="s">
        <v>753</v>
      </c>
      <c r="B669" s="12">
        <v>45667</v>
      </c>
      <c r="C669" s="11" t="s">
        <v>53</v>
      </c>
      <c r="D669" s="11" t="s">
        <v>94</v>
      </c>
      <c r="E669" s="13">
        <v>9</v>
      </c>
      <c r="F669" s="14">
        <v>0</v>
      </c>
      <c r="G669" s="15" t="s">
        <v>55</v>
      </c>
      <c r="H669" s="15" t="s">
        <v>56</v>
      </c>
      <c r="I669" s="15" t="s">
        <v>73</v>
      </c>
    </row>
    <row r="670" spans="1:9" x14ac:dyDescent="0.25">
      <c r="A670" s="6" t="s">
        <v>754</v>
      </c>
      <c r="B670" s="7">
        <v>45795</v>
      </c>
      <c r="C670" s="6" t="s">
        <v>105</v>
      </c>
      <c r="D670" s="6" t="s">
        <v>94</v>
      </c>
      <c r="E670" s="8">
        <v>12</v>
      </c>
      <c r="F670" s="9">
        <v>0</v>
      </c>
      <c r="G670" s="10" t="s">
        <v>55</v>
      </c>
      <c r="H670" s="10" t="s">
        <v>56</v>
      </c>
      <c r="I670" s="10" t="s">
        <v>57</v>
      </c>
    </row>
    <row r="671" spans="1:9" x14ac:dyDescent="0.25">
      <c r="A671" s="11" t="s">
        <v>755</v>
      </c>
      <c r="B671" s="12">
        <v>45665</v>
      </c>
      <c r="C671" s="11" t="s">
        <v>80</v>
      </c>
      <c r="D671" s="11" t="s">
        <v>96</v>
      </c>
      <c r="E671" s="13">
        <v>6</v>
      </c>
      <c r="F671" s="14">
        <v>0.15</v>
      </c>
      <c r="G671" s="15" t="s">
        <v>68</v>
      </c>
      <c r="H671" s="15" t="s">
        <v>69</v>
      </c>
      <c r="I671" s="15" t="s">
        <v>73</v>
      </c>
    </row>
    <row r="672" spans="1:9" x14ac:dyDescent="0.25">
      <c r="A672" s="6" t="s">
        <v>756</v>
      </c>
      <c r="B672" s="7">
        <v>45895</v>
      </c>
      <c r="C672" s="6" t="s">
        <v>53</v>
      </c>
      <c r="D672" s="6" t="s">
        <v>85</v>
      </c>
      <c r="E672" s="8">
        <v>5</v>
      </c>
      <c r="F672" s="9">
        <v>0.05</v>
      </c>
      <c r="G672" s="10" t="s">
        <v>61</v>
      </c>
      <c r="H672" s="10" t="s">
        <v>69</v>
      </c>
      <c r="I672" s="10" t="s">
        <v>65</v>
      </c>
    </row>
    <row r="673" spans="1:9" x14ac:dyDescent="0.25">
      <c r="A673" s="11" t="s">
        <v>757</v>
      </c>
      <c r="B673" s="12">
        <v>45694</v>
      </c>
      <c r="C673" s="11" t="s">
        <v>105</v>
      </c>
      <c r="D673" s="11" t="s">
        <v>63</v>
      </c>
      <c r="E673" s="13">
        <v>9</v>
      </c>
      <c r="F673" s="14">
        <v>0.1</v>
      </c>
      <c r="G673" s="15" t="s">
        <v>64</v>
      </c>
      <c r="H673" s="15" t="s">
        <v>56</v>
      </c>
      <c r="I673" s="15" t="s">
        <v>77</v>
      </c>
    </row>
    <row r="674" spans="1:9" x14ac:dyDescent="0.25">
      <c r="A674" s="6" t="s">
        <v>758</v>
      </c>
      <c r="B674" s="7">
        <v>45785</v>
      </c>
      <c r="C674" s="6" t="s">
        <v>105</v>
      </c>
      <c r="D674" s="6" t="s">
        <v>92</v>
      </c>
      <c r="E674" s="8">
        <v>4</v>
      </c>
      <c r="F674" s="9">
        <v>0</v>
      </c>
      <c r="G674" s="10" t="s">
        <v>55</v>
      </c>
      <c r="H674" s="10" t="s">
        <v>69</v>
      </c>
      <c r="I674" s="10" t="s">
        <v>77</v>
      </c>
    </row>
    <row r="675" spans="1:9" x14ac:dyDescent="0.25">
      <c r="A675" s="11" t="s">
        <v>759</v>
      </c>
      <c r="B675" s="12">
        <v>45924</v>
      </c>
      <c r="C675" s="11" t="s">
        <v>80</v>
      </c>
      <c r="D675" s="11" t="s">
        <v>60</v>
      </c>
      <c r="E675" s="13">
        <v>15</v>
      </c>
      <c r="F675" s="14">
        <v>0.1</v>
      </c>
      <c r="G675" s="15" t="s">
        <v>68</v>
      </c>
      <c r="H675" s="15" t="s">
        <v>56</v>
      </c>
      <c r="I675" s="15" t="s">
        <v>77</v>
      </c>
    </row>
    <row r="676" spans="1:9" x14ac:dyDescent="0.25">
      <c r="A676" s="6" t="s">
        <v>760</v>
      </c>
      <c r="B676" s="7">
        <v>45939</v>
      </c>
      <c r="C676" s="6" t="s">
        <v>59</v>
      </c>
      <c r="D676" s="6" t="s">
        <v>63</v>
      </c>
      <c r="E676" s="8">
        <v>18</v>
      </c>
      <c r="F676" s="9">
        <v>0.1</v>
      </c>
      <c r="G676" s="10" t="s">
        <v>55</v>
      </c>
      <c r="H676" s="10" t="s">
        <v>69</v>
      </c>
      <c r="I676" s="10" t="s">
        <v>77</v>
      </c>
    </row>
    <row r="677" spans="1:9" x14ac:dyDescent="0.25">
      <c r="A677" s="11" t="s">
        <v>761</v>
      </c>
      <c r="B677" s="12">
        <v>45999</v>
      </c>
      <c r="C677" s="11" t="s">
        <v>59</v>
      </c>
      <c r="D677" s="11" t="s">
        <v>88</v>
      </c>
      <c r="E677" s="13">
        <v>4</v>
      </c>
      <c r="F677" s="14">
        <v>0.15</v>
      </c>
      <c r="G677" s="15" t="s">
        <v>68</v>
      </c>
      <c r="H677" s="15" t="s">
        <v>56</v>
      </c>
      <c r="I677" s="15" t="s">
        <v>57</v>
      </c>
    </row>
    <row r="678" spans="1:9" x14ac:dyDescent="0.25">
      <c r="A678" s="6" t="s">
        <v>762</v>
      </c>
      <c r="B678" s="7">
        <v>45799</v>
      </c>
      <c r="C678" s="6" t="s">
        <v>59</v>
      </c>
      <c r="D678" s="6" t="s">
        <v>76</v>
      </c>
      <c r="E678" s="8">
        <v>28</v>
      </c>
      <c r="F678" s="9">
        <v>0.05</v>
      </c>
      <c r="G678" s="10" t="s">
        <v>61</v>
      </c>
      <c r="H678" s="10" t="s">
        <v>56</v>
      </c>
      <c r="I678" s="10" t="s">
        <v>65</v>
      </c>
    </row>
    <row r="679" spans="1:9" x14ac:dyDescent="0.25">
      <c r="A679" s="11" t="s">
        <v>763</v>
      </c>
      <c r="B679" s="12">
        <v>46010</v>
      </c>
      <c r="C679" s="11" t="s">
        <v>90</v>
      </c>
      <c r="D679" s="11" t="s">
        <v>76</v>
      </c>
      <c r="E679" s="13">
        <v>27</v>
      </c>
      <c r="F679" s="14">
        <v>0</v>
      </c>
      <c r="G679" s="15" t="s">
        <v>55</v>
      </c>
      <c r="H679" s="15" t="s">
        <v>56</v>
      </c>
      <c r="I679" s="15" t="s">
        <v>65</v>
      </c>
    </row>
    <row r="680" spans="1:9" x14ac:dyDescent="0.25">
      <c r="A680" s="6" t="s">
        <v>764</v>
      </c>
      <c r="B680" s="7">
        <v>45704</v>
      </c>
      <c r="C680" s="6" t="s">
        <v>71</v>
      </c>
      <c r="D680" s="6" t="s">
        <v>60</v>
      </c>
      <c r="E680" s="8">
        <v>4</v>
      </c>
      <c r="F680" s="9">
        <v>0</v>
      </c>
      <c r="G680" s="10" t="s">
        <v>68</v>
      </c>
      <c r="H680" s="10" t="s">
        <v>83</v>
      </c>
      <c r="I680" s="10" t="s">
        <v>57</v>
      </c>
    </row>
    <row r="681" spans="1:9" x14ac:dyDescent="0.25">
      <c r="A681" s="11" t="s">
        <v>765</v>
      </c>
      <c r="B681" s="12">
        <v>46017</v>
      </c>
      <c r="C681" s="11" t="s">
        <v>59</v>
      </c>
      <c r="D681" s="11" t="s">
        <v>63</v>
      </c>
      <c r="E681" s="13">
        <v>18</v>
      </c>
      <c r="F681" s="14">
        <v>0.05</v>
      </c>
      <c r="G681" s="15" t="s">
        <v>68</v>
      </c>
      <c r="H681" s="15" t="s">
        <v>83</v>
      </c>
      <c r="I681" s="15" t="s">
        <v>73</v>
      </c>
    </row>
    <row r="682" spans="1:9" x14ac:dyDescent="0.25">
      <c r="A682" s="6" t="s">
        <v>766</v>
      </c>
      <c r="B682" s="7">
        <v>45882</v>
      </c>
      <c r="C682" s="6" t="s">
        <v>80</v>
      </c>
      <c r="D682" s="6" t="s">
        <v>85</v>
      </c>
      <c r="E682" s="8">
        <v>25</v>
      </c>
      <c r="F682" s="9">
        <v>0.15</v>
      </c>
      <c r="G682" s="10" t="s">
        <v>68</v>
      </c>
      <c r="H682" s="10" t="s">
        <v>83</v>
      </c>
      <c r="I682" s="10" t="s">
        <v>57</v>
      </c>
    </row>
    <row r="683" spans="1:9" x14ac:dyDescent="0.25">
      <c r="A683" s="11" t="s">
        <v>767</v>
      </c>
      <c r="B683" s="12">
        <v>45786</v>
      </c>
      <c r="C683" s="11" t="s">
        <v>53</v>
      </c>
      <c r="D683" s="11" t="s">
        <v>103</v>
      </c>
      <c r="E683" s="13">
        <v>8</v>
      </c>
      <c r="F683" s="14">
        <v>0.15</v>
      </c>
      <c r="G683" s="15" t="s">
        <v>68</v>
      </c>
      <c r="H683" s="15" t="s">
        <v>83</v>
      </c>
      <c r="I683" s="15" t="s">
        <v>65</v>
      </c>
    </row>
    <row r="684" spans="1:9" x14ac:dyDescent="0.25">
      <c r="A684" s="6" t="s">
        <v>768</v>
      </c>
      <c r="B684" s="7">
        <v>45755</v>
      </c>
      <c r="C684" s="6" t="s">
        <v>90</v>
      </c>
      <c r="D684" s="6" t="s">
        <v>76</v>
      </c>
      <c r="E684" s="8">
        <v>14</v>
      </c>
      <c r="F684" s="9">
        <v>0.1</v>
      </c>
      <c r="G684" s="10" t="s">
        <v>64</v>
      </c>
      <c r="H684" s="10" t="s">
        <v>69</v>
      </c>
      <c r="I684" s="10" t="s">
        <v>57</v>
      </c>
    </row>
    <row r="685" spans="1:9" x14ac:dyDescent="0.25">
      <c r="A685" s="11" t="s">
        <v>769</v>
      </c>
      <c r="B685" s="12">
        <v>45693</v>
      </c>
      <c r="C685" s="11" t="s">
        <v>90</v>
      </c>
      <c r="D685" s="11" t="s">
        <v>63</v>
      </c>
      <c r="E685" s="13">
        <v>12</v>
      </c>
      <c r="F685" s="14">
        <v>0.1</v>
      </c>
      <c r="G685" s="15" t="s">
        <v>68</v>
      </c>
      <c r="H685" s="15" t="s">
        <v>69</v>
      </c>
      <c r="I685" s="15" t="s">
        <v>77</v>
      </c>
    </row>
    <row r="686" spans="1:9" x14ac:dyDescent="0.25">
      <c r="A686" s="6" t="s">
        <v>770</v>
      </c>
      <c r="B686" s="7">
        <v>45984</v>
      </c>
      <c r="C686" s="6" t="s">
        <v>116</v>
      </c>
      <c r="D686" s="6" t="s">
        <v>63</v>
      </c>
      <c r="E686" s="8">
        <v>8</v>
      </c>
      <c r="F686" s="9">
        <v>0</v>
      </c>
      <c r="G686" s="10" t="s">
        <v>68</v>
      </c>
      <c r="H686" s="10" t="s">
        <v>83</v>
      </c>
      <c r="I686" s="10" t="s">
        <v>57</v>
      </c>
    </row>
    <row r="687" spans="1:9" x14ac:dyDescent="0.25">
      <c r="A687" s="11" t="s">
        <v>771</v>
      </c>
      <c r="B687" s="12">
        <v>45822</v>
      </c>
      <c r="C687" s="11" t="s">
        <v>59</v>
      </c>
      <c r="D687" s="11" t="s">
        <v>85</v>
      </c>
      <c r="E687" s="13">
        <v>20</v>
      </c>
      <c r="F687" s="14">
        <v>0.15</v>
      </c>
      <c r="G687" s="15" t="s">
        <v>55</v>
      </c>
      <c r="H687" s="15" t="s">
        <v>83</v>
      </c>
      <c r="I687" s="15" t="s">
        <v>65</v>
      </c>
    </row>
    <row r="688" spans="1:9" x14ac:dyDescent="0.25">
      <c r="A688" s="6" t="s">
        <v>772</v>
      </c>
      <c r="B688" s="7">
        <v>45940</v>
      </c>
      <c r="C688" s="6" t="s">
        <v>75</v>
      </c>
      <c r="D688" s="6" t="s">
        <v>94</v>
      </c>
      <c r="E688" s="8">
        <v>6</v>
      </c>
      <c r="F688" s="9">
        <v>0.15</v>
      </c>
      <c r="G688" s="10" t="s">
        <v>68</v>
      </c>
      <c r="H688" s="10" t="s">
        <v>56</v>
      </c>
      <c r="I688" s="10" t="s">
        <v>77</v>
      </c>
    </row>
    <row r="689" spans="1:9" x14ac:dyDescent="0.25">
      <c r="A689" s="11" t="s">
        <v>773</v>
      </c>
      <c r="B689" s="12">
        <v>45925</v>
      </c>
      <c r="C689" s="11" t="s">
        <v>59</v>
      </c>
      <c r="D689" s="11" t="s">
        <v>60</v>
      </c>
      <c r="E689" s="13">
        <v>29</v>
      </c>
      <c r="F689" s="14">
        <v>0.05</v>
      </c>
      <c r="G689" s="15" t="s">
        <v>55</v>
      </c>
      <c r="H689" s="15" t="s">
        <v>56</v>
      </c>
      <c r="I689" s="15" t="s">
        <v>57</v>
      </c>
    </row>
    <row r="690" spans="1:9" x14ac:dyDescent="0.25">
      <c r="A690" s="6" t="s">
        <v>774</v>
      </c>
      <c r="B690" s="7">
        <v>45712</v>
      </c>
      <c r="C690" s="6" t="s">
        <v>80</v>
      </c>
      <c r="D690" s="6" t="s">
        <v>96</v>
      </c>
      <c r="E690" s="8">
        <v>2</v>
      </c>
      <c r="F690" s="9">
        <v>0</v>
      </c>
      <c r="G690" s="10" t="s">
        <v>64</v>
      </c>
      <c r="H690" s="10" t="s">
        <v>83</v>
      </c>
      <c r="I690" s="10" t="s">
        <v>65</v>
      </c>
    </row>
    <row r="691" spans="1:9" x14ac:dyDescent="0.25">
      <c r="A691" s="11" t="s">
        <v>775</v>
      </c>
      <c r="B691" s="12">
        <v>45927</v>
      </c>
      <c r="C691" s="11" t="s">
        <v>75</v>
      </c>
      <c r="D691" s="11" t="s">
        <v>76</v>
      </c>
      <c r="E691" s="13">
        <v>14</v>
      </c>
      <c r="F691" s="14">
        <v>0.05</v>
      </c>
      <c r="G691" s="15" t="s">
        <v>61</v>
      </c>
      <c r="H691" s="15" t="s">
        <v>56</v>
      </c>
      <c r="I691" s="15" t="s">
        <v>57</v>
      </c>
    </row>
    <row r="692" spans="1:9" x14ac:dyDescent="0.25">
      <c r="A692" s="6" t="s">
        <v>776</v>
      </c>
      <c r="B692" s="7">
        <v>45993</v>
      </c>
      <c r="C692" s="6" t="s">
        <v>59</v>
      </c>
      <c r="D692" s="6" t="s">
        <v>96</v>
      </c>
      <c r="E692" s="8">
        <v>8</v>
      </c>
      <c r="F692" s="9">
        <v>0</v>
      </c>
      <c r="G692" s="10" t="s">
        <v>68</v>
      </c>
      <c r="H692" s="10" t="s">
        <v>83</v>
      </c>
      <c r="I692" s="10" t="s">
        <v>65</v>
      </c>
    </row>
    <row r="693" spans="1:9" x14ac:dyDescent="0.25">
      <c r="A693" s="11" t="s">
        <v>777</v>
      </c>
      <c r="B693" s="12">
        <v>45846</v>
      </c>
      <c r="C693" s="11" t="s">
        <v>53</v>
      </c>
      <c r="D693" s="11" t="s">
        <v>72</v>
      </c>
      <c r="E693" s="13">
        <v>10</v>
      </c>
      <c r="F693" s="14">
        <v>0.1</v>
      </c>
      <c r="G693" s="15" t="s">
        <v>61</v>
      </c>
      <c r="H693" s="15" t="s">
        <v>83</v>
      </c>
      <c r="I693" s="15" t="s">
        <v>77</v>
      </c>
    </row>
    <row r="694" spans="1:9" x14ac:dyDescent="0.25">
      <c r="A694" s="6" t="s">
        <v>778</v>
      </c>
      <c r="B694" s="7">
        <v>45813</v>
      </c>
      <c r="C694" s="6" t="s">
        <v>80</v>
      </c>
      <c r="D694" s="6" t="s">
        <v>54</v>
      </c>
      <c r="E694" s="8">
        <v>9</v>
      </c>
      <c r="F694" s="9">
        <v>0</v>
      </c>
      <c r="G694" s="10" t="s">
        <v>61</v>
      </c>
      <c r="H694" s="10" t="s">
        <v>83</v>
      </c>
      <c r="I694" s="10" t="s">
        <v>57</v>
      </c>
    </row>
    <row r="695" spans="1:9" x14ac:dyDescent="0.25">
      <c r="A695" s="11" t="s">
        <v>779</v>
      </c>
      <c r="B695" s="12">
        <v>45930</v>
      </c>
      <c r="C695" s="11" t="s">
        <v>80</v>
      </c>
      <c r="D695" s="11" t="s">
        <v>92</v>
      </c>
      <c r="E695" s="13">
        <v>4</v>
      </c>
      <c r="F695" s="14">
        <v>0.2</v>
      </c>
      <c r="G695" s="15" t="s">
        <v>55</v>
      </c>
      <c r="H695" s="15" t="s">
        <v>83</v>
      </c>
      <c r="I695" s="15" t="s">
        <v>57</v>
      </c>
    </row>
    <row r="696" spans="1:9" x14ac:dyDescent="0.25">
      <c r="A696" s="6" t="s">
        <v>780</v>
      </c>
      <c r="B696" s="7">
        <v>45943</v>
      </c>
      <c r="C696" s="6" t="s">
        <v>116</v>
      </c>
      <c r="D696" s="6" t="s">
        <v>85</v>
      </c>
      <c r="E696" s="8">
        <v>6</v>
      </c>
      <c r="F696" s="9">
        <v>0.2</v>
      </c>
      <c r="G696" s="10" t="s">
        <v>68</v>
      </c>
      <c r="H696" s="10" t="s">
        <v>83</v>
      </c>
      <c r="I696" s="10" t="s">
        <v>65</v>
      </c>
    </row>
    <row r="697" spans="1:9" x14ac:dyDescent="0.25">
      <c r="A697" s="11" t="s">
        <v>781</v>
      </c>
      <c r="B697" s="12">
        <v>46017</v>
      </c>
      <c r="C697" s="11" t="s">
        <v>116</v>
      </c>
      <c r="D697" s="11" t="s">
        <v>60</v>
      </c>
      <c r="E697" s="13">
        <v>8</v>
      </c>
      <c r="F697" s="14">
        <v>0.05</v>
      </c>
      <c r="G697" s="15" t="s">
        <v>64</v>
      </c>
      <c r="H697" s="15" t="s">
        <v>83</v>
      </c>
      <c r="I697" s="15" t="s">
        <v>73</v>
      </c>
    </row>
    <row r="698" spans="1:9" x14ac:dyDescent="0.25">
      <c r="A698" s="6" t="s">
        <v>782</v>
      </c>
      <c r="B698" s="7">
        <v>45994</v>
      </c>
      <c r="C698" s="6" t="s">
        <v>105</v>
      </c>
      <c r="D698" s="6" t="s">
        <v>94</v>
      </c>
      <c r="E698" s="8">
        <v>6</v>
      </c>
      <c r="F698" s="9">
        <v>0.1</v>
      </c>
      <c r="G698" s="10" t="s">
        <v>68</v>
      </c>
      <c r="H698" s="10" t="s">
        <v>69</v>
      </c>
      <c r="I698" s="10" t="s">
        <v>65</v>
      </c>
    </row>
    <row r="699" spans="1:9" x14ac:dyDescent="0.25">
      <c r="A699" s="11" t="s">
        <v>783</v>
      </c>
      <c r="B699" s="12">
        <v>45982</v>
      </c>
      <c r="C699" s="11" t="s">
        <v>71</v>
      </c>
      <c r="D699" s="11" t="s">
        <v>92</v>
      </c>
      <c r="E699" s="13">
        <v>10</v>
      </c>
      <c r="F699" s="14">
        <v>0.05</v>
      </c>
      <c r="G699" s="15" t="s">
        <v>55</v>
      </c>
      <c r="H699" s="15" t="s">
        <v>69</v>
      </c>
      <c r="I699" s="15" t="s">
        <v>73</v>
      </c>
    </row>
    <row r="700" spans="1:9" x14ac:dyDescent="0.25">
      <c r="A700" s="6" t="s">
        <v>784</v>
      </c>
      <c r="B700" s="7">
        <v>45842</v>
      </c>
      <c r="C700" s="6" t="s">
        <v>105</v>
      </c>
      <c r="D700" s="6" t="s">
        <v>96</v>
      </c>
      <c r="E700" s="8">
        <v>7</v>
      </c>
      <c r="F700" s="9">
        <v>0</v>
      </c>
      <c r="G700" s="10" t="s">
        <v>61</v>
      </c>
      <c r="H700" s="10" t="s">
        <v>69</v>
      </c>
      <c r="I700" s="10" t="s">
        <v>77</v>
      </c>
    </row>
    <row r="701" spans="1:9" x14ac:dyDescent="0.25">
      <c r="A701" s="11" t="s">
        <v>785</v>
      </c>
      <c r="B701" s="12">
        <v>45923</v>
      </c>
      <c r="C701" s="11" t="s">
        <v>75</v>
      </c>
      <c r="D701" s="11" t="s">
        <v>94</v>
      </c>
      <c r="E701" s="13">
        <v>1</v>
      </c>
      <c r="F701" s="14">
        <v>0.1</v>
      </c>
      <c r="G701" s="15" t="s">
        <v>55</v>
      </c>
      <c r="H701" s="15" t="s">
        <v>56</v>
      </c>
      <c r="I701" s="15" t="s">
        <v>73</v>
      </c>
    </row>
    <row r="702" spans="1:9" x14ac:dyDescent="0.25">
      <c r="A702" s="6" t="s">
        <v>786</v>
      </c>
      <c r="B702" s="7">
        <v>45669</v>
      </c>
      <c r="C702" s="6" t="s">
        <v>75</v>
      </c>
      <c r="D702" s="6" t="s">
        <v>72</v>
      </c>
      <c r="E702" s="8">
        <v>9</v>
      </c>
      <c r="F702" s="9">
        <v>0.2</v>
      </c>
      <c r="G702" s="10" t="s">
        <v>55</v>
      </c>
      <c r="H702" s="10" t="s">
        <v>56</v>
      </c>
      <c r="I702" s="10" t="s">
        <v>77</v>
      </c>
    </row>
    <row r="703" spans="1:9" x14ac:dyDescent="0.25">
      <c r="A703" s="11" t="s">
        <v>787</v>
      </c>
      <c r="B703" s="12">
        <v>45893</v>
      </c>
      <c r="C703" s="11" t="s">
        <v>90</v>
      </c>
      <c r="D703" s="11" t="s">
        <v>82</v>
      </c>
      <c r="E703" s="13">
        <v>3</v>
      </c>
      <c r="F703" s="14">
        <v>0.1</v>
      </c>
      <c r="G703" s="15" t="s">
        <v>68</v>
      </c>
      <c r="H703" s="15" t="s">
        <v>83</v>
      </c>
      <c r="I703" s="15" t="s">
        <v>57</v>
      </c>
    </row>
    <row r="704" spans="1:9" x14ac:dyDescent="0.25">
      <c r="A704" s="6" t="s">
        <v>788</v>
      </c>
      <c r="B704" s="7">
        <v>45777</v>
      </c>
      <c r="C704" s="6" t="s">
        <v>75</v>
      </c>
      <c r="D704" s="6" t="s">
        <v>67</v>
      </c>
      <c r="E704" s="8">
        <v>2</v>
      </c>
      <c r="F704" s="9">
        <v>0.2</v>
      </c>
      <c r="G704" s="10" t="s">
        <v>64</v>
      </c>
      <c r="H704" s="10" t="s">
        <v>83</v>
      </c>
      <c r="I704" s="10" t="s">
        <v>57</v>
      </c>
    </row>
    <row r="705" spans="1:9" x14ac:dyDescent="0.25">
      <c r="A705" s="11" t="s">
        <v>789</v>
      </c>
      <c r="B705" s="12">
        <v>45697</v>
      </c>
      <c r="C705" s="11" t="s">
        <v>71</v>
      </c>
      <c r="D705" s="11" t="s">
        <v>85</v>
      </c>
      <c r="E705" s="13">
        <v>8</v>
      </c>
      <c r="F705" s="14">
        <v>0.15</v>
      </c>
      <c r="G705" s="15" t="s">
        <v>61</v>
      </c>
      <c r="H705" s="15" t="s">
        <v>83</v>
      </c>
      <c r="I705" s="15" t="s">
        <v>73</v>
      </c>
    </row>
    <row r="706" spans="1:9" x14ac:dyDescent="0.25">
      <c r="A706" s="6" t="s">
        <v>790</v>
      </c>
      <c r="B706" s="7">
        <v>45677</v>
      </c>
      <c r="C706" s="6" t="s">
        <v>116</v>
      </c>
      <c r="D706" s="6" t="s">
        <v>85</v>
      </c>
      <c r="E706" s="8">
        <v>27</v>
      </c>
      <c r="F706" s="9">
        <v>0</v>
      </c>
      <c r="G706" s="10" t="s">
        <v>68</v>
      </c>
      <c r="H706" s="10" t="s">
        <v>69</v>
      </c>
      <c r="I706" s="10" t="s">
        <v>65</v>
      </c>
    </row>
    <row r="707" spans="1:9" x14ac:dyDescent="0.25">
      <c r="A707" s="11" t="s">
        <v>791</v>
      </c>
      <c r="B707" s="12">
        <v>45871</v>
      </c>
      <c r="C707" s="11" t="s">
        <v>59</v>
      </c>
      <c r="D707" s="11" t="s">
        <v>103</v>
      </c>
      <c r="E707" s="13">
        <v>4</v>
      </c>
      <c r="F707" s="14">
        <v>0.2</v>
      </c>
      <c r="G707" s="15" t="s">
        <v>61</v>
      </c>
      <c r="H707" s="15" t="s">
        <v>83</v>
      </c>
      <c r="I707" s="15" t="s">
        <v>65</v>
      </c>
    </row>
    <row r="708" spans="1:9" x14ac:dyDescent="0.25">
      <c r="A708" s="6" t="s">
        <v>792</v>
      </c>
      <c r="B708" s="7">
        <v>45685</v>
      </c>
      <c r="C708" s="6" t="s">
        <v>53</v>
      </c>
      <c r="D708" s="6" t="s">
        <v>67</v>
      </c>
      <c r="E708" s="8">
        <v>6</v>
      </c>
      <c r="F708" s="9">
        <v>0.2</v>
      </c>
      <c r="G708" s="10" t="s">
        <v>55</v>
      </c>
      <c r="H708" s="10" t="s">
        <v>69</v>
      </c>
      <c r="I708" s="10" t="s">
        <v>57</v>
      </c>
    </row>
    <row r="709" spans="1:9" x14ac:dyDescent="0.25">
      <c r="A709" s="11" t="s">
        <v>793</v>
      </c>
      <c r="B709" s="12">
        <v>45736</v>
      </c>
      <c r="C709" s="11" t="s">
        <v>116</v>
      </c>
      <c r="D709" s="11" t="s">
        <v>120</v>
      </c>
      <c r="E709" s="13">
        <v>8</v>
      </c>
      <c r="F709" s="14">
        <v>0.2</v>
      </c>
      <c r="G709" s="15" t="s">
        <v>61</v>
      </c>
      <c r="H709" s="15" t="s">
        <v>56</v>
      </c>
      <c r="I709" s="15" t="s">
        <v>65</v>
      </c>
    </row>
    <row r="710" spans="1:9" x14ac:dyDescent="0.25">
      <c r="A710" s="6" t="s">
        <v>794</v>
      </c>
      <c r="B710" s="7">
        <v>45806</v>
      </c>
      <c r="C710" s="6" t="s">
        <v>116</v>
      </c>
      <c r="D710" s="6" t="s">
        <v>72</v>
      </c>
      <c r="E710" s="8">
        <v>3</v>
      </c>
      <c r="F710" s="9">
        <v>0.05</v>
      </c>
      <c r="G710" s="10" t="s">
        <v>68</v>
      </c>
      <c r="H710" s="10" t="s">
        <v>56</v>
      </c>
      <c r="I710" s="10" t="s">
        <v>65</v>
      </c>
    </row>
    <row r="711" spans="1:9" x14ac:dyDescent="0.25">
      <c r="A711" s="11" t="s">
        <v>795</v>
      </c>
      <c r="B711" s="12">
        <v>45950</v>
      </c>
      <c r="C711" s="11" t="s">
        <v>53</v>
      </c>
      <c r="D711" s="11" t="s">
        <v>85</v>
      </c>
      <c r="E711" s="13">
        <v>15</v>
      </c>
      <c r="F711" s="14">
        <v>0.1</v>
      </c>
      <c r="G711" s="15" t="s">
        <v>61</v>
      </c>
      <c r="H711" s="15" t="s">
        <v>69</v>
      </c>
      <c r="I711" s="15" t="s">
        <v>65</v>
      </c>
    </row>
    <row r="712" spans="1:9" x14ac:dyDescent="0.25">
      <c r="A712" s="6" t="s">
        <v>796</v>
      </c>
      <c r="B712" s="7">
        <v>46015</v>
      </c>
      <c r="C712" s="6" t="s">
        <v>90</v>
      </c>
      <c r="D712" s="6" t="s">
        <v>94</v>
      </c>
      <c r="E712" s="8">
        <v>8</v>
      </c>
      <c r="F712" s="9">
        <v>0.2</v>
      </c>
      <c r="G712" s="10" t="s">
        <v>55</v>
      </c>
      <c r="H712" s="10" t="s">
        <v>69</v>
      </c>
      <c r="I712" s="10" t="s">
        <v>65</v>
      </c>
    </row>
    <row r="713" spans="1:9" x14ac:dyDescent="0.25">
      <c r="A713" s="11" t="s">
        <v>797</v>
      </c>
      <c r="B713" s="12">
        <v>45991</v>
      </c>
      <c r="C713" s="11" t="s">
        <v>80</v>
      </c>
      <c r="D713" s="11" t="s">
        <v>76</v>
      </c>
      <c r="E713" s="13">
        <v>22</v>
      </c>
      <c r="F713" s="14">
        <v>0.2</v>
      </c>
      <c r="G713" s="15" t="s">
        <v>55</v>
      </c>
      <c r="H713" s="15" t="s">
        <v>56</v>
      </c>
      <c r="I713" s="15" t="s">
        <v>77</v>
      </c>
    </row>
    <row r="714" spans="1:9" x14ac:dyDescent="0.25">
      <c r="A714" s="6" t="s">
        <v>798</v>
      </c>
      <c r="B714" s="7">
        <v>45794</v>
      </c>
      <c r="C714" s="6" t="s">
        <v>116</v>
      </c>
      <c r="D714" s="6" t="s">
        <v>72</v>
      </c>
      <c r="E714" s="8">
        <v>6</v>
      </c>
      <c r="F714" s="9">
        <v>0.2</v>
      </c>
      <c r="G714" s="10" t="s">
        <v>61</v>
      </c>
      <c r="H714" s="10" t="s">
        <v>56</v>
      </c>
      <c r="I714" s="10" t="s">
        <v>65</v>
      </c>
    </row>
    <row r="715" spans="1:9" x14ac:dyDescent="0.25">
      <c r="A715" s="11" t="s">
        <v>799</v>
      </c>
      <c r="B715" s="12">
        <v>45874</v>
      </c>
      <c r="C715" s="11" t="s">
        <v>71</v>
      </c>
      <c r="D715" s="11" t="s">
        <v>82</v>
      </c>
      <c r="E715" s="13">
        <v>4</v>
      </c>
      <c r="F715" s="14">
        <v>0.1</v>
      </c>
      <c r="G715" s="15" t="s">
        <v>68</v>
      </c>
      <c r="H715" s="15" t="s">
        <v>83</v>
      </c>
      <c r="I715" s="15" t="s">
        <v>77</v>
      </c>
    </row>
    <row r="716" spans="1:9" x14ac:dyDescent="0.25">
      <c r="A716" s="6" t="s">
        <v>800</v>
      </c>
      <c r="B716" s="7">
        <v>45814</v>
      </c>
      <c r="C716" s="6" t="s">
        <v>71</v>
      </c>
      <c r="D716" s="6" t="s">
        <v>94</v>
      </c>
      <c r="E716" s="8">
        <v>10</v>
      </c>
      <c r="F716" s="9">
        <v>0.15</v>
      </c>
      <c r="G716" s="10" t="s">
        <v>55</v>
      </c>
      <c r="H716" s="10" t="s">
        <v>69</v>
      </c>
      <c r="I716" s="10" t="s">
        <v>77</v>
      </c>
    </row>
    <row r="717" spans="1:9" x14ac:dyDescent="0.25">
      <c r="A717" s="11" t="s">
        <v>801</v>
      </c>
      <c r="B717" s="12">
        <v>45777</v>
      </c>
      <c r="C717" s="11" t="s">
        <v>71</v>
      </c>
      <c r="D717" s="11" t="s">
        <v>88</v>
      </c>
      <c r="E717" s="13">
        <v>3</v>
      </c>
      <c r="F717" s="14">
        <v>0</v>
      </c>
      <c r="G717" s="15" t="s">
        <v>61</v>
      </c>
      <c r="H717" s="15" t="s">
        <v>83</v>
      </c>
      <c r="I717" s="15" t="s">
        <v>77</v>
      </c>
    </row>
    <row r="718" spans="1:9" x14ac:dyDescent="0.25">
      <c r="A718" s="6" t="s">
        <v>802</v>
      </c>
      <c r="B718" s="7">
        <v>45782</v>
      </c>
      <c r="C718" s="6" t="s">
        <v>90</v>
      </c>
      <c r="D718" s="6" t="s">
        <v>76</v>
      </c>
      <c r="E718" s="8">
        <v>3</v>
      </c>
      <c r="F718" s="9">
        <v>0.1</v>
      </c>
      <c r="G718" s="10" t="s">
        <v>61</v>
      </c>
      <c r="H718" s="10" t="s">
        <v>69</v>
      </c>
      <c r="I718" s="10" t="s">
        <v>65</v>
      </c>
    </row>
    <row r="719" spans="1:9" x14ac:dyDescent="0.25">
      <c r="A719" s="11" t="s">
        <v>803</v>
      </c>
      <c r="B719" s="12">
        <v>45899</v>
      </c>
      <c r="C719" s="11" t="s">
        <v>71</v>
      </c>
      <c r="D719" s="11" t="s">
        <v>120</v>
      </c>
      <c r="E719" s="13">
        <v>4</v>
      </c>
      <c r="F719" s="14">
        <v>0.2</v>
      </c>
      <c r="G719" s="15" t="s">
        <v>55</v>
      </c>
      <c r="H719" s="15" t="s">
        <v>56</v>
      </c>
      <c r="I719" s="15" t="s">
        <v>73</v>
      </c>
    </row>
    <row r="720" spans="1:9" x14ac:dyDescent="0.25">
      <c r="A720" s="6" t="s">
        <v>804</v>
      </c>
      <c r="B720" s="7">
        <v>45938</v>
      </c>
      <c r="C720" s="6" t="s">
        <v>90</v>
      </c>
      <c r="D720" s="6" t="s">
        <v>96</v>
      </c>
      <c r="E720" s="8">
        <v>12</v>
      </c>
      <c r="F720" s="9">
        <v>0</v>
      </c>
      <c r="G720" s="10" t="s">
        <v>64</v>
      </c>
      <c r="H720" s="10" t="s">
        <v>83</v>
      </c>
      <c r="I720" s="10" t="s">
        <v>77</v>
      </c>
    </row>
    <row r="721" spans="1:9" x14ac:dyDescent="0.25">
      <c r="A721" s="11" t="s">
        <v>805</v>
      </c>
      <c r="B721" s="12">
        <v>45788</v>
      </c>
      <c r="C721" s="11" t="s">
        <v>53</v>
      </c>
      <c r="D721" s="11" t="s">
        <v>94</v>
      </c>
      <c r="E721" s="13">
        <v>5</v>
      </c>
      <c r="F721" s="14">
        <v>0.05</v>
      </c>
      <c r="G721" s="15" t="s">
        <v>68</v>
      </c>
      <c r="H721" s="15" t="s">
        <v>56</v>
      </c>
      <c r="I721" s="15" t="s">
        <v>65</v>
      </c>
    </row>
    <row r="722" spans="1:9" x14ac:dyDescent="0.25">
      <c r="A722" s="6" t="s">
        <v>806</v>
      </c>
      <c r="B722" s="7">
        <v>45993</v>
      </c>
      <c r="C722" s="6" t="s">
        <v>59</v>
      </c>
      <c r="D722" s="6" t="s">
        <v>120</v>
      </c>
      <c r="E722" s="8">
        <v>7</v>
      </c>
      <c r="F722" s="9">
        <v>0.1</v>
      </c>
      <c r="G722" s="10" t="s">
        <v>68</v>
      </c>
      <c r="H722" s="10" t="s">
        <v>56</v>
      </c>
      <c r="I722" s="10" t="s">
        <v>77</v>
      </c>
    </row>
    <row r="723" spans="1:9" x14ac:dyDescent="0.25">
      <c r="A723" s="11" t="s">
        <v>807</v>
      </c>
      <c r="B723" s="12">
        <v>45807</v>
      </c>
      <c r="C723" s="11" t="s">
        <v>116</v>
      </c>
      <c r="D723" s="11" t="s">
        <v>111</v>
      </c>
      <c r="E723" s="13">
        <v>4</v>
      </c>
      <c r="F723" s="14">
        <v>0.15</v>
      </c>
      <c r="G723" s="15" t="s">
        <v>61</v>
      </c>
      <c r="H723" s="15" t="s">
        <v>69</v>
      </c>
      <c r="I723" s="15" t="s">
        <v>65</v>
      </c>
    </row>
    <row r="724" spans="1:9" x14ac:dyDescent="0.25">
      <c r="A724" s="6" t="s">
        <v>808</v>
      </c>
      <c r="B724" s="7">
        <v>45963</v>
      </c>
      <c r="C724" s="6" t="s">
        <v>59</v>
      </c>
      <c r="D724" s="6" t="s">
        <v>63</v>
      </c>
      <c r="E724" s="8">
        <v>9</v>
      </c>
      <c r="F724" s="9">
        <v>0.2</v>
      </c>
      <c r="G724" s="10" t="s">
        <v>64</v>
      </c>
      <c r="H724" s="10" t="s">
        <v>83</v>
      </c>
      <c r="I724" s="10" t="s">
        <v>77</v>
      </c>
    </row>
    <row r="725" spans="1:9" x14ac:dyDescent="0.25">
      <c r="A725" s="11" t="s">
        <v>809</v>
      </c>
      <c r="B725" s="12">
        <v>45678</v>
      </c>
      <c r="C725" s="11" t="s">
        <v>75</v>
      </c>
      <c r="D725" s="11" t="s">
        <v>88</v>
      </c>
      <c r="E725" s="13">
        <v>6</v>
      </c>
      <c r="F725" s="14">
        <v>0.15</v>
      </c>
      <c r="G725" s="15" t="s">
        <v>64</v>
      </c>
      <c r="H725" s="15" t="s">
        <v>83</v>
      </c>
      <c r="I725" s="15" t="s">
        <v>57</v>
      </c>
    </row>
    <row r="726" spans="1:9" x14ac:dyDescent="0.25">
      <c r="A726" s="6" t="s">
        <v>810</v>
      </c>
      <c r="B726" s="7">
        <v>45667</v>
      </c>
      <c r="C726" s="6" t="s">
        <v>71</v>
      </c>
      <c r="D726" s="6" t="s">
        <v>82</v>
      </c>
      <c r="E726" s="8">
        <v>6</v>
      </c>
      <c r="F726" s="9">
        <v>0.1</v>
      </c>
      <c r="G726" s="10" t="s">
        <v>55</v>
      </c>
      <c r="H726" s="10" t="s">
        <v>83</v>
      </c>
      <c r="I726" s="10" t="s">
        <v>73</v>
      </c>
    </row>
    <row r="727" spans="1:9" x14ac:dyDescent="0.25">
      <c r="A727" s="11" t="s">
        <v>811</v>
      </c>
      <c r="B727" s="12">
        <v>45689</v>
      </c>
      <c r="C727" s="11" t="s">
        <v>75</v>
      </c>
      <c r="D727" s="11" t="s">
        <v>60</v>
      </c>
      <c r="E727" s="13">
        <v>29</v>
      </c>
      <c r="F727" s="14">
        <v>0</v>
      </c>
      <c r="G727" s="15" t="s">
        <v>68</v>
      </c>
      <c r="H727" s="15" t="s">
        <v>56</v>
      </c>
      <c r="I727" s="15" t="s">
        <v>57</v>
      </c>
    </row>
    <row r="728" spans="1:9" x14ac:dyDescent="0.25">
      <c r="A728" s="6" t="s">
        <v>812</v>
      </c>
      <c r="B728" s="7">
        <v>45832</v>
      </c>
      <c r="C728" s="6" t="s">
        <v>116</v>
      </c>
      <c r="D728" s="6" t="s">
        <v>103</v>
      </c>
      <c r="E728" s="8">
        <v>11</v>
      </c>
      <c r="F728" s="9">
        <v>0.05</v>
      </c>
      <c r="G728" s="10" t="s">
        <v>61</v>
      </c>
      <c r="H728" s="10" t="s">
        <v>83</v>
      </c>
      <c r="I728" s="10" t="s">
        <v>65</v>
      </c>
    </row>
    <row r="729" spans="1:9" x14ac:dyDescent="0.25">
      <c r="A729" s="11" t="s">
        <v>813</v>
      </c>
      <c r="B729" s="12">
        <v>45924</v>
      </c>
      <c r="C729" s="11" t="s">
        <v>80</v>
      </c>
      <c r="D729" s="11" t="s">
        <v>60</v>
      </c>
      <c r="E729" s="13">
        <v>10</v>
      </c>
      <c r="F729" s="14">
        <v>0.2</v>
      </c>
      <c r="G729" s="15" t="s">
        <v>55</v>
      </c>
      <c r="H729" s="15" t="s">
        <v>69</v>
      </c>
      <c r="I729" s="15" t="s">
        <v>73</v>
      </c>
    </row>
    <row r="730" spans="1:9" x14ac:dyDescent="0.25">
      <c r="A730" s="6" t="s">
        <v>814</v>
      </c>
      <c r="B730" s="7">
        <v>45967</v>
      </c>
      <c r="C730" s="6" t="s">
        <v>105</v>
      </c>
      <c r="D730" s="6" t="s">
        <v>82</v>
      </c>
      <c r="E730" s="8">
        <v>9</v>
      </c>
      <c r="F730" s="9">
        <v>0.05</v>
      </c>
      <c r="G730" s="10" t="s">
        <v>55</v>
      </c>
      <c r="H730" s="10" t="s">
        <v>83</v>
      </c>
      <c r="I730" s="10" t="s">
        <v>57</v>
      </c>
    </row>
    <row r="731" spans="1:9" x14ac:dyDescent="0.25">
      <c r="A731" s="11" t="s">
        <v>815</v>
      </c>
      <c r="B731" s="12">
        <v>45955</v>
      </c>
      <c r="C731" s="11" t="s">
        <v>80</v>
      </c>
      <c r="D731" s="11" t="s">
        <v>63</v>
      </c>
      <c r="E731" s="13">
        <v>12</v>
      </c>
      <c r="F731" s="14">
        <v>0.2</v>
      </c>
      <c r="G731" s="15" t="s">
        <v>55</v>
      </c>
      <c r="H731" s="15" t="s">
        <v>69</v>
      </c>
      <c r="I731" s="15" t="s">
        <v>57</v>
      </c>
    </row>
    <row r="732" spans="1:9" x14ac:dyDescent="0.25">
      <c r="A732" s="6" t="s">
        <v>816</v>
      </c>
      <c r="B732" s="7">
        <v>45993</v>
      </c>
      <c r="C732" s="6" t="s">
        <v>90</v>
      </c>
      <c r="D732" s="6" t="s">
        <v>103</v>
      </c>
      <c r="E732" s="8">
        <v>6</v>
      </c>
      <c r="F732" s="9">
        <v>0</v>
      </c>
      <c r="G732" s="10" t="s">
        <v>61</v>
      </c>
      <c r="H732" s="10" t="s">
        <v>56</v>
      </c>
      <c r="I732" s="10" t="s">
        <v>73</v>
      </c>
    </row>
    <row r="733" spans="1:9" x14ac:dyDescent="0.25">
      <c r="A733" s="11" t="s">
        <v>817</v>
      </c>
      <c r="B733" s="12">
        <v>45732</v>
      </c>
      <c r="C733" s="11" t="s">
        <v>53</v>
      </c>
      <c r="D733" s="11" t="s">
        <v>85</v>
      </c>
      <c r="E733" s="13">
        <v>16</v>
      </c>
      <c r="F733" s="14">
        <v>0.15</v>
      </c>
      <c r="G733" s="15" t="s">
        <v>68</v>
      </c>
      <c r="H733" s="15" t="s">
        <v>69</v>
      </c>
      <c r="I733" s="15" t="s">
        <v>73</v>
      </c>
    </row>
    <row r="734" spans="1:9" x14ac:dyDescent="0.25">
      <c r="A734" s="6" t="s">
        <v>818</v>
      </c>
      <c r="B734" s="7">
        <v>45735</v>
      </c>
      <c r="C734" s="6" t="s">
        <v>80</v>
      </c>
      <c r="D734" s="6" t="s">
        <v>72</v>
      </c>
      <c r="E734" s="8">
        <v>2</v>
      </c>
      <c r="F734" s="9">
        <v>0.05</v>
      </c>
      <c r="G734" s="10" t="s">
        <v>55</v>
      </c>
      <c r="H734" s="10" t="s">
        <v>56</v>
      </c>
      <c r="I734" s="10" t="s">
        <v>73</v>
      </c>
    </row>
    <row r="735" spans="1:9" x14ac:dyDescent="0.25">
      <c r="A735" s="11" t="s">
        <v>819</v>
      </c>
      <c r="B735" s="12">
        <v>45968</v>
      </c>
      <c r="C735" s="11" t="s">
        <v>80</v>
      </c>
      <c r="D735" s="11" t="s">
        <v>76</v>
      </c>
      <c r="E735" s="13">
        <v>10</v>
      </c>
      <c r="F735" s="14">
        <v>0.05</v>
      </c>
      <c r="G735" s="15" t="s">
        <v>61</v>
      </c>
      <c r="H735" s="15" t="s">
        <v>69</v>
      </c>
      <c r="I735" s="15" t="s">
        <v>77</v>
      </c>
    </row>
    <row r="736" spans="1:9" x14ac:dyDescent="0.25">
      <c r="A736" s="6" t="s">
        <v>820</v>
      </c>
      <c r="B736" s="7">
        <v>46010</v>
      </c>
      <c r="C736" s="6" t="s">
        <v>105</v>
      </c>
      <c r="D736" s="6" t="s">
        <v>72</v>
      </c>
      <c r="E736" s="8">
        <v>3</v>
      </c>
      <c r="F736" s="9">
        <v>0.2</v>
      </c>
      <c r="G736" s="10" t="s">
        <v>64</v>
      </c>
      <c r="H736" s="10" t="s">
        <v>83</v>
      </c>
      <c r="I736" s="10" t="s">
        <v>73</v>
      </c>
    </row>
    <row r="737" spans="1:9" x14ac:dyDescent="0.25">
      <c r="A737" s="11" t="s">
        <v>821</v>
      </c>
      <c r="B737" s="12">
        <v>45752</v>
      </c>
      <c r="C737" s="11" t="s">
        <v>116</v>
      </c>
      <c r="D737" s="11" t="s">
        <v>111</v>
      </c>
      <c r="E737" s="13">
        <v>8</v>
      </c>
      <c r="F737" s="14">
        <v>0.15</v>
      </c>
      <c r="G737" s="15" t="s">
        <v>55</v>
      </c>
      <c r="H737" s="15" t="s">
        <v>56</v>
      </c>
      <c r="I737" s="15" t="s">
        <v>57</v>
      </c>
    </row>
    <row r="738" spans="1:9" x14ac:dyDescent="0.25">
      <c r="A738" s="6" t="s">
        <v>822</v>
      </c>
      <c r="B738" s="7">
        <v>45773</v>
      </c>
      <c r="C738" s="6" t="s">
        <v>116</v>
      </c>
      <c r="D738" s="6" t="s">
        <v>120</v>
      </c>
      <c r="E738" s="8">
        <v>1</v>
      </c>
      <c r="F738" s="9">
        <v>0.1</v>
      </c>
      <c r="G738" s="10" t="s">
        <v>64</v>
      </c>
      <c r="H738" s="10" t="s">
        <v>56</v>
      </c>
      <c r="I738" s="10" t="s">
        <v>57</v>
      </c>
    </row>
    <row r="739" spans="1:9" x14ac:dyDescent="0.25">
      <c r="A739" s="11" t="s">
        <v>823</v>
      </c>
      <c r="B739" s="12">
        <v>45762</v>
      </c>
      <c r="C739" s="11" t="s">
        <v>90</v>
      </c>
      <c r="D739" s="11" t="s">
        <v>54</v>
      </c>
      <c r="E739" s="13">
        <v>8</v>
      </c>
      <c r="F739" s="14">
        <v>0.2</v>
      </c>
      <c r="G739" s="15" t="s">
        <v>64</v>
      </c>
      <c r="H739" s="15" t="s">
        <v>83</v>
      </c>
      <c r="I739" s="15" t="s">
        <v>73</v>
      </c>
    </row>
    <row r="740" spans="1:9" x14ac:dyDescent="0.25">
      <c r="A740" s="6" t="s">
        <v>824</v>
      </c>
      <c r="B740" s="7">
        <v>45892</v>
      </c>
      <c r="C740" s="6" t="s">
        <v>80</v>
      </c>
      <c r="D740" s="6" t="s">
        <v>103</v>
      </c>
      <c r="E740" s="8">
        <v>7</v>
      </c>
      <c r="F740" s="9">
        <v>0.15</v>
      </c>
      <c r="G740" s="10" t="s">
        <v>61</v>
      </c>
      <c r="H740" s="10" t="s">
        <v>83</v>
      </c>
      <c r="I740" s="10" t="s">
        <v>65</v>
      </c>
    </row>
    <row r="741" spans="1:9" x14ac:dyDescent="0.25">
      <c r="A741" s="11" t="s">
        <v>825</v>
      </c>
      <c r="B741" s="12">
        <v>45818</v>
      </c>
      <c r="C741" s="11" t="s">
        <v>53</v>
      </c>
      <c r="D741" s="11" t="s">
        <v>92</v>
      </c>
      <c r="E741" s="13">
        <v>9</v>
      </c>
      <c r="F741" s="14">
        <v>0</v>
      </c>
      <c r="G741" s="15" t="s">
        <v>64</v>
      </c>
      <c r="H741" s="15" t="s">
        <v>69</v>
      </c>
      <c r="I741" s="15" t="s">
        <v>77</v>
      </c>
    </row>
    <row r="742" spans="1:9" x14ac:dyDescent="0.25">
      <c r="A742" s="6" t="s">
        <v>826</v>
      </c>
      <c r="B742" s="7">
        <v>45783</v>
      </c>
      <c r="C742" s="6" t="s">
        <v>116</v>
      </c>
      <c r="D742" s="6" t="s">
        <v>63</v>
      </c>
      <c r="E742" s="8">
        <v>4</v>
      </c>
      <c r="F742" s="9">
        <v>0.2</v>
      </c>
      <c r="G742" s="10" t="s">
        <v>64</v>
      </c>
      <c r="H742" s="10" t="s">
        <v>83</v>
      </c>
      <c r="I742" s="10" t="s">
        <v>77</v>
      </c>
    </row>
    <row r="743" spans="1:9" x14ac:dyDescent="0.25">
      <c r="A743" s="11" t="s">
        <v>827</v>
      </c>
      <c r="B743" s="12">
        <v>45755</v>
      </c>
      <c r="C743" s="11" t="s">
        <v>105</v>
      </c>
      <c r="D743" s="11" t="s">
        <v>67</v>
      </c>
      <c r="E743" s="13">
        <v>7</v>
      </c>
      <c r="F743" s="14">
        <v>0.1</v>
      </c>
      <c r="G743" s="15" t="s">
        <v>68</v>
      </c>
      <c r="H743" s="15" t="s">
        <v>69</v>
      </c>
      <c r="I743" s="15" t="s">
        <v>57</v>
      </c>
    </row>
    <row r="744" spans="1:9" x14ac:dyDescent="0.25">
      <c r="A744" s="6" t="s">
        <v>828</v>
      </c>
      <c r="B744" s="7">
        <v>45874</v>
      </c>
      <c r="C744" s="6" t="s">
        <v>53</v>
      </c>
      <c r="D744" s="6" t="s">
        <v>67</v>
      </c>
      <c r="E744" s="8">
        <v>12</v>
      </c>
      <c r="F744" s="9">
        <v>0.2</v>
      </c>
      <c r="G744" s="10" t="s">
        <v>55</v>
      </c>
      <c r="H744" s="10" t="s">
        <v>69</v>
      </c>
      <c r="I744" s="10" t="s">
        <v>65</v>
      </c>
    </row>
    <row r="745" spans="1:9" x14ac:dyDescent="0.25">
      <c r="A745" s="11" t="s">
        <v>829</v>
      </c>
      <c r="B745" s="12">
        <v>45704</v>
      </c>
      <c r="C745" s="11" t="s">
        <v>59</v>
      </c>
      <c r="D745" s="11" t="s">
        <v>85</v>
      </c>
      <c r="E745" s="13">
        <v>27</v>
      </c>
      <c r="F745" s="14">
        <v>0.2</v>
      </c>
      <c r="G745" s="15" t="s">
        <v>55</v>
      </c>
      <c r="H745" s="15" t="s">
        <v>69</v>
      </c>
      <c r="I745" s="15" t="s">
        <v>65</v>
      </c>
    </row>
    <row r="746" spans="1:9" x14ac:dyDescent="0.25">
      <c r="A746" s="6" t="s">
        <v>830</v>
      </c>
      <c r="B746" s="7">
        <v>45823</v>
      </c>
      <c r="C746" s="6" t="s">
        <v>53</v>
      </c>
      <c r="D746" s="6" t="s">
        <v>96</v>
      </c>
      <c r="E746" s="8">
        <v>3</v>
      </c>
      <c r="F746" s="9">
        <v>0.15</v>
      </c>
      <c r="G746" s="10" t="s">
        <v>55</v>
      </c>
      <c r="H746" s="10" t="s">
        <v>69</v>
      </c>
      <c r="I746" s="10" t="s">
        <v>77</v>
      </c>
    </row>
    <row r="747" spans="1:9" x14ac:dyDescent="0.25">
      <c r="A747" s="11" t="s">
        <v>831</v>
      </c>
      <c r="B747" s="12">
        <v>45786</v>
      </c>
      <c r="C747" s="11" t="s">
        <v>90</v>
      </c>
      <c r="D747" s="11" t="s">
        <v>82</v>
      </c>
      <c r="E747" s="13">
        <v>12</v>
      </c>
      <c r="F747" s="14">
        <v>0</v>
      </c>
      <c r="G747" s="15" t="s">
        <v>61</v>
      </c>
      <c r="H747" s="15" t="s">
        <v>56</v>
      </c>
      <c r="I747" s="15" t="s">
        <v>65</v>
      </c>
    </row>
    <row r="748" spans="1:9" x14ac:dyDescent="0.25">
      <c r="A748" s="6" t="s">
        <v>832</v>
      </c>
      <c r="B748" s="7">
        <v>45982</v>
      </c>
      <c r="C748" s="6" t="s">
        <v>59</v>
      </c>
      <c r="D748" s="6" t="s">
        <v>82</v>
      </c>
      <c r="E748" s="8">
        <v>9</v>
      </c>
      <c r="F748" s="9">
        <v>0.15</v>
      </c>
      <c r="G748" s="10" t="s">
        <v>55</v>
      </c>
      <c r="H748" s="10" t="s">
        <v>69</v>
      </c>
      <c r="I748" s="10" t="s">
        <v>65</v>
      </c>
    </row>
    <row r="749" spans="1:9" x14ac:dyDescent="0.25">
      <c r="A749" s="11" t="s">
        <v>833</v>
      </c>
      <c r="B749" s="12">
        <v>45680</v>
      </c>
      <c r="C749" s="11" t="s">
        <v>90</v>
      </c>
      <c r="D749" s="11" t="s">
        <v>72</v>
      </c>
      <c r="E749" s="13">
        <v>6</v>
      </c>
      <c r="F749" s="14">
        <v>0.2</v>
      </c>
      <c r="G749" s="15" t="s">
        <v>55</v>
      </c>
      <c r="H749" s="15" t="s">
        <v>56</v>
      </c>
      <c r="I749" s="15" t="s">
        <v>57</v>
      </c>
    </row>
    <row r="750" spans="1:9" x14ac:dyDescent="0.25">
      <c r="A750" s="6" t="s">
        <v>834</v>
      </c>
      <c r="B750" s="7">
        <v>45749</v>
      </c>
      <c r="C750" s="6" t="s">
        <v>53</v>
      </c>
      <c r="D750" s="6" t="s">
        <v>72</v>
      </c>
      <c r="E750" s="8">
        <v>7</v>
      </c>
      <c r="F750" s="9">
        <v>0.1</v>
      </c>
      <c r="G750" s="10" t="s">
        <v>68</v>
      </c>
      <c r="H750" s="10" t="s">
        <v>83</v>
      </c>
      <c r="I750" s="10" t="s">
        <v>65</v>
      </c>
    </row>
    <row r="751" spans="1:9" x14ac:dyDescent="0.25">
      <c r="A751" s="11" t="s">
        <v>835</v>
      </c>
      <c r="B751" s="12">
        <v>45805</v>
      </c>
      <c r="C751" s="11" t="s">
        <v>90</v>
      </c>
      <c r="D751" s="11" t="s">
        <v>60</v>
      </c>
      <c r="E751" s="13">
        <v>7</v>
      </c>
      <c r="F751" s="14">
        <v>0.05</v>
      </c>
      <c r="G751" s="15" t="s">
        <v>61</v>
      </c>
      <c r="H751" s="15" t="s">
        <v>83</v>
      </c>
      <c r="I751" s="15" t="s">
        <v>73</v>
      </c>
    </row>
    <row r="752" spans="1:9" x14ac:dyDescent="0.25">
      <c r="A752" s="6" t="s">
        <v>836</v>
      </c>
      <c r="B752" s="7">
        <v>45664</v>
      </c>
      <c r="C752" s="6" t="s">
        <v>105</v>
      </c>
      <c r="D752" s="6" t="s">
        <v>96</v>
      </c>
      <c r="E752" s="8">
        <v>8</v>
      </c>
      <c r="F752" s="9">
        <v>0.2</v>
      </c>
      <c r="G752" s="10" t="s">
        <v>61</v>
      </c>
      <c r="H752" s="10" t="s">
        <v>83</v>
      </c>
      <c r="I752" s="10" t="s">
        <v>65</v>
      </c>
    </row>
    <row r="753" spans="1:9" x14ac:dyDescent="0.25">
      <c r="A753" s="11" t="s">
        <v>837</v>
      </c>
      <c r="B753" s="12">
        <v>45779</v>
      </c>
      <c r="C753" s="11" t="s">
        <v>105</v>
      </c>
      <c r="D753" s="11" t="s">
        <v>88</v>
      </c>
      <c r="E753" s="13">
        <v>8</v>
      </c>
      <c r="F753" s="14">
        <v>0.15</v>
      </c>
      <c r="G753" s="15" t="s">
        <v>64</v>
      </c>
      <c r="H753" s="15" t="s">
        <v>56</v>
      </c>
      <c r="I753" s="15" t="s">
        <v>77</v>
      </c>
    </row>
    <row r="754" spans="1:9" x14ac:dyDescent="0.25">
      <c r="A754" s="6" t="s">
        <v>838</v>
      </c>
      <c r="B754" s="7">
        <v>45783</v>
      </c>
      <c r="C754" s="6" t="s">
        <v>75</v>
      </c>
      <c r="D754" s="6" t="s">
        <v>103</v>
      </c>
      <c r="E754" s="8">
        <v>10</v>
      </c>
      <c r="F754" s="9">
        <v>0.2</v>
      </c>
      <c r="G754" s="10" t="s">
        <v>55</v>
      </c>
      <c r="H754" s="10" t="s">
        <v>56</v>
      </c>
      <c r="I754" s="10" t="s">
        <v>57</v>
      </c>
    </row>
    <row r="755" spans="1:9" x14ac:dyDescent="0.25">
      <c r="A755" s="11" t="s">
        <v>839</v>
      </c>
      <c r="B755" s="12">
        <v>45733</v>
      </c>
      <c r="C755" s="11" t="s">
        <v>71</v>
      </c>
      <c r="D755" s="11" t="s">
        <v>120</v>
      </c>
      <c r="E755" s="13">
        <v>1</v>
      </c>
      <c r="F755" s="14">
        <v>0.05</v>
      </c>
      <c r="G755" s="15" t="s">
        <v>61</v>
      </c>
      <c r="H755" s="15" t="s">
        <v>83</v>
      </c>
      <c r="I755" s="15" t="s">
        <v>73</v>
      </c>
    </row>
    <row r="756" spans="1:9" x14ac:dyDescent="0.25">
      <c r="A756" s="6" t="s">
        <v>840</v>
      </c>
      <c r="B756" s="7">
        <v>45827</v>
      </c>
      <c r="C756" s="6" t="s">
        <v>59</v>
      </c>
      <c r="D756" s="6" t="s">
        <v>103</v>
      </c>
      <c r="E756" s="8">
        <v>1</v>
      </c>
      <c r="F756" s="9">
        <v>0</v>
      </c>
      <c r="G756" s="10" t="s">
        <v>64</v>
      </c>
      <c r="H756" s="10" t="s">
        <v>56</v>
      </c>
      <c r="I756" s="10" t="s">
        <v>57</v>
      </c>
    </row>
    <row r="757" spans="1:9" x14ac:dyDescent="0.25">
      <c r="A757" s="11" t="s">
        <v>841</v>
      </c>
      <c r="B757" s="12">
        <v>46002</v>
      </c>
      <c r="C757" s="11" t="s">
        <v>90</v>
      </c>
      <c r="D757" s="11" t="s">
        <v>67</v>
      </c>
      <c r="E757" s="13">
        <v>8</v>
      </c>
      <c r="F757" s="14">
        <v>0.2</v>
      </c>
      <c r="G757" s="15" t="s">
        <v>68</v>
      </c>
      <c r="H757" s="15" t="s">
        <v>56</v>
      </c>
      <c r="I757" s="15" t="s">
        <v>77</v>
      </c>
    </row>
    <row r="758" spans="1:9" x14ac:dyDescent="0.25">
      <c r="A758" s="6" t="s">
        <v>842</v>
      </c>
      <c r="B758" s="7">
        <v>45811</v>
      </c>
      <c r="C758" s="6" t="s">
        <v>71</v>
      </c>
      <c r="D758" s="6" t="s">
        <v>82</v>
      </c>
      <c r="E758" s="8">
        <v>7</v>
      </c>
      <c r="F758" s="9">
        <v>0</v>
      </c>
      <c r="G758" s="10" t="s">
        <v>64</v>
      </c>
      <c r="H758" s="10" t="s">
        <v>83</v>
      </c>
      <c r="I758" s="10" t="s">
        <v>77</v>
      </c>
    </row>
    <row r="759" spans="1:9" x14ac:dyDescent="0.25">
      <c r="A759" s="11" t="s">
        <v>843</v>
      </c>
      <c r="B759" s="12">
        <v>45807</v>
      </c>
      <c r="C759" s="11" t="s">
        <v>90</v>
      </c>
      <c r="D759" s="11" t="s">
        <v>96</v>
      </c>
      <c r="E759" s="13">
        <v>2</v>
      </c>
      <c r="F759" s="14">
        <v>0.1</v>
      </c>
      <c r="G759" s="15" t="s">
        <v>68</v>
      </c>
      <c r="H759" s="15" t="s">
        <v>83</v>
      </c>
      <c r="I759" s="15" t="s">
        <v>65</v>
      </c>
    </row>
    <row r="760" spans="1:9" x14ac:dyDescent="0.25">
      <c r="A760" s="6" t="s">
        <v>844</v>
      </c>
      <c r="B760" s="7">
        <v>45926</v>
      </c>
      <c r="C760" s="6" t="s">
        <v>80</v>
      </c>
      <c r="D760" s="6" t="s">
        <v>88</v>
      </c>
      <c r="E760" s="8">
        <v>10</v>
      </c>
      <c r="F760" s="9">
        <v>0</v>
      </c>
      <c r="G760" s="10" t="s">
        <v>61</v>
      </c>
      <c r="H760" s="10" t="s">
        <v>83</v>
      </c>
      <c r="I760" s="10" t="s">
        <v>77</v>
      </c>
    </row>
    <row r="761" spans="1:9" x14ac:dyDescent="0.25">
      <c r="A761" s="11" t="s">
        <v>845</v>
      </c>
      <c r="B761" s="12">
        <v>45905</v>
      </c>
      <c r="C761" s="11" t="s">
        <v>75</v>
      </c>
      <c r="D761" s="11" t="s">
        <v>85</v>
      </c>
      <c r="E761" s="13">
        <v>22</v>
      </c>
      <c r="F761" s="14">
        <v>0.1</v>
      </c>
      <c r="G761" s="15" t="s">
        <v>68</v>
      </c>
      <c r="H761" s="15" t="s">
        <v>83</v>
      </c>
      <c r="I761" s="15" t="s">
        <v>73</v>
      </c>
    </row>
    <row r="762" spans="1:9" x14ac:dyDescent="0.25">
      <c r="A762" s="6" t="s">
        <v>846</v>
      </c>
      <c r="B762" s="7">
        <v>45724</v>
      </c>
      <c r="C762" s="6" t="s">
        <v>105</v>
      </c>
      <c r="D762" s="6" t="s">
        <v>76</v>
      </c>
      <c r="E762" s="8">
        <v>26</v>
      </c>
      <c r="F762" s="9">
        <v>0.15</v>
      </c>
      <c r="G762" s="10" t="s">
        <v>64</v>
      </c>
      <c r="H762" s="10" t="s">
        <v>56</v>
      </c>
      <c r="I762" s="10" t="s">
        <v>57</v>
      </c>
    </row>
    <row r="763" spans="1:9" x14ac:dyDescent="0.25">
      <c r="A763" s="11" t="s">
        <v>847</v>
      </c>
      <c r="B763" s="12">
        <v>46020</v>
      </c>
      <c r="C763" s="11" t="s">
        <v>80</v>
      </c>
      <c r="D763" s="11" t="s">
        <v>67</v>
      </c>
      <c r="E763" s="13">
        <v>1</v>
      </c>
      <c r="F763" s="14">
        <v>0</v>
      </c>
      <c r="G763" s="15" t="s">
        <v>61</v>
      </c>
      <c r="H763" s="15" t="s">
        <v>69</v>
      </c>
      <c r="I763" s="15" t="s">
        <v>77</v>
      </c>
    </row>
    <row r="764" spans="1:9" x14ac:dyDescent="0.25">
      <c r="A764" s="6" t="s">
        <v>848</v>
      </c>
      <c r="B764" s="7">
        <v>45764</v>
      </c>
      <c r="C764" s="6" t="s">
        <v>116</v>
      </c>
      <c r="D764" s="6" t="s">
        <v>72</v>
      </c>
      <c r="E764" s="8">
        <v>7</v>
      </c>
      <c r="F764" s="9">
        <v>0</v>
      </c>
      <c r="G764" s="10" t="s">
        <v>68</v>
      </c>
      <c r="H764" s="10" t="s">
        <v>69</v>
      </c>
      <c r="I764" s="10" t="s">
        <v>57</v>
      </c>
    </row>
    <row r="765" spans="1:9" x14ac:dyDescent="0.25">
      <c r="A765" s="11" t="s">
        <v>849</v>
      </c>
      <c r="B765" s="12">
        <v>45663</v>
      </c>
      <c r="C765" s="11" t="s">
        <v>80</v>
      </c>
      <c r="D765" s="11" t="s">
        <v>60</v>
      </c>
      <c r="E765" s="13">
        <v>12</v>
      </c>
      <c r="F765" s="14">
        <v>0.1</v>
      </c>
      <c r="G765" s="15" t="s">
        <v>61</v>
      </c>
      <c r="H765" s="15" t="s">
        <v>69</v>
      </c>
      <c r="I765" s="15" t="s">
        <v>73</v>
      </c>
    </row>
    <row r="766" spans="1:9" x14ac:dyDescent="0.25">
      <c r="A766" s="6" t="s">
        <v>850</v>
      </c>
      <c r="B766" s="7">
        <v>45917</v>
      </c>
      <c r="C766" s="6" t="s">
        <v>71</v>
      </c>
      <c r="D766" s="6" t="s">
        <v>63</v>
      </c>
      <c r="E766" s="8">
        <v>6</v>
      </c>
      <c r="F766" s="9">
        <v>0.1</v>
      </c>
      <c r="G766" s="10" t="s">
        <v>68</v>
      </c>
      <c r="H766" s="10" t="s">
        <v>69</v>
      </c>
      <c r="I766" s="10" t="s">
        <v>77</v>
      </c>
    </row>
    <row r="767" spans="1:9" x14ac:dyDescent="0.25">
      <c r="A767" s="11" t="s">
        <v>851</v>
      </c>
      <c r="B767" s="12">
        <v>45747</v>
      </c>
      <c r="C767" s="11" t="s">
        <v>71</v>
      </c>
      <c r="D767" s="11" t="s">
        <v>88</v>
      </c>
      <c r="E767" s="13">
        <v>6</v>
      </c>
      <c r="F767" s="14">
        <v>0.15</v>
      </c>
      <c r="G767" s="15" t="s">
        <v>64</v>
      </c>
      <c r="H767" s="15" t="s">
        <v>56</v>
      </c>
      <c r="I767" s="15" t="s">
        <v>57</v>
      </c>
    </row>
    <row r="768" spans="1:9" x14ac:dyDescent="0.25">
      <c r="A768" s="6" t="s">
        <v>852</v>
      </c>
      <c r="B768" s="7">
        <v>45904</v>
      </c>
      <c r="C768" s="6" t="s">
        <v>105</v>
      </c>
      <c r="D768" s="6" t="s">
        <v>94</v>
      </c>
      <c r="E768" s="8">
        <v>9</v>
      </c>
      <c r="F768" s="9">
        <v>0.1</v>
      </c>
      <c r="G768" s="10" t="s">
        <v>64</v>
      </c>
      <c r="H768" s="10" t="s">
        <v>69</v>
      </c>
      <c r="I768" s="10" t="s">
        <v>77</v>
      </c>
    </row>
    <row r="769" spans="1:9" x14ac:dyDescent="0.25">
      <c r="A769" s="11" t="s">
        <v>853</v>
      </c>
      <c r="B769" s="12">
        <v>45924</v>
      </c>
      <c r="C769" s="11" t="s">
        <v>71</v>
      </c>
      <c r="D769" s="11" t="s">
        <v>67</v>
      </c>
      <c r="E769" s="13">
        <v>9</v>
      </c>
      <c r="F769" s="14">
        <v>0.2</v>
      </c>
      <c r="G769" s="15" t="s">
        <v>61</v>
      </c>
      <c r="H769" s="15" t="s">
        <v>56</v>
      </c>
      <c r="I769" s="15" t="s">
        <v>73</v>
      </c>
    </row>
    <row r="770" spans="1:9" x14ac:dyDescent="0.25">
      <c r="A770" s="6" t="s">
        <v>854</v>
      </c>
      <c r="B770" s="7">
        <v>45839</v>
      </c>
      <c r="C770" s="6" t="s">
        <v>90</v>
      </c>
      <c r="D770" s="6" t="s">
        <v>54</v>
      </c>
      <c r="E770" s="8">
        <v>5</v>
      </c>
      <c r="F770" s="9">
        <v>0</v>
      </c>
      <c r="G770" s="10" t="s">
        <v>68</v>
      </c>
      <c r="H770" s="10" t="s">
        <v>69</v>
      </c>
      <c r="I770" s="10" t="s">
        <v>57</v>
      </c>
    </row>
    <row r="771" spans="1:9" x14ac:dyDescent="0.25">
      <c r="A771" s="11" t="s">
        <v>855</v>
      </c>
      <c r="B771" s="12">
        <v>45950</v>
      </c>
      <c r="C771" s="11" t="s">
        <v>116</v>
      </c>
      <c r="D771" s="11" t="s">
        <v>76</v>
      </c>
      <c r="E771" s="13">
        <v>22</v>
      </c>
      <c r="F771" s="14">
        <v>0</v>
      </c>
      <c r="G771" s="15" t="s">
        <v>68</v>
      </c>
      <c r="H771" s="15" t="s">
        <v>83</v>
      </c>
      <c r="I771" s="15" t="s">
        <v>73</v>
      </c>
    </row>
    <row r="772" spans="1:9" x14ac:dyDescent="0.25">
      <c r="A772" s="6" t="s">
        <v>856</v>
      </c>
      <c r="B772" s="7">
        <v>46021</v>
      </c>
      <c r="C772" s="6" t="s">
        <v>75</v>
      </c>
      <c r="D772" s="6" t="s">
        <v>120</v>
      </c>
      <c r="E772" s="8">
        <v>7</v>
      </c>
      <c r="F772" s="9">
        <v>0</v>
      </c>
      <c r="G772" s="10" t="s">
        <v>64</v>
      </c>
      <c r="H772" s="10" t="s">
        <v>56</v>
      </c>
      <c r="I772" s="10" t="s">
        <v>73</v>
      </c>
    </row>
    <row r="773" spans="1:9" x14ac:dyDescent="0.25">
      <c r="A773" s="11" t="s">
        <v>857</v>
      </c>
      <c r="B773" s="12">
        <v>45889</v>
      </c>
      <c r="C773" s="11" t="s">
        <v>75</v>
      </c>
      <c r="D773" s="11" t="s">
        <v>111</v>
      </c>
      <c r="E773" s="13">
        <v>4</v>
      </c>
      <c r="F773" s="14">
        <v>0.2</v>
      </c>
      <c r="G773" s="15" t="s">
        <v>68</v>
      </c>
      <c r="H773" s="15" t="s">
        <v>56</v>
      </c>
      <c r="I773" s="15" t="s">
        <v>77</v>
      </c>
    </row>
    <row r="774" spans="1:9" x14ac:dyDescent="0.25">
      <c r="A774" s="6" t="s">
        <v>858</v>
      </c>
      <c r="B774" s="7">
        <v>45849</v>
      </c>
      <c r="C774" s="6" t="s">
        <v>53</v>
      </c>
      <c r="D774" s="6" t="s">
        <v>72</v>
      </c>
      <c r="E774" s="8">
        <v>4</v>
      </c>
      <c r="F774" s="9">
        <v>0</v>
      </c>
      <c r="G774" s="10" t="s">
        <v>64</v>
      </c>
      <c r="H774" s="10" t="s">
        <v>83</v>
      </c>
      <c r="I774" s="10" t="s">
        <v>77</v>
      </c>
    </row>
    <row r="775" spans="1:9" x14ac:dyDescent="0.25">
      <c r="A775" s="11" t="s">
        <v>859</v>
      </c>
      <c r="B775" s="12">
        <v>45905</v>
      </c>
      <c r="C775" s="11" t="s">
        <v>90</v>
      </c>
      <c r="D775" s="11" t="s">
        <v>103</v>
      </c>
      <c r="E775" s="13">
        <v>4</v>
      </c>
      <c r="F775" s="14">
        <v>0.1</v>
      </c>
      <c r="G775" s="15" t="s">
        <v>64</v>
      </c>
      <c r="H775" s="15" t="s">
        <v>83</v>
      </c>
      <c r="I775" s="15" t="s">
        <v>73</v>
      </c>
    </row>
    <row r="776" spans="1:9" x14ac:dyDescent="0.25">
      <c r="A776" s="6" t="s">
        <v>860</v>
      </c>
      <c r="B776" s="7">
        <v>45825</v>
      </c>
      <c r="C776" s="6" t="s">
        <v>59</v>
      </c>
      <c r="D776" s="6" t="s">
        <v>94</v>
      </c>
      <c r="E776" s="8">
        <v>9</v>
      </c>
      <c r="F776" s="9">
        <v>0.05</v>
      </c>
      <c r="G776" s="10" t="s">
        <v>55</v>
      </c>
      <c r="H776" s="10" t="s">
        <v>83</v>
      </c>
      <c r="I776" s="10" t="s">
        <v>77</v>
      </c>
    </row>
    <row r="777" spans="1:9" x14ac:dyDescent="0.25">
      <c r="A777" s="11" t="s">
        <v>861</v>
      </c>
      <c r="B777" s="12">
        <v>45893</v>
      </c>
      <c r="C777" s="11" t="s">
        <v>59</v>
      </c>
      <c r="D777" s="11" t="s">
        <v>92</v>
      </c>
      <c r="E777" s="13">
        <v>1</v>
      </c>
      <c r="F777" s="14">
        <v>0.1</v>
      </c>
      <c r="G777" s="15" t="s">
        <v>61</v>
      </c>
      <c r="H777" s="15" t="s">
        <v>83</v>
      </c>
      <c r="I777" s="15" t="s">
        <v>77</v>
      </c>
    </row>
    <row r="778" spans="1:9" x14ac:dyDescent="0.25">
      <c r="A778" s="6" t="s">
        <v>862</v>
      </c>
      <c r="B778" s="7">
        <v>45828</v>
      </c>
      <c r="C778" s="6" t="s">
        <v>53</v>
      </c>
      <c r="D778" s="6" t="s">
        <v>96</v>
      </c>
      <c r="E778" s="8">
        <v>2</v>
      </c>
      <c r="F778" s="9">
        <v>0.2</v>
      </c>
      <c r="G778" s="10" t="s">
        <v>68</v>
      </c>
      <c r="H778" s="10" t="s">
        <v>56</v>
      </c>
      <c r="I778" s="10" t="s">
        <v>73</v>
      </c>
    </row>
    <row r="779" spans="1:9" x14ac:dyDescent="0.25">
      <c r="A779" s="11" t="s">
        <v>863</v>
      </c>
      <c r="B779" s="12">
        <v>45985</v>
      </c>
      <c r="C779" s="11" t="s">
        <v>80</v>
      </c>
      <c r="D779" s="11" t="s">
        <v>103</v>
      </c>
      <c r="E779" s="13">
        <v>6</v>
      </c>
      <c r="F779" s="14">
        <v>0.05</v>
      </c>
      <c r="G779" s="15" t="s">
        <v>55</v>
      </c>
      <c r="H779" s="15" t="s">
        <v>69</v>
      </c>
      <c r="I779" s="15" t="s">
        <v>73</v>
      </c>
    </row>
    <row r="780" spans="1:9" x14ac:dyDescent="0.25">
      <c r="A780" s="6" t="s">
        <v>864</v>
      </c>
      <c r="B780" s="7">
        <v>45930</v>
      </c>
      <c r="C780" s="6" t="s">
        <v>105</v>
      </c>
      <c r="D780" s="6" t="s">
        <v>82</v>
      </c>
      <c r="E780" s="8">
        <v>11</v>
      </c>
      <c r="F780" s="9">
        <v>0</v>
      </c>
      <c r="G780" s="10" t="s">
        <v>68</v>
      </c>
      <c r="H780" s="10" t="s">
        <v>56</v>
      </c>
      <c r="I780" s="10" t="s">
        <v>57</v>
      </c>
    </row>
    <row r="781" spans="1:9" x14ac:dyDescent="0.25">
      <c r="A781" s="11" t="s">
        <v>865</v>
      </c>
      <c r="B781" s="12">
        <v>45798</v>
      </c>
      <c r="C781" s="11" t="s">
        <v>53</v>
      </c>
      <c r="D781" s="11" t="s">
        <v>54</v>
      </c>
      <c r="E781" s="13">
        <v>10</v>
      </c>
      <c r="F781" s="14">
        <v>0.2</v>
      </c>
      <c r="G781" s="15" t="s">
        <v>61</v>
      </c>
      <c r="H781" s="15" t="s">
        <v>56</v>
      </c>
      <c r="I781" s="15" t="s">
        <v>73</v>
      </c>
    </row>
    <row r="782" spans="1:9" x14ac:dyDescent="0.25">
      <c r="A782" s="6" t="s">
        <v>866</v>
      </c>
      <c r="B782" s="7">
        <v>45939</v>
      </c>
      <c r="C782" s="6" t="s">
        <v>75</v>
      </c>
      <c r="D782" s="6" t="s">
        <v>82</v>
      </c>
      <c r="E782" s="8">
        <v>3</v>
      </c>
      <c r="F782" s="9">
        <v>0.1</v>
      </c>
      <c r="G782" s="10" t="s">
        <v>55</v>
      </c>
      <c r="H782" s="10" t="s">
        <v>56</v>
      </c>
      <c r="I782" s="10" t="s">
        <v>77</v>
      </c>
    </row>
    <row r="783" spans="1:9" x14ac:dyDescent="0.25">
      <c r="A783" s="11" t="s">
        <v>867</v>
      </c>
      <c r="B783" s="12">
        <v>45817</v>
      </c>
      <c r="C783" s="11" t="s">
        <v>71</v>
      </c>
      <c r="D783" s="11" t="s">
        <v>76</v>
      </c>
      <c r="E783" s="13">
        <v>17</v>
      </c>
      <c r="F783" s="14">
        <v>0</v>
      </c>
      <c r="G783" s="15" t="s">
        <v>55</v>
      </c>
      <c r="H783" s="15" t="s">
        <v>56</v>
      </c>
      <c r="I783" s="15" t="s">
        <v>65</v>
      </c>
    </row>
    <row r="784" spans="1:9" x14ac:dyDescent="0.25">
      <c r="A784" s="6" t="s">
        <v>868</v>
      </c>
      <c r="B784" s="7">
        <v>46003</v>
      </c>
      <c r="C784" s="6" t="s">
        <v>59</v>
      </c>
      <c r="D784" s="6" t="s">
        <v>120</v>
      </c>
      <c r="E784" s="8">
        <v>7</v>
      </c>
      <c r="F784" s="9">
        <v>0</v>
      </c>
      <c r="G784" s="10" t="s">
        <v>61</v>
      </c>
      <c r="H784" s="10" t="s">
        <v>69</v>
      </c>
      <c r="I784" s="10" t="s">
        <v>65</v>
      </c>
    </row>
    <row r="785" spans="1:9" x14ac:dyDescent="0.25">
      <c r="A785" s="11" t="s">
        <v>869</v>
      </c>
      <c r="B785" s="12">
        <v>45749</v>
      </c>
      <c r="C785" s="11" t="s">
        <v>105</v>
      </c>
      <c r="D785" s="11" t="s">
        <v>85</v>
      </c>
      <c r="E785" s="13">
        <v>14</v>
      </c>
      <c r="F785" s="14">
        <v>0.1</v>
      </c>
      <c r="G785" s="15" t="s">
        <v>68</v>
      </c>
      <c r="H785" s="15" t="s">
        <v>56</v>
      </c>
      <c r="I785" s="15" t="s">
        <v>77</v>
      </c>
    </row>
    <row r="786" spans="1:9" x14ac:dyDescent="0.25">
      <c r="A786" s="6" t="s">
        <v>870</v>
      </c>
      <c r="B786" s="7">
        <v>45896</v>
      </c>
      <c r="C786" s="6" t="s">
        <v>90</v>
      </c>
      <c r="D786" s="6" t="s">
        <v>76</v>
      </c>
      <c r="E786" s="8">
        <v>29</v>
      </c>
      <c r="F786" s="9">
        <v>0.15</v>
      </c>
      <c r="G786" s="10" t="s">
        <v>61</v>
      </c>
      <c r="H786" s="10" t="s">
        <v>69</v>
      </c>
      <c r="I786" s="10" t="s">
        <v>73</v>
      </c>
    </row>
    <row r="787" spans="1:9" x14ac:dyDescent="0.25">
      <c r="A787" s="11" t="s">
        <v>871</v>
      </c>
      <c r="B787" s="12">
        <v>46008</v>
      </c>
      <c r="C787" s="11" t="s">
        <v>105</v>
      </c>
      <c r="D787" s="11" t="s">
        <v>60</v>
      </c>
      <c r="E787" s="13">
        <v>10</v>
      </c>
      <c r="F787" s="14">
        <v>0.05</v>
      </c>
      <c r="G787" s="15" t="s">
        <v>55</v>
      </c>
      <c r="H787" s="15" t="s">
        <v>83</v>
      </c>
      <c r="I787" s="15" t="s">
        <v>73</v>
      </c>
    </row>
    <row r="788" spans="1:9" x14ac:dyDescent="0.25">
      <c r="A788" s="6" t="s">
        <v>872</v>
      </c>
      <c r="B788" s="7">
        <v>45844</v>
      </c>
      <c r="C788" s="6" t="s">
        <v>90</v>
      </c>
      <c r="D788" s="6" t="s">
        <v>92</v>
      </c>
      <c r="E788" s="8">
        <v>12</v>
      </c>
      <c r="F788" s="9">
        <v>0.1</v>
      </c>
      <c r="G788" s="10" t="s">
        <v>68</v>
      </c>
      <c r="H788" s="10" t="s">
        <v>69</v>
      </c>
      <c r="I788" s="10" t="s">
        <v>65</v>
      </c>
    </row>
    <row r="789" spans="1:9" x14ac:dyDescent="0.25">
      <c r="A789" s="11" t="s">
        <v>873</v>
      </c>
      <c r="B789" s="12">
        <v>45673</v>
      </c>
      <c r="C789" s="11" t="s">
        <v>105</v>
      </c>
      <c r="D789" s="11" t="s">
        <v>54</v>
      </c>
      <c r="E789" s="13">
        <v>2</v>
      </c>
      <c r="F789" s="14">
        <v>0.1</v>
      </c>
      <c r="G789" s="15" t="s">
        <v>64</v>
      </c>
      <c r="H789" s="15" t="s">
        <v>69</v>
      </c>
      <c r="I789" s="15" t="s">
        <v>57</v>
      </c>
    </row>
    <row r="790" spans="1:9" x14ac:dyDescent="0.25">
      <c r="A790" s="6" t="s">
        <v>874</v>
      </c>
      <c r="B790" s="7">
        <v>45802</v>
      </c>
      <c r="C790" s="6" t="s">
        <v>71</v>
      </c>
      <c r="D790" s="6" t="s">
        <v>72</v>
      </c>
      <c r="E790" s="8">
        <v>10</v>
      </c>
      <c r="F790" s="9">
        <v>0.2</v>
      </c>
      <c r="G790" s="10" t="s">
        <v>55</v>
      </c>
      <c r="H790" s="10" t="s">
        <v>83</v>
      </c>
      <c r="I790" s="10" t="s">
        <v>77</v>
      </c>
    </row>
    <row r="791" spans="1:9" x14ac:dyDescent="0.25">
      <c r="A791" s="11" t="s">
        <v>875</v>
      </c>
      <c r="B791" s="12">
        <v>45865</v>
      </c>
      <c r="C791" s="11" t="s">
        <v>59</v>
      </c>
      <c r="D791" s="11" t="s">
        <v>111</v>
      </c>
      <c r="E791" s="13">
        <v>6</v>
      </c>
      <c r="F791" s="14">
        <v>0.2</v>
      </c>
      <c r="G791" s="15" t="s">
        <v>61</v>
      </c>
      <c r="H791" s="15" t="s">
        <v>69</v>
      </c>
      <c r="I791" s="15" t="s">
        <v>65</v>
      </c>
    </row>
    <row r="792" spans="1:9" x14ac:dyDescent="0.25">
      <c r="A792" s="6" t="s">
        <v>876</v>
      </c>
      <c r="B792" s="7">
        <v>45863</v>
      </c>
      <c r="C792" s="6" t="s">
        <v>116</v>
      </c>
      <c r="D792" s="6" t="s">
        <v>76</v>
      </c>
      <c r="E792" s="8">
        <v>22</v>
      </c>
      <c r="F792" s="9">
        <v>0.05</v>
      </c>
      <c r="G792" s="10" t="s">
        <v>55</v>
      </c>
      <c r="H792" s="10" t="s">
        <v>69</v>
      </c>
      <c r="I792" s="10" t="s">
        <v>65</v>
      </c>
    </row>
    <row r="793" spans="1:9" x14ac:dyDescent="0.25">
      <c r="A793" s="11" t="s">
        <v>877</v>
      </c>
      <c r="B793" s="12">
        <v>45691</v>
      </c>
      <c r="C793" s="11" t="s">
        <v>80</v>
      </c>
      <c r="D793" s="11" t="s">
        <v>82</v>
      </c>
      <c r="E793" s="13">
        <v>12</v>
      </c>
      <c r="F793" s="14">
        <v>0.2</v>
      </c>
      <c r="G793" s="15" t="s">
        <v>64</v>
      </c>
      <c r="H793" s="15" t="s">
        <v>69</v>
      </c>
      <c r="I793" s="15" t="s">
        <v>73</v>
      </c>
    </row>
    <row r="794" spans="1:9" x14ac:dyDescent="0.25">
      <c r="A794" s="6" t="s">
        <v>878</v>
      </c>
      <c r="B794" s="7">
        <v>45936</v>
      </c>
      <c r="C794" s="6" t="s">
        <v>80</v>
      </c>
      <c r="D794" s="6" t="s">
        <v>85</v>
      </c>
      <c r="E794" s="8">
        <v>24</v>
      </c>
      <c r="F794" s="9">
        <v>0</v>
      </c>
      <c r="G794" s="10" t="s">
        <v>64</v>
      </c>
      <c r="H794" s="10" t="s">
        <v>56</v>
      </c>
      <c r="I794" s="10" t="s">
        <v>65</v>
      </c>
    </row>
    <row r="795" spans="1:9" x14ac:dyDescent="0.25">
      <c r="A795" s="11" t="s">
        <v>879</v>
      </c>
      <c r="B795" s="12">
        <v>45824</v>
      </c>
      <c r="C795" s="11" t="s">
        <v>59</v>
      </c>
      <c r="D795" s="11" t="s">
        <v>63</v>
      </c>
      <c r="E795" s="13">
        <v>8</v>
      </c>
      <c r="F795" s="14">
        <v>0.1</v>
      </c>
      <c r="G795" s="15" t="s">
        <v>64</v>
      </c>
      <c r="H795" s="15" t="s">
        <v>56</v>
      </c>
      <c r="I795" s="15" t="s">
        <v>77</v>
      </c>
    </row>
    <row r="796" spans="1:9" x14ac:dyDescent="0.25">
      <c r="A796" s="6" t="s">
        <v>880</v>
      </c>
      <c r="B796" s="7">
        <v>46008</v>
      </c>
      <c r="C796" s="6" t="s">
        <v>116</v>
      </c>
      <c r="D796" s="6" t="s">
        <v>111</v>
      </c>
      <c r="E796" s="8">
        <v>6</v>
      </c>
      <c r="F796" s="9">
        <v>0.15</v>
      </c>
      <c r="G796" s="10" t="s">
        <v>61</v>
      </c>
      <c r="H796" s="10" t="s">
        <v>56</v>
      </c>
      <c r="I796" s="10" t="s">
        <v>57</v>
      </c>
    </row>
    <row r="797" spans="1:9" x14ac:dyDescent="0.25">
      <c r="A797" s="11" t="s">
        <v>881</v>
      </c>
      <c r="B797" s="12">
        <v>45729</v>
      </c>
      <c r="C797" s="11" t="s">
        <v>53</v>
      </c>
      <c r="D797" s="11" t="s">
        <v>103</v>
      </c>
      <c r="E797" s="13">
        <v>3</v>
      </c>
      <c r="F797" s="14">
        <v>0.05</v>
      </c>
      <c r="G797" s="15" t="s">
        <v>64</v>
      </c>
      <c r="H797" s="15" t="s">
        <v>83</v>
      </c>
      <c r="I797" s="15" t="s">
        <v>73</v>
      </c>
    </row>
    <row r="798" spans="1:9" x14ac:dyDescent="0.25">
      <c r="A798" s="6" t="s">
        <v>882</v>
      </c>
      <c r="B798" s="7">
        <v>45857</v>
      </c>
      <c r="C798" s="6" t="s">
        <v>105</v>
      </c>
      <c r="D798" s="6" t="s">
        <v>76</v>
      </c>
      <c r="E798" s="8">
        <v>9</v>
      </c>
      <c r="F798" s="9">
        <v>0.1</v>
      </c>
      <c r="G798" s="10" t="s">
        <v>68</v>
      </c>
      <c r="H798" s="10" t="s">
        <v>83</v>
      </c>
      <c r="I798" s="10" t="s">
        <v>73</v>
      </c>
    </row>
    <row r="799" spans="1:9" x14ac:dyDescent="0.25">
      <c r="A799" s="11" t="s">
        <v>883</v>
      </c>
      <c r="B799" s="12">
        <v>45880</v>
      </c>
      <c r="C799" s="11" t="s">
        <v>71</v>
      </c>
      <c r="D799" s="11" t="s">
        <v>85</v>
      </c>
      <c r="E799" s="13">
        <v>21</v>
      </c>
      <c r="F799" s="14">
        <v>0</v>
      </c>
      <c r="G799" s="15" t="s">
        <v>64</v>
      </c>
      <c r="H799" s="15" t="s">
        <v>56</v>
      </c>
      <c r="I799" s="15" t="s">
        <v>73</v>
      </c>
    </row>
    <row r="800" spans="1:9" x14ac:dyDescent="0.25">
      <c r="A800" s="6" t="s">
        <v>884</v>
      </c>
      <c r="B800" s="7">
        <v>45689</v>
      </c>
      <c r="C800" s="6" t="s">
        <v>53</v>
      </c>
      <c r="D800" s="6" t="s">
        <v>82</v>
      </c>
      <c r="E800" s="8">
        <v>1</v>
      </c>
      <c r="F800" s="9">
        <v>0.2</v>
      </c>
      <c r="G800" s="10" t="s">
        <v>68</v>
      </c>
      <c r="H800" s="10" t="s">
        <v>56</v>
      </c>
      <c r="I800" s="10" t="s">
        <v>73</v>
      </c>
    </row>
    <row r="801" spans="1:9" x14ac:dyDescent="0.25">
      <c r="A801" s="11" t="s">
        <v>885</v>
      </c>
      <c r="B801" s="12">
        <v>45673</v>
      </c>
      <c r="C801" s="11" t="s">
        <v>116</v>
      </c>
      <c r="D801" s="11" t="s">
        <v>88</v>
      </c>
      <c r="E801" s="13">
        <v>12</v>
      </c>
      <c r="F801" s="14">
        <v>0.2</v>
      </c>
      <c r="G801" s="15" t="s">
        <v>64</v>
      </c>
      <c r="H801" s="15" t="s">
        <v>83</v>
      </c>
      <c r="I801" s="15" t="s">
        <v>73</v>
      </c>
    </row>
    <row r="802" spans="1:9" x14ac:dyDescent="0.25">
      <c r="A802" s="6" t="s">
        <v>886</v>
      </c>
      <c r="B802" s="7">
        <v>46022</v>
      </c>
      <c r="C802" s="6" t="s">
        <v>116</v>
      </c>
      <c r="D802" s="6" t="s">
        <v>92</v>
      </c>
      <c r="E802" s="8">
        <v>7</v>
      </c>
      <c r="F802" s="9">
        <v>0.15</v>
      </c>
      <c r="G802" s="10" t="s">
        <v>55</v>
      </c>
      <c r="H802" s="10" t="s">
        <v>83</v>
      </c>
      <c r="I802" s="10" t="s">
        <v>57</v>
      </c>
    </row>
    <row r="803" spans="1:9" x14ac:dyDescent="0.25">
      <c r="A803" s="11" t="s">
        <v>887</v>
      </c>
      <c r="B803" s="12">
        <v>45901</v>
      </c>
      <c r="C803" s="11" t="s">
        <v>80</v>
      </c>
      <c r="D803" s="11" t="s">
        <v>94</v>
      </c>
      <c r="E803" s="13">
        <v>9</v>
      </c>
      <c r="F803" s="14">
        <v>0.15</v>
      </c>
      <c r="G803" s="15" t="s">
        <v>68</v>
      </c>
      <c r="H803" s="15" t="s">
        <v>69</v>
      </c>
      <c r="I803" s="15" t="s">
        <v>57</v>
      </c>
    </row>
    <row r="804" spans="1:9" x14ac:dyDescent="0.25">
      <c r="A804" s="6" t="s">
        <v>888</v>
      </c>
      <c r="B804" s="7">
        <v>45805</v>
      </c>
      <c r="C804" s="6" t="s">
        <v>90</v>
      </c>
      <c r="D804" s="6" t="s">
        <v>111</v>
      </c>
      <c r="E804" s="8">
        <v>3</v>
      </c>
      <c r="F804" s="9">
        <v>0</v>
      </c>
      <c r="G804" s="10" t="s">
        <v>61</v>
      </c>
      <c r="H804" s="10" t="s">
        <v>83</v>
      </c>
      <c r="I804" s="10" t="s">
        <v>77</v>
      </c>
    </row>
    <row r="805" spans="1:9" x14ac:dyDescent="0.25">
      <c r="A805" s="11" t="s">
        <v>889</v>
      </c>
      <c r="B805" s="12">
        <v>45731</v>
      </c>
      <c r="C805" s="11" t="s">
        <v>105</v>
      </c>
      <c r="D805" s="11" t="s">
        <v>85</v>
      </c>
      <c r="E805" s="13">
        <v>16</v>
      </c>
      <c r="F805" s="14">
        <v>0.05</v>
      </c>
      <c r="G805" s="15" t="s">
        <v>61</v>
      </c>
      <c r="H805" s="15" t="s">
        <v>56</v>
      </c>
      <c r="I805" s="15" t="s">
        <v>65</v>
      </c>
    </row>
    <row r="806" spans="1:9" x14ac:dyDescent="0.25">
      <c r="A806" s="6" t="s">
        <v>890</v>
      </c>
      <c r="B806" s="7">
        <v>45891</v>
      </c>
      <c r="C806" s="6" t="s">
        <v>116</v>
      </c>
      <c r="D806" s="6" t="s">
        <v>103</v>
      </c>
      <c r="E806" s="8">
        <v>10</v>
      </c>
      <c r="F806" s="9">
        <v>0.05</v>
      </c>
      <c r="G806" s="10" t="s">
        <v>64</v>
      </c>
      <c r="H806" s="10" t="s">
        <v>83</v>
      </c>
      <c r="I806" s="10" t="s">
        <v>65</v>
      </c>
    </row>
    <row r="807" spans="1:9" x14ac:dyDescent="0.25">
      <c r="A807" s="11" t="s">
        <v>891</v>
      </c>
      <c r="B807" s="12">
        <v>45940</v>
      </c>
      <c r="C807" s="11" t="s">
        <v>105</v>
      </c>
      <c r="D807" s="11" t="s">
        <v>111</v>
      </c>
      <c r="E807" s="13">
        <v>7</v>
      </c>
      <c r="F807" s="14">
        <v>0.1</v>
      </c>
      <c r="G807" s="15" t="s">
        <v>55</v>
      </c>
      <c r="H807" s="15" t="s">
        <v>56</v>
      </c>
      <c r="I807" s="15" t="s">
        <v>65</v>
      </c>
    </row>
    <row r="808" spans="1:9" x14ac:dyDescent="0.25">
      <c r="A808" s="6" t="s">
        <v>892</v>
      </c>
      <c r="B808" s="7">
        <v>45967</v>
      </c>
      <c r="C808" s="6" t="s">
        <v>105</v>
      </c>
      <c r="D808" s="6" t="s">
        <v>120</v>
      </c>
      <c r="E808" s="8">
        <v>12</v>
      </c>
      <c r="F808" s="9">
        <v>0.05</v>
      </c>
      <c r="G808" s="10" t="s">
        <v>68</v>
      </c>
      <c r="H808" s="10" t="s">
        <v>69</v>
      </c>
      <c r="I808" s="10" t="s">
        <v>73</v>
      </c>
    </row>
    <row r="809" spans="1:9" x14ac:dyDescent="0.25">
      <c r="A809" s="11" t="s">
        <v>893</v>
      </c>
      <c r="B809" s="12">
        <v>45675</v>
      </c>
      <c r="C809" s="11" t="s">
        <v>105</v>
      </c>
      <c r="D809" s="11" t="s">
        <v>120</v>
      </c>
      <c r="E809" s="13">
        <v>12</v>
      </c>
      <c r="F809" s="14">
        <v>0.1</v>
      </c>
      <c r="G809" s="15" t="s">
        <v>61</v>
      </c>
      <c r="H809" s="15" t="s">
        <v>83</v>
      </c>
      <c r="I809" s="15" t="s">
        <v>65</v>
      </c>
    </row>
    <row r="810" spans="1:9" x14ac:dyDescent="0.25">
      <c r="A810" s="6" t="s">
        <v>894</v>
      </c>
      <c r="B810" s="7">
        <v>46011</v>
      </c>
      <c r="C810" s="6" t="s">
        <v>90</v>
      </c>
      <c r="D810" s="6" t="s">
        <v>54</v>
      </c>
      <c r="E810" s="8">
        <v>12</v>
      </c>
      <c r="F810" s="9">
        <v>0.2</v>
      </c>
      <c r="G810" s="10" t="s">
        <v>68</v>
      </c>
      <c r="H810" s="10" t="s">
        <v>69</v>
      </c>
      <c r="I810" s="10" t="s">
        <v>77</v>
      </c>
    </row>
    <row r="811" spans="1:9" x14ac:dyDescent="0.25">
      <c r="A811" s="11" t="s">
        <v>895</v>
      </c>
      <c r="B811" s="12">
        <v>45925</v>
      </c>
      <c r="C811" s="11" t="s">
        <v>59</v>
      </c>
      <c r="D811" s="11" t="s">
        <v>103</v>
      </c>
      <c r="E811" s="13">
        <v>4</v>
      </c>
      <c r="F811" s="14">
        <v>0.15</v>
      </c>
      <c r="G811" s="15" t="s">
        <v>61</v>
      </c>
      <c r="H811" s="15" t="s">
        <v>83</v>
      </c>
      <c r="I811" s="15" t="s">
        <v>73</v>
      </c>
    </row>
    <row r="812" spans="1:9" x14ac:dyDescent="0.25">
      <c r="A812" s="6" t="s">
        <v>896</v>
      </c>
      <c r="B812" s="7">
        <v>45971</v>
      </c>
      <c r="C812" s="6" t="s">
        <v>71</v>
      </c>
      <c r="D812" s="6" t="s">
        <v>120</v>
      </c>
      <c r="E812" s="8">
        <v>9</v>
      </c>
      <c r="F812" s="9">
        <v>0</v>
      </c>
      <c r="G812" s="10" t="s">
        <v>64</v>
      </c>
      <c r="H812" s="10" t="s">
        <v>69</v>
      </c>
      <c r="I812" s="10" t="s">
        <v>65</v>
      </c>
    </row>
    <row r="813" spans="1:9" x14ac:dyDescent="0.25">
      <c r="A813" s="11" t="s">
        <v>897</v>
      </c>
      <c r="B813" s="12">
        <v>45951</v>
      </c>
      <c r="C813" s="11" t="s">
        <v>71</v>
      </c>
      <c r="D813" s="11" t="s">
        <v>85</v>
      </c>
      <c r="E813" s="13">
        <v>14</v>
      </c>
      <c r="F813" s="14">
        <v>0.1</v>
      </c>
      <c r="G813" s="15" t="s">
        <v>68</v>
      </c>
      <c r="H813" s="15" t="s">
        <v>56</v>
      </c>
      <c r="I813" s="15" t="s">
        <v>77</v>
      </c>
    </row>
    <row r="814" spans="1:9" x14ac:dyDescent="0.25">
      <c r="A814" s="6" t="s">
        <v>898</v>
      </c>
      <c r="B814" s="7">
        <v>46013</v>
      </c>
      <c r="C814" s="6" t="s">
        <v>75</v>
      </c>
      <c r="D814" s="6" t="s">
        <v>103</v>
      </c>
      <c r="E814" s="8">
        <v>12</v>
      </c>
      <c r="F814" s="9">
        <v>0.2</v>
      </c>
      <c r="G814" s="10" t="s">
        <v>68</v>
      </c>
      <c r="H814" s="10" t="s">
        <v>56</v>
      </c>
      <c r="I814" s="10" t="s">
        <v>65</v>
      </c>
    </row>
    <row r="815" spans="1:9" x14ac:dyDescent="0.25">
      <c r="A815" s="11" t="s">
        <v>899</v>
      </c>
      <c r="B815" s="12">
        <v>45954</v>
      </c>
      <c r="C815" s="11" t="s">
        <v>53</v>
      </c>
      <c r="D815" s="11" t="s">
        <v>94</v>
      </c>
      <c r="E815" s="13">
        <v>11</v>
      </c>
      <c r="F815" s="14">
        <v>0.1</v>
      </c>
      <c r="G815" s="15" t="s">
        <v>61</v>
      </c>
      <c r="H815" s="15" t="s">
        <v>69</v>
      </c>
      <c r="I815" s="15" t="s">
        <v>65</v>
      </c>
    </row>
    <row r="816" spans="1:9" x14ac:dyDescent="0.25">
      <c r="A816" s="6" t="s">
        <v>900</v>
      </c>
      <c r="B816" s="7">
        <v>45700</v>
      </c>
      <c r="C816" s="6" t="s">
        <v>59</v>
      </c>
      <c r="D816" s="6" t="s">
        <v>94</v>
      </c>
      <c r="E816" s="8">
        <v>5</v>
      </c>
      <c r="F816" s="9">
        <v>0.1</v>
      </c>
      <c r="G816" s="10" t="s">
        <v>55</v>
      </c>
      <c r="H816" s="10" t="s">
        <v>83</v>
      </c>
      <c r="I816" s="10" t="s">
        <v>73</v>
      </c>
    </row>
    <row r="817" spans="1:9" x14ac:dyDescent="0.25">
      <c r="A817" s="11" t="s">
        <v>901</v>
      </c>
      <c r="B817" s="12">
        <v>45798</v>
      </c>
      <c r="C817" s="11" t="s">
        <v>75</v>
      </c>
      <c r="D817" s="11" t="s">
        <v>111</v>
      </c>
      <c r="E817" s="13">
        <v>1</v>
      </c>
      <c r="F817" s="14">
        <v>0</v>
      </c>
      <c r="G817" s="15" t="s">
        <v>55</v>
      </c>
      <c r="H817" s="15" t="s">
        <v>83</v>
      </c>
      <c r="I817" s="15" t="s">
        <v>57</v>
      </c>
    </row>
    <row r="818" spans="1:9" x14ac:dyDescent="0.25">
      <c r="A818" s="6" t="s">
        <v>902</v>
      </c>
      <c r="B818" s="7">
        <v>45995</v>
      </c>
      <c r="C818" s="6" t="s">
        <v>71</v>
      </c>
      <c r="D818" s="6" t="s">
        <v>96</v>
      </c>
      <c r="E818" s="8">
        <v>3</v>
      </c>
      <c r="F818" s="9">
        <v>0.1</v>
      </c>
      <c r="G818" s="10" t="s">
        <v>55</v>
      </c>
      <c r="H818" s="10" t="s">
        <v>69</v>
      </c>
      <c r="I818" s="10" t="s">
        <v>57</v>
      </c>
    </row>
    <row r="819" spans="1:9" x14ac:dyDescent="0.25">
      <c r="A819" s="11" t="s">
        <v>903</v>
      </c>
      <c r="B819" s="12">
        <v>45928</v>
      </c>
      <c r="C819" s="11" t="s">
        <v>53</v>
      </c>
      <c r="D819" s="11" t="s">
        <v>111</v>
      </c>
      <c r="E819" s="13">
        <v>6</v>
      </c>
      <c r="F819" s="14">
        <v>0</v>
      </c>
      <c r="G819" s="15" t="s">
        <v>55</v>
      </c>
      <c r="H819" s="15" t="s">
        <v>83</v>
      </c>
      <c r="I819" s="15" t="s">
        <v>57</v>
      </c>
    </row>
    <row r="820" spans="1:9" x14ac:dyDescent="0.25">
      <c r="A820" s="6" t="s">
        <v>904</v>
      </c>
      <c r="B820" s="7">
        <v>45911</v>
      </c>
      <c r="C820" s="6" t="s">
        <v>116</v>
      </c>
      <c r="D820" s="6" t="s">
        <v>72</v>
      </c>
      <c r="E820" s="8">
        <v>7</v>
      </c>
      <c r="F820" s="9">
        <v>0.05</v>
      </c>
      <c r="G820" s="10" t="s">
        <v>64</v>
      </c>
      <c r="H820" s="10" t="s">
        <v>83</v>
      </c>
      <c r="I820" s="10" t="s">
        <v>57</v>
      </c>
    </row>
    <row r="821" spans="1:9" x14ac:dyDescent="0.25">
      <c r="A821" s="11" t="s">
        <v>905</v>
      </c>
      <c r="B821" s="12">
        <v>45765</v>
      </c>
      <c r="C821" s="11" t="s">
        <v>71</v>
      </c>
      <c r="D821" s="11" t="s">
        <v>76</v>
      </c>
      <c r="E821" s="13">
        <v>23</v>
      </c>
      <c r="F821" s="14">
        <v>0.1</v>
      </c>
      <c r="G821" s="15" t="s">
        <v>61</v>
      </c>
      <c r="H821" s="15" t="s">
        <v>56</v>
      </c>
      <c r="I821" s="15" t="s">
        <v>57</v>
      </c>
    </row>
    <row r="822" spans="1:9" x14ac:dyDescent="0.25">
      <c r="A822" s="6" t="s">
        <v>906</v>
      </c>
      <c r="B822" s="7">
        <v>45895</v>
      </c>
      <c r="C822" s="6" t="s">
        <v>105</v>
      </c>
      <c r="D822" s="6" t="s">
        <v>92</v>
      </c>
      <c r="E822" s="8">
        <v>5</v>
      </c>
      <c r="F822" s="9">
        <v>0.15</v>
      </c>
      <c r="G822" s="10" t="s">
        <v>55</v>
      </c>
      <c r="H822" s="10" t="s">
        <v>69</v>
      </c>
      <c r="I822" s="10" t="s">
        <v>65</v>
      </c>
    </row>
    <row r="823" spans="1:9" x14ac:dyDescent="0.25">
      <c r="A823" s="11" t="s">
        <v>907</v>
      </c>
      <c r="B823" s="12">
        <v>45900</v>
      </c>
      <c r="C823" s="11" t="s">
        <v>90</v>
      </c>
      <c r="D823" s="11" t="s">
        <v>67</v>
      </c>
      <c r="E823" s="13">
        <v>9</v>
      </c>
      <c r="F823" s="14">
        <v>0.15</v>
      </c>
      <c r="G823" s="15" t="s">
        <v>61</v>
      </c>
      <c r="H823" s="15" t="s">
        <v>69</v>
      </c>
      <c r="I823" s="15" t="s">
        <v>65</v>
      </c>
    </row>
    <row r="824" spans="1:9" x14ac:dyDescent="0.25">
      <c r="A824" s="6" t="s">
        <v>908</v>
      </c>
      <c r="B824" s="7">
        <v>45853</v>
      </c>
      <c r="C824" s="6" t="s">
        <v>71</v>
      </c>
      <c r="D824" s="6" t="s">
        <v>60</v>
      </c>
      <c r="E824" s="8">
        <v>24</v>
      </c>
      <c r="F824" s="9">
        <v>0</v>
      </c>
      <c r="G824" s="10" t="s">
        <v>61</v>
      </c>
      <c r="H824" s="10" t="s">
        <v>83</v>
      </c>
      <c r="I824" s="10" t="s">
        <v>73</v>
      </c>
    </row>
    <row r="825" spans="1:9" x14ac:dyDescent="0.25">
      <c r="A825" s="11" t="s">
        <v>909</v>
      </c>
      <c r="B825" s="12">
        <v>45879</v>
      </c>
      <c r="C825" s="11" t="s">
        <v>75</v>
      </c>
      <c r="D825" s="11" t="s">
        <v>76</v>
      </c>
      <c r="E825" s="13">
        <v>11</v>
      </c>
      <c r="F825" s="14">
        <v>0.1</v>
      </c>
      <c r="G825" s="15" t="s">
        <v>61</v>
      </c>
      <c r="H825" s="15" t="s">
        <v>69</v>
      </c>
      <c r="I825" s="15" t="s">
        <v>65</v>
      </c>
    </row>
    <row r="826" spans="1:9" x14ac:dyDescent="0.25">
      <c r="A826" s="6" t="s">
        <v>910</v>
      </c>
      <c r="B826" s="7">
        <v>45894</v>
      </c>
      <c r="C826" s="6" t="s">
        <v>80</v>
      </c>
      <c r="D826" s="6" t="s">
        <v>72</v>
      </c>
      <c r="E826" s="8">
        <v>12</v>
      </c>
      <c r="F826" s="9">
        <v>0.2</v>
      </c>
      <c r="G826" s="10" t="s">
        <v>55</v>
      </c>
      <c r="H826" s="10" t="s">
        <v>83</v>
      </c>
      <c r="I826" s="10" t="s">
        <v>73</v>
      </c>
    </row>
    <row r="827" spans="1:9" x14ac:dyDescent="0.25">
      <c r="A827" s="11" t="s">
        <v>911</v>
      </c>
      <c r="B827" s="12">
        <v>46004</v>
      </c>
      <c r="C827" s="11" t="s">
        <v>90</v>
      </c>
      <c r="D827" s="11" t="s">
        <v>85</v>
      </c>
      <c r="E827" s="13">
        <v>20</v>
      </c>
      <c r="F827" s="14">
        <v>0</v>
      </c>
      <c r="G827" s="15" t="s">
        <v>61</v>
      </c>
      <c r="H827" s="15" t="s">
        <v>56</v>
      </c>
      <c r="I827" s="15" t="s">
        <v>77</v>
      </c>
    </row>
    <row r="828" spans="1:9" x14ac:dyDescent="0.25">
      <c r="A828" s="6" t="s">
        <v>912</v>
      </c>
      <c r="B828" s="7">
        <v>45868</v>
      </c>
      <c r="C828" s="6" t="s">
        <v>59</v>
      </c>
      <c r="D828" s="6" t="s">
        <v>54</v>
      </c>
      <c r="E828" s="8">
        <v>11</v>
      </c>
      <c r="F828" s="9">
        <v>0.15</v>
      </c>
      <c r="G828" s="10" t="s">
        <v>68</v>
      </c>
      <c r="H828" s="10" t="s">
        <v>56</v>
      </c>
      <c r="I828" s="10" t="s">
        <v>73</v>
      </c>
    </row>
    <row r="829" spans="1:9" x14ac:dyDescent="0.25">
      <c r="A829" s="11" t="s">
        <v>913</v>
      </c>
      <c r="B829" s="12">
        <v>45786</v>
      </c>
      <c r="C829" s="11" t="s">
        <v>53</v>
      </c>
      <c r="D829" s="11" t="s">
        <v>88</v>
      </c>
      <c r="E829" s="13">
        <v>1</v>
      </c>
      <c r="F829" s="14">
        <v>0.2</v>
      </c>
      <c r="G829" s="15" t="s">
        <v>61</v>
      </c>
      <c r="H829" s="15" t="s">
        <v>56</v>
      </c>
      <c r="I829" s="15" t="s">
        <v>57</v>
      </c>
    </row>
    <row r="830" spans="1:9" x14ac:dyDescent="0.25">
      <c r="A830" s="6" t="s">
        <v>914</v>
      </c>
      <c r="B830" s="7">
        <v>45964</v>
      </c>
      <c r="C830" s="6" t="s">
        <v>59</v>
      </c>
      <c r="D830" s="6" t="s">
        <v>60</v>
      </c>
      <c r="E830" s="8">
        <v>6</v>
      </c>
      <c r="F830" s="9">
        <v>0</v>
      </c>
      <c r="G830" s="10" t="s">
        <v>55</v>
      </c>
      <c r="H830" s="10" t="s">
        <v>69</v>
      </c>
      <c r="I830" s="10" t="s">
        <v>57</v>
      </c>
    </row>
    <row r="831" spans="1:9" x14ac:dyDescent="0.25">
      <c r="A831" s="11" t="s">
        <v>915</v>
      </c>
      <c r="B831" s="12">
        <v>45714</v>
      </c>
      <c r="C831" s="11" t="s">
        <v>90</v>
      </c>
      <c r="D831" s="11" t="s">
        <v>85</v>
      </c>
      <c r="E831" s="13">
        <v>12</v>
      </c>
      <c r="F831" s="14">
        <v>0.15</v>
      </c>
      <c r="G831" s="15" t="s">
        <v>61</v>
      </c>
      <c r="H831" s="15" t="s">
        <v>83</v>
      </c>
      <c r="I831" s="15" t="s">
        <v>65</v>
      </c>
    </row>
    <row r="832" spans="1:9" x14ac:dyDescent="0.25">
      <c r="A832" s="6" t="s">
        <v>916</v>
      </c>
      <c r="B832" s="7">
        <v>45799</v>
      </c>
      <c r="C832" s="6" t="s">
        <v>116</v>
      </c>
      <c r="D832" s="6" t="s">
        <v>72</v>
      </c>
      <c r="E832" s="8">
        <v>12</v>
      </c>
      <c r="F832" s="9">
        <v>0.1</v>
      </c>
      <c r="G832" s="10" t="s">
        <v>68</v>
      </c>
      <c r="H832" s="10" t="s">
        <v>56</v>
      </c>
      <c r="I832" s="10" t="s">
        <v>77</v>
      </c>
    </row>
    <row r="833" spans="1:9" x14ac:dyDescent="0.25">
      <c r="A833" s="11" t="s">
        <v>917</v>
      </c>
      <c r="B833" s="12">
        <v>45799</v>
      </c>
      <c r="C833" s="11" t="s">
        <v>53</v>
      </c>
      <c r="D833" s="11" t="s">
        <v>72</v>
      </c>
      <c r="E833" s="13">
        <v>7</v>
      </c>
      <c r="F833" s="14">
        <v>0.15</v>
      </c>
      <c r="G833" s="15" t="s">
        <v>68</v>
      </c>
      <c r="H833" s="15" t="s">
        <v>56</v>
      </c>
      <c r="I833" s="15" t="s">
        <v>73</v>
      </c>
    </row>
    <row r="834" spans="1:9" x14ac:dyDescent="0.25">
      <c r="A834" s="6" t="s">
        <v>918</v>
      </c>
      <c r="B834" s="7">
        <v>45793</v>
      </c>
      <c r="C834" s="6" t="s">
        <v>105</v>
      </c>
      <c r="D834" s="6" t="s">
        <v>94</v>
      </c>
      <c r="E834" s="8">
        <v>2</v>
      </c>
      <c r="F834" s="9">
        <v>0.15</v>
      </c>
      <c r="G834" s="10" t="s">
        <v>55</v>
      </c>
      <c r="H834" s="10" t="s">
        <v>83</v>
      </c>
      <c r="I834" s="10" t="s">
        <v>65</v>
      </c>
    </row>
    <row r="835" spans="1:9" x14ac:dyDescent="0.25">
      <c r="A835" s="11" t="s">
        <v>919</v>
      </c>
      <c r="B835" s="12">
        <v>45749</v>
      </c>
      <c r="C835" s="11" t="s">
        <v>105</v>
      </c>
      <c r="D835" s="11" t="s">
        <v>60</v>
      </c>
      <c r="E835" s="13">
        <v>7</v>
      </c>
      <c r="F835" s="14">
        <v>0.2</v>
      </c>
      <c r="G835" s="15" t="s">
        <v>64</v>
      </c>
      <c r="H835" s="15" t="s">
        <v>56</v>
      </c>
      <c r="I835" s="15" t="s">
        <v>77</v>
      </c>
    </row>
    <row r="836" spans="1:9" x14ac:dyDescent="0.25">
      <c r="A836" s="6" t="s">
        <v>920</v>
      </c>
      <c r="B836" s="7">
        <v>45884</v>
      </c>
      <c r="C836" s="6" t="s">
        <v>75</v>
      </c>
      <c r="D836" s="6" t="s">
        <v>85</v>
      </c>
      <c r="E836" s="8">
        <v>4</v>
      </c>
      <c r="F836" s="9">
        <v>0</v>
      </c>
      <c r="G836" s="10" t="s">
        <v>61</v>
      </c>
      <c r="H836" s="10" t="s">
        <v>83</v>
      </c>
      <c r="I836" s="10" t="s">
        <v>73</v>
      </c>
    </row>
    <row r="837" spans="1:9" x14ac:dyDescent="0.25">
      <c r="A837" s="11" t="s">
        <v>921</v>
      </c>
      <c r="B837" s="12">
        <v>45886</v>
      </c>
      <c r="C837" s="11" t="s">
        <v>105</v>
      </c>
      <c r="D837" s="11" t="s">
        <v>120</v>
      </c>
      <c r="E837" s="13">
        <v>3</v>
      </c>
      <c r="F837" s="14">
        <v>0</v>
      </c>
      <c r="G837" s="15" t="s">
        <v>61</v>
      </c>
      <c r="H837" s="15" t="s">
        <v>83</v>
      </c>
      <c r="I837" s="15" t="s">
        <v>65</v>
      </c>
    </row>
    <row r="838" spans="1:9" x14ac:dyDescent="0.25">
      <c r="A838" s="6" t="s">
        <v>922</v>
      </c>
      <c r="B838" s="7">
        <v>45794</v>
      </c>
      <c r="C838" s="6" t="s">
        <v>71</v>
      </c>
      <c r="D838" s="6" t="s">
        <v>94</v>
      </c>
      <c r="E838" s="8">
        <v>7</v>
      </c>
      <c r="F838" s="9">
        <v>0.2</v>
      </c>
      <c r="G838" s="10" t="s">
        <v>61</v>
      </c>
      <c r="H838" s="10" t="s">
        <v>83</v>
      </c>
      <c r="I838" s="10" t="s">
        <v>65</v>
      </c>
    </row>
    <row r="839" spans="1:9" x14ac:dyDescent="0.25">
      <c r="A839" s="11" t="s">
        <v>923</v>
      </c>
      <c r="B839" s="12">
        <v>45902</v>
      </c>
      <c r="C839" s="11" t="s">
        <v>116</v>
      </c>
      <c r="D839" s="11" t="s">
        <v>92</v>
      </c>
      <c r="E839" s="13">
        <v>12</v>
      </c>
      <c r="F839" s="14">
        <v>0</v>
      </c>
      <c r="G839" s="15" t="s">
        <v>55</v>
      </c>
      <c r="H839" s="15" t="s">
        <v>56</v>
      </c>
      <c r="I839" s="15" t="s">
        <v>65</v>
      </c>
    </row>
    <row r="840" spans="1:9" x14ac:dyDescent="0.25">
      <c r="A840" s="6" t="s">
        <v>924</v>
      </c>
      <c r="B840" s="7">
        <v>46010</v>
      </c>
      <c r="C840" s="6" t="s">
        <v>105</v>
      </c>
      <c r="D840" s="6" t="s">
        <v>111</v>
      </c>
      <c r="E840" s="8">
        <v>2</v>
      </c>
      <c r="F840" s="9">
        <v>0.2</v>
      </c>
      <c r="G840" s="10" t="s">
        <v>68</v>
      </c>
      <c r="H840" s="10" t="s">
        <v>69</v>
      </c>
      <c r="I840" s="10" t="s">
        <v>73</v>
      </c>
    </row>
    <row r="841" spans="1:9" x14ac:dyDescent="0.25">
      <c r="A841" s="11" t="s">
        <v>925</v>
      </c>
      <c r="B841" s="12">
        <v>45863</v>
      </c>
      <c r="C841" s="11" t="s">
        <v>59</v>
      </c>
      <c r="D841" s="11" t="s">
        <v>120</v>
      </c>
      <c r="E841" s="13">
        <v>6</v>
      </c>
      <c r="F841" s="14">
        <v>0.2</v>
      </c>
      <c r="G841" s="15" t="s">
        <v>68</v>
      </c>
      <c r="H841" s="15" t="s">
        <v>56</v>
      </c>
      <c r="I841" s="15" t="s">
        <v>65</v>
      </c>
    </row>
    <row r="842" spans="1:9" x14ac:dyDescent="0.25">
      <c r="A842" s="6" t="s">
        <v>926</v>
      </c>
      <c r="B842" s="7">
        <v>45806</v>
      </c>
      <c r="C842" s="6" t="s">
        <v>80</v>
      </c>
      <c r="D842" s="6" t="s">
        <v>60</v>
      </c>
      <c r="E842" s="8">
        <v>20</v>
      </c>
      <c r="F842" s="9">
        <v>0</v>
      </c>
      <c r="G842" s="10" t="s">
        <v>64</v>
      </c>
      <c r="H842" s="10" t="s">
        <v>83</v>
      </c>
      <c r="I842" s="10" t="s">
        <v>57</v>
      </c>
    </row>
    <row r="843" spans="1:9" x14ac:dyDescent="0.25">
      <c r="A843" s="11" t="s">
        <v>927</v>
      </c>
      <c r="B843" s="12">
        <v>45811</v>
      </c>
      <c r="C843" s="11" t="s">
        <v>116</v>
      </c>
      <c r="D843" s="11" t="s">
        <v>85</v>
      </c>
      <c r="E843" s="13">
        <v>23</v>
      </c>
      <c r="F843" s="14">
        <v>0.1</v>
      </c>
      <c r="G843" s="15" t="s">
        <v>64</v>
      </c>
      <c r="H843" s="15" t="s">
        <v>56</v>
      </c>
      <c r="I843" s="15" t="s">
        <v>65</v>
      </c>
    </row>
    <row r="844" spans="1:9" x14ac:dyDescent="0.25">
      <c r="A844" s="6" t="s">
        <v>928</v>
      </c>
      <c r="B844" s="7">
        <v>45755</v>
      </c>
      <c r="C844" s="6" t="s">
        <v>53</v>
      </c>
      <c r="D844" s="6" t="s">
        <v>94</v>
      </c>
      <c r="E844" s="8">
        <v>4</v>
      </c>
      <c r="F844" s="9">
        <v>0</v>
      </c>
      <c r="G844" s="10" t="s">
        <v>55</v>
      </c>
      <c r="H844" s="10" t="s">
        <v>69</v>
      </c>
      <c r="I844" s="10" t="s">
        <v>65</v>
      </c>
    </row>
    <row r="845" spans="1:9" x14ac:dyDescent="0.25">
      <c r="A845" s="11" t="s">
        <v>929</v>
      </c>
      <c r="B845" s="12">
        <v>45690</v>
      </c>
      <c r="C845" s="11" t="s">
        <v>75</v>
      </c>
      <c r="D845" s="11" t="s">
        <v>72</v>
      </c>
      <c r="E845" s="13">
        <v>8</v>
      </c>
      <c r="F845" s="14">
        <v>0.2</v>
      </c>
      <c r="G845" s="15" t="s">
        <v>64</v>
      </c>
      <c r="H845" s="15" t="s">
        <v>56</v>
      </c>
      <c r="I845" s="15" t="s">
        <v>77</v>
      </c>
    </row>
    <row r="846" spans="1:9" x14ac:dyDescent="0.25">
      <c r="A846" s="6" t="s">
        <v>930</v>
      </c>
      <c r="B846" s="7">
        <v>45831</v>
      </c>
      <c r="C846" s="6" t="s">
        <v>71</v>
      </c>
      <c r="D846" s="6" t="s">
        <v>120</v>
      </c>
      <c r="E846" s="8">
        <v>12</v>
      </c>
      <c r="F846" s="9">
        <v>0</v>
      </c>
      <c r="G846" s="10" t="s">
        <v>64</v>
      </c>
      <c r="H846" s="10" t="s">
        <v>56</v>
      </c>
      <c r="I846" s="10" t="s">
        <v>57</v>
      </c>
    </row>
    <row r="847" spans="1:9" x14ac:dyDescent="0.25">
      <c r="A847" s="11" t="s">
        <v>931</v>
      </c>
      <c r="B847" s="12">
        <v>45992</v>
      </c>
      <c r="C847" s="11" t="s">
        <v>105</v>
      </c>
      <c r="D847" s="11" t="s">
        <v>60</v>
      </c>
      <c r="E847" s="13">
        <v>30</v>
      </c>
      <c r="F847" s="14">
        <v>0.2</v>
      </c>
      <c r="G847" s="15" t="s">
        <v>55</v>
      </c>
      <c r="H847" s="15" t="s">
        <v>83</v>
      </c>
      <c r="I847" s="15" t="s">
        <v>57</v>
      </c>
    </row>
    <row r="848" spans="1:9" x14ac:dyDescent="0.25">
      <c r="A848" s="6" t="s">
        <v>932</v>
      </c>
      <c r="B848" s="7">
        <v>45694</v>
      </c>
      <c r="C848" s="6" t="s">
        <v>90</v>
      </c>
      <c r="D848" s="6" t="s">
        <v>120</v>
      </c>
      <c r="E848" s="8">
        <v>8</v>
      </c>
      <c r="F848" s="9">
        <v>0</v>
      </c>
      <c r="G848" s="10" t="s">
        <v>64</v>
      </c>
      <c r="H848" s="10" t="s">
        <v>83</v>
      </c>
      <c r="I848" s="10" t="s">
        <v>77</v>
      </c>
    </row>
    <row r="849" spans="1:9" x14ac:dyDescent="0.25">
      <c r="A849" s="11" t="s">
        <v>933</v>
      </c>
      <c r="B849" s="12">
        <v>45782</v>
      </c>
      <c r="C849" s="11" t="s">
        <v>90</v>
      </c>
      <c r="D849" s="11" t="s">
        <v>85</v>
      </c>
      <c r="E849" s="13">
        <v>8</v>
      </c>
      <c r="F849" s="14">
        <v>0</v>
      </c>
      <c r="G849" s="15" t="s">
        <v>68</v>
      </c>
      <c r="H849" s="15" t="s">
        <v>56</v>
      </c>
      <c r="I849" s="15" t="s">
        <v>65</v>
      </c>
    </row>
    <row r="850" spans="1:9" x14ac:dyDescent="0.25">
      <c r="A850" s="6" t="s">
        <v>934</v>
      </c>
      <c r="B850" s="7">
        <v>45970</v>
      </c>
      <c r="C850" s="6" t="s">
        <v>59</v>
      </c>
      <c r="D850" s="6" t="s">
        <v>94</v>
      </c>
      <c r="E850" s="8">
        <v>2</v>
      </c>
      <c r="F850" s="9">
        <v>0</v>
      </c>
      <c r="G850" s="10" t="s">
        <v>64</v>
      </c>
      <c r="H850" s="10" t="s">
        <v>83</v>
      </c>
      <c r="I850" s="10" t="s">
        <v>57</v>
      </c>
    </row>
    <row r="851" spans="1:9" x14ac:dyDescent="0.25">
      <c r="A851" s="11" t="s">
        <v>935</v>
      </c>
      <c r="B851" s="12">
        <v>45690</v>
      </c>
      <c r="C851" s="11" t="s">
        <v>80</v>
      </c>
      <c r="D851" s="11" t="s">
        <v>72</v>
      </c>
      <c r="E851" s="13">
        <v>7</v>
      </c>
      <c r="F851" s="14">
        <v>0.1</v>
      </c>
      <c r="G851" s="15" t="s">
        <v>64</v>
      </c>
      <c r="H851" s="15" t="s">
        <v>69</v>
      </c>
      <c r="I851" s="15" t="s">
        <v>77</v>
      </c>
    </row>
    <row r="852" spans="1:9" x14ac:dyDescent="0.25">
      <c r="A852" s="6" t="s">
        <v>936</v>
      </c>
      <c r="B852" s="7">
        <v>46008</v>
      </c>
      <c r="C852" s="6" t="s">
        <v>90</v>
      </c>
      <c r="D852" s="6" t="s">
        <v>76</v>
      </c>
      <c r="E852" s="8">
        <v>29</v>
      </c>
      <c r="F852" s="9">
        <v>0.05</v>
      </c>
      <c r="G852" s="10" t="s">
        <v>61</v>
      </c>
      <c r="H852" s="10" t="s">
        <v>83</v>
      </c>
      <c r="I852" s="10" t="s">
        <v>57</v>
      </c>
    </row>
    <row r="853" spans="1:9" x14ac:dyDescent="0.25">
      <c r="A853" s="11" t="s">
        <v>937</v>
      </c>
      <c r="B853" s="12">
        <v>45829</v>
      </c>
      <c r="C853" s="11" t="s">
        <v>59</v>
      </c>
      <c r="D853" s="11" t="s">
        <v>54</v>
      </c>
      <c r="E853" s="13">
        <v>5</v>
      </c>
      <c r="F853" s="14">
        <v>0.05</v>
      </c>
      <c r="G853" s="15" t="s">
        <v>64</v>
      </c>
      <c r="H853" s="15" t="s">
        <v>56</v>
      </c>
      <c r="I853" s="15" t="s">
        <v>73</v>
      </c>
    </row>
    <row r="854" spans="1:9" x14ac:dyDescent="0.25">
      <c r="A854" s="6" t="s">
        <v>938</v>
      </c>
      <c r="B854" s="7">
        <v>45941</v>
      </c>
      <c r="C854" s="6" t="s">
        <v>105</v>
      </c>
      <c r="D854" s="6" t="s">
        <v>94</v>
      </c>
      <c r="E854" s="8">
        <v>4</v>
      </c>
      <c r="F854" s="9">
        <v>0.2</v>
      </c>
      <c r="G854" s="10" t="s">
        <v>61</v>
      </c>
      <c r="H854" s="10" t="s">
        <v>56</v>
      </c>
      <c r="I854" s="10" t="s">
        <v>77</v>
      </c>
    </row>
    <row r="855" spans="1:9" x14ac:dyDescent="0.25">
      <c r="A855" s="11" t="s">
        <v>939</v>
      </c>
      <c r="B855" s="12">
        <v>45981</v>
      </c>
      <c r="C855" s="11" t="s">
        <v>116</v>
      </c>
      <c r="D855" s="11" t="s">
        <v>76</v>
      </c>
      <c r="E855" s="13">
        <v>3</v>
      </c>
      <c r="F855" s="14">
        <v>0.15</v>
      </c>
      <c r="G855" s="15" t="s">
        <v>61</v>
      </c>
      <c r="H855" s="15" t="s">
        <v>56</v>
      </c>
      <c r="I855" s="15" t="s">
        <v>77</v>
      </c>
    </row>
    <row r="856" spans="1:9" x14ac:dyDescent="0.25">
      <c r="A856" s="6" t="s">
        <v>940</v>
      </c>
      <c r="B856" s="7">
        <v>45749</v>
      </c>
      <c r="C856" s="6" t="s">
        <v>59</v>
      </c>
      <c r="D856" s="6" t="s">
        <v>103</v>
      </c>
      <c r="E856" s="8">
        <v>12</v>
      </c>
      <c r="F856" s="9">
        <v>0.2</v>
      </c>
      <c r="G856" s="10" t="s">
        <v>68</v>
      </c>
      <c r="H856" s="10" t="s">
        <v>69</v>
      </c>
      <c r="I856" s="10" t="s">
        <v>65</v>
      </c>
    </row>
    <row r="857" spans="1:9" x14ac:dyDescent="0.25">
      <c r="A857" s="11" t="s">
        <v>941</v>
      </c>
      <c r="B857" s="12">
        <v>46012</v>
      </c>
      <c r="C857" s="11" t="s">
        <v>80</v>
      </c>
      <c r="D857" s="11" t="s">
        <v>94</v>
      </c>
      <c r="E857" s="13">
        <v>3</v>
      </c>
      <c r="F857" s="14">
        <v>0.1</v>
      </c>
      <c r="G857" s="15" t="s">
        <v>64</v>
      </c>
      <c r="H857" s="15" t="s">
        <v>69</v>
      </c>
      <c r="I857" s="15" t="s">
        <v>57</v>
      </c>
    </row>
    <row r="858" spans="1:9" x14ac:dyDescent="0.25">
      <c r="A858" s="6" t="s">
        <v>942</v>
      </c>
      <c r="B858" s="7">
        <v>45747</v>
      </c>
      <c r="C858" s="6" t="s">
        <v>53</v>
      </c>
      <c r="D858" s="6" t="s">
        <v>76</v>
      </c>
      <c r="E858" s="8">
        <v>8</v>
      </c>
      <c r="F858" s="9">
        <v>0.15</v>
      </c>
      <c r="G858" s="10" t="s">
        <v>61</v>
      </c>
      <c r="H858" s="10" t="s">
        <v>83</v>
      </c>
      <c r="I858" s="10" t="s">
        <v>73</v>
      </c>
    </row>
    <row r="859" spans="1:9" x14ac:dyDescent="0.25">
      <c r="A859" s="11" t="s">
        <v>943</v>
      </c>
      <c r="B859" s="12">
        <v>45836</v>
      </c>
      <c r="C859" s="11" t="s">
        <v>53</v>
      </c>
      <c r="D859" s="11" t="s">
        <v>92</v>
      </c>
      <c r="E859" s="13">
        <v>9</v>
      </c>
      <c r="F859" s="14">
        <v>0.05</v>
      </c>
      <c r="G859" s="15" t="s">
        <v>55</v>
      </c>
      <c r="H859" s="15" t="s">
        <v>56</v>
      </c>
      <c r="I859" s="15" t="s">
        <v>77</v>
      </c>
    </row>
    <row r="860" spans="1:9" x14ac:dyDescent="0.25">
      <c r="A860" s="6" t="s">
        <v>944</v>
      </c>
      <c r="B860" s="7">
        <v>45974</v>
      </c>
      <c r="C860" s="6" t="s">
        <v>80</v>
      </c>
      <c r="D860" s="6" t="s">
        <v>82</v>
      </c>
      <c r="E860" s="8">
        <v>8</v>
      </c>
      <c r="F860" s="9">
        <v>0.05</v>
      </c>
      <c r="G860" s="10" t="s">
        <v>68</v>
      </c>
      <c r="H860" s="10" t="s">
        <v>56</v>
      </c>
      <c r="I860" s="10" t="s">
        <v>57</v>
      </c>
    </row>
    <row r="861" spans="1:9" x14ac:dyDescent="0.25">
      <c r="A861" s="11" t="s">
        <v>945</v>
      </c>
      <c r="B861" s="12">
        <v>45715</v>
      </c>
      <c r="C861" s="11" t="s">
        <v>90</v>
      </c>
      <c r="D861" s="11" t="s">
        <v>72</v>
      </c>
      <c r="E861" s="13">
        <v>11</v>
      </c>
      <c r="F861" s="14">
        <v>0.15</v>
      </c>
      <c r="G861" s="15" t="s">
        <v>64</v>
      </c>
      <c r="H861" s="15" t="s">
        <v>56</v>
      </c>
      <c r="I861" s="15" t="s">
        <v>57</v>
      </c>
    </row>
    <row r="862" spans="1:9" x14ac:dyDescent="0.25">
      <c r="A862" s="6" t="s">
        <v>946</v>
      </c>
      <c r="B862" s="7">
        <v>46001</v>
      </c>
      <c r="C862" s="6" t="s">
        <v>53</v>
      </c>
      <c r="D862" s="6" t="s">
        <v>103</v>
      </c>
      <c r="E862" s="8">
        <v>1</v>
      </c>
      <c r="F862" s="9">
        <v>0.1</v>
      </c>
      <c r="G862" s="10" t="s">
        <v>68</v>
      </c>
      <c r="H862" s="10" t="s">
        <v>56</v>
      </c>
      <c r="I862" s="10" t="s">
        <v>65</v>
      </c>
    </row>
    <row r="863" spans="1:9" x14ac:dyDescent="0.25">
      <c r="A863" s="11" t="s">
        <v>947</v>
      </c>
      <c r="B863" s="12">
        <v>45786</v>
      </c>
      <c r="C863" s="11" t="s">
        <v>105</v>
      </c>
      <c r="D863" s="11" t="s">
        <v>82</v>
      </c>
      <c r="E863" s="13">
        <v>1</v>
      </c>
      <c r="F863" s="14">
        <v>0</v>
      </c>
      <c r="G863" s="15" t="s">
        <v>61</v>
      </c>
      <c r="H863" s="15" t="s">
        <v>83</v>
      </c>
      <c r="I863" s="15" t="s">
        <v>57</v>
      </c>
    </row>
    <row r="864" spans="1:9" x14ac:dyDescent="0.25">
      <c r="A864" s="6" t="s">
        <v>948</v>
      </c>
      <c r="B864" s="7">
        <v>45738</v>
      </c>
      <c r="C864" s="6" t="s">
        <v>53</v>
      </c>
      <c r="D864" s="6" t="s">
        <v>72</v>
      </c>
      <c r="E864" s="8">
        <v>8</v>
      </c>
      <c r="F864" s="9">
        <v>0.2</v>
      </c>
      <c r="G864" s="10" t="s">
        <v>61</v>
      </c>
      <c r="H864" s="10" t="s">
        <v>56</v>
      </c>
      <c r="I864" s="10" t="s">
        <v>57</v>
      </c>
    </row>
    <row r="865" spans="1:9" x14ac:dyDescent="0.25">
      <c r="A865" s="11" t="s">
        <v>949</v>
      </c>
      <c r="B865" s="12">
        <v>45885</v>
      </c>
      <c r="C865" s="11" t="s">
        <v>71</v>
      </c>
      <c r="D865" s="11" t="s">
        <v>76</v>
      </c>
      <c r="E865" s="13">
        <v>9</v>
      </c>
      <c r="F865" s="14">
        <v>0.1</v>
      </c>
      <c r="G865" s="15" t="s">
        <v>55</v>
      </c>
      <c r="H865" s="15" t="s">
        <v>56</v>
      </c>
      <c r="I865" s="15" t="s">
        <v>73</v>
      </c>
    </row>
    <row r="866" spans="1:9" x14ac:dyDescent="0.25">
      <c r="A866" s="6" t="s">
        <v>950</v>
      </c>
      <c r="B866" s="7">
        <v>45774</v>
      </c>
      <c r="C866" s="6" t="s">
        <v>80</v>
      </c>
      <c r="D866" s="6" t="s">
        <v>54</v>
      </c>
      <c r="E866" s="8">
        <v>12</v>
      </c>
      <c r="F866" s="9">
        <v>0.15</v>
      </c>
      <c r="G866" s="10" t="s">
        <v>55</v>
      </c>
      <c r="H866" s="10" t="s">
        <v>69</v>
      </c>
      <c r="I866" s="10" t="s">
        <v>57</v>
      </c>
    </row>
    <row r="867" spans="1:9" x14ac:dyDescent="0.25">
      <c r="A867" s="11" t="s">
        <v>951</v>
      </c>
      <c r="B867" s="12">
        <v>45695</v>
      </c>
      <c r="C867" s="11" t="s">
        <v>105</v>
      </c>
      <c r="D867" s="11" t="s">
        <v>96</v>
      </c>
      <c r="E867" s="13">
        <v>1</v>
      </c>
      <c r="F867" s="14">
        <v>0.15</v>
      </c>
      <c r="G867" s="15" t="s">
        <v>55</v>
      </c>
      <c r="H867" s="15" t="s">
        <v>56</v>
      </c>
      <c r="I867" s="15" t="s">
        <v>65</v>
      </c>
    </row>
    <row r="868" spans="1:9" x14ac:dyDescent="0.25">
      <c r="A868" s="6" t="s">
        <v>952</v>
      </c>
      <c r="B868" s="7">
        <v>45749</v>
      </c>
      <c r="C868" s="6" t="s">
        <v>71</v>
      </c>
      <c r="D868" s="6" t="s">
        <v>92</v>
      </c>
      <c r="E868" s="8">
        <v>3</v>
      </c>
      <c r="F868" s="9">
        <v>0.15</v>
      </c>
      <c r="G868" s="10" t="s">
        <v>55</v>
      </c>
      <c r="H868" s="10" t="s">
        <v>83</v>
      </c>
      <c r="I868" s="10" t="s">
        <v>73</v>
      </c>
    </row>
    <row r="869" spans="1:9" x14ac:dyDescent="0.25">
      <c r="A869" s="11" t="s">
        <v>953</v>
      </c>
      <c r="B869" s="12">
        <v>45796</v>
      </c>
      <c r="C869" s="11" t="s">
        <v>71</v>
      </c>
      <c r="D869" s="11" t="s">
        <v>88</v>
      </c>
      <c r="E869" s="13">
        <v>3</v>
      </c>
      <c r="F869" s="14">
        <v>0</v>
      </c>
      <c r="G869" s="15" t="s">
        <v>61</v>
      </c>
      <c r="H869" s="15" t="s">
        <v>69</v>
      </c>
      <c r="I869" s="15" t="s">
        <v>57</v>
      </c>
    </row>
    <row r="870" spans="1:9" x14ac:dyDescent="0.25">
      <c r="A870" s="6" t="s">
        <v>954</v>
      </c>
      <c r="B870" s="7">
        <v>45714</v>
      </c>
      <c r="C870" s="6" t="s">
        <v>105</v>
      </c>
      <c r="D870" s="6" t="s">
        <v>111</v>
      </c>
      <c r="E870" s="8">
        <v>8</v>
      </c>
      <c r="F870" s="9">
        <v>0.15</v>
      </c>
      <c r="G870" s="10" t="s">
        <v>55</v>
      </c>
      <c r="H870" s="10" t="s">
        <v>69</v>
      </c>
      <c r="I870" s="10" t="s">
        <v>57</v>
      </c>
    </row>
    <row r="871" spans="1:9" x14ac:dyDescent="0.25">
      <c r="A871" s="11" t="s">
        <v>955</v>
      </c>
      <c r="B871" s="12">
        <v>45809</v>
      </c>
      <c r="C871" s="11" t="s">
        <v>90</v>
      </c>
      <c r="D871" s="11" t="s">
        <v>76</v>
      </c>
      <c r="E871" s="13">
        <v>22</v>
      </c>
      <c r="F871" s="14">
        <v>0.05</v>
      </c>
      <c r="G871" s="15" t="s">
        <v>55</v>
      </c>
      <c r="H871" s="15" t="s">
        <v>56</v>
      </c>
      <c r="I871" s="15" t="s">
        <v>65</v>
      </c>
    </row>
    <row r="872" spans="1:9" x14ac:dyDescent="0.25">
      <c r="A872" s="6" t="s">
        <v>956</v>
      </c>
      <c r="B872" s="7">
        <v>45925</v>
      </c>
      <c r="C872" s="6" t="s">
        <v>80</v>
      </c>
      <c r="D872" s="6" t="s">
        <v>96</v>
      </c>
      <c r="E872" s="8">
        <v>10</v>
      </c>
      <c r="F872" s="9">
        <v>0.15</v>
      </c>
      <c r="G872" s="10" t="s">
        <v>64</v>
      </c>
      <c r="H872" s="10" t="s">
        <v>69</v>
      </c>
      <c r="I872" s="10" t="s">
        <v>77</v>
      </c>
    </row>
    <row r="873" spans="1:9" x14ac:dyDescent="0.25">
      <c r="A873" s="11" t="s">
        <v>957</v>
      </c>
      <c r="B873" s="12">
        <v>45877</v>
      </c>
      <c r="C873" s="11" t="s">
        <v>80</v>
      </c>
      <c r="D873" s="11" t="s">
        <v>85</v>
      </c>
      <c r="E873" s="13">
        <v>13</v>
      </c>
      <c r="F873" s="14">
        <v>0.15</v>
      </c>
      <c r="G873" s="15" t="s">
        <v>55</v>
      </c>
      <c r="H873" s="15" t="s">
        <v>83</v>
      </c>
      <c r="I873" s="15" t="s">
        <v>57</v>
      </c>
    </row>
    <row r="874" spans="1:9" x14ac:dyDescent="0.25">
      <c r="A874" s="6" t="s">
        <v>958</v>
      </c>
      <c r="B874" s="7">
        <v>45951</v>
      </c>
      <c r="C874" s="6" t="s">
        <v>53</v>
      </c>
      <c r="D874" s="6" t="s">
        <v>103</v>
      </c>
      <c r="E874" s="8">
        <v>7</v>
      </c>
      <c r="F874" s="9">
        <v>0</v>
      </c>
      <c r="G874" s="10" t="s">
        <v>61</v>
      </c>
      <c r="H874" s="10" t="s">
        <v>69</v>
      </c>
      <c r="I874" s="10" t="s">
        <v>77</v>
      </c>
    </row>
    <row r="875" spans="1:9" x14ac:dyDescent="0.25">
      <c r="A875" s="11" t="s">
        <v>959</v>
      </c>
      <c r="B875" s="12">
        <v>45875</v>
      </c>
      <c r="C875" s="11" t="s">
        <v>116</v>
      </c>
      <c r="D875" s="11" t="s">
        <v>63</v>
      </c>
      <c r="E875" s="13">
        <v>28</v>
      </c>
      <c r="F875" s="14">
        <v>0</v>
      </c>
      <c r="G875" s="15" t="s">
        <v>64</v>
      </c>
      <c r="H875" s="15" t="s">
        <v>69</v>
      </c>
      <c r="I875" s="15" t="s">
        <v>57</v>
      </c>
    </row>
    <row r="876" spans="1:9" x14ac:dyDescent="0.25">
      <c r="A876" s="6" t="s">
        <v>960</v>
      </c>
      <c r="B876" s="7">
        <v>45700</v>
      </c>
      <c r="C876" s="6" t="s">
        <v>53</v>
      </c>
      <c r="D876" s="6" t="s">
        <v>63</v>
      </c>
      <c r="E876" s="8">
        <v>26</v>
      </c>
      <c r="F876" s="9">
        <v>0.15</v>
      </c>
      <c r="G876" s="10" t="s">
        <v>55</v>
      </c>
      <c r="H876" s="10" t="s">
        <v>56</v>
      </c>
      <c r="I876" s="10" t="s">
        <v>73</v>
      </c>
    </row>
    <row r="877" spans="1:9" x14ac:dyDescent="0.25">
      <c r="A877" s="11" t="s">
        <v>961</v>
      </c>
      <c r="B877" s="12">
        <v>45809</v>
      </c>
      <c r="C877" s="11" t="s">
        <v>59</v>
      </c>
      <c r="D877" s="11" t="s">
        <v>88</v>
      </c>
      <c r="E877" s="13">
        <v>1</v>
      </c>
      <c r="F877" s="14">
        <v>0.15</v>
      </c>
      <c r="G877" s="15" t="s">
        <v>68</v>
      </c>
      <c r="H877" s="15" t="s">
        <v>56</v>
      </c>
      <c r="I877" s="15" t="s">
        <v>65</v>
      </c>
    </row>
    <row r="878" spans="1:9" x14ac:dyDescent="0.25">
      <c r="A878" s="6" t="s">
        <v>962</v>
      </c>
      <c r="B878" s="7">
        <v>45950</v>
      </c>
      <c r="C878" s="6" t="s">
        <v>53</v>
      </c>
      <c r="D878" s="6" t="s">
        <v>85</v>
      </c>
      <c r="E878" s="8">
        <v>17</v>
      </c>
      <c r="F878" s="9">
        <v>0.05</v>
      </c>
      <c r="G878" s="10" t="s">
        <v>64</v>
      </c>
      <c r="H878" s="10" t="s">
        <v>56</v>
      </c>
      <c r="I878" s="10" t="s">
        <v>73</v>
      </c>
    </row>
    <row r="879" spans="1:9" x14ac:dyDescent="0.25">
      <c r="A879" s="11" t="s">
        <v>963</v>
      </c>
      <c r="B879" s="12">
        <v>45978</v>
      </c>
      <c r="C879" s="11" t="s">
        <v>53</v>
      </c>
      <c r="D879" s="11" t="s">
        <v>96</v>
      </c>
      <c r="E879" s="13">
        <v>11</v>
      </c>
      <c r="F879" s="14">
        <v>0</v>
      </c>
      <c r="G879" s="15" t="s">
        <v>64</v>
      </c>
      <c r="H879" s="15" t="s">
        <v>83</v>
      </c>
      <c r="I879" s="15" t="s">
        <v>73</v>
      </c>
    </row>
    <row r="880" spans="1:9" x14ac:dyDescent="0.25">
      <c r="A880" s="6" t="s">
        <v>964</v>
      </c>
      <c r="B880" s="7">
        <v>45929</v>
      </c>
      <c r="C880" s="6" t="s">
        <v>75</v>
      </c>
      <c r="D880" s="6" t="s">
        <v>120</v>
      </c>
      <c r="E880" s="8">
        <v>7</v>
      </c>
      <c r="F880" s="9">
        <v>0.1</v>
      </c>
      <c r="G880" s="10" t="s">
        <v>55</v>
      </c>
      <c r="H880" s="10" t="s">
        <v>83</v>
      </c>
      <c r="I880" s="10" t="s">
        <v>77</v>
      </c>
    </row>
    <row r="881" spans="1:9" x14ac:dyDescent="0.25">
      <c r="A881" s="11" t="s">
        <v>965</v>
      </c>
      <c r="B881" s="12">
        <v>45975</v>
      </c>
      <c r="C881" s="11" t="s">
        <v>71</v>
      </c>
      <c r="D881" s="11" t="s">
        <v>103</v>
      </c>
      <c r="E881" s="13">
        <v>12</v>
      </c>
      <c r="F881" s="14">
        <v>0</v>
      </c>
      <c r="G881" s="15" t="s">
        <v>68</v>
      </c>
      <c r="H881" s="15" t="s">
        <v>56</v>
      </c>
      <c r="I881" s="15" t="s">
        <v>77</v>
      </c>
    </row>
    <row r="882" spans="1:9" x14ac:dyDescent="0.25">
      <c r="A882" s="6" t="s">
        <v>966</v>
      </c>
      <c r="B882" s="7">
        <v>45854</v>
      </c>
      <c r="C882" s="6" t="s">
        <v>105</v>
      </c>
      <c r="D882" s="6" t="s">
        <v>82</v>
      </c>
      <c r="E882" s="8">
        <v>10</v>
      </c>
      <c r="F882" s="9">
        <v>0</v>
      </c>
      <c r="G882" s="10" t="s">
        <v>68</v>
      </c>
      <c r="H882" s="10" t="s">
        <v>69</v>
      </c>
      <c r="I882" s="10" t="s">
        <v>57</v>
      </c>
    </row>
    <row r="883" spans="1:9" x14ac:dyDescent="0.25">
      <c r="A883" s="11" t="s">
        <v>967</v>
      </c>
      <c r="B883" s="12">
        <v>45989</v>
      </c>
      <c r="C883" s="11" t="s">
        <v>59</v>
      </c>
      <c r="D883" s="11" t="s">
        <v>63</v>
      </c>
      <c r="E883" s="13">
        <v>25</v>
      </c>
      <c r="F883" s="14">
        <v>0.05</v>
      </c>
      <c r="G883" s="15" t="s">
        <v>55</v>
      </c>
      <c r="H883" s="15" t="s">
        <v>69</v>
      </c>
      <c r="I883" s="15" t="s">
        <v>57</v>
      </c>
    </row>
    <row r="884" spans="1:9" x14ac:dyDescent="0.25">
      <c r="A884" s="6" t="s">
        <v>968</v>
      </c>
      <c r="B884" s="7">
        <v>45934</v>
      </c>
      <c r="C884" s="6" t="s">
        <v>105</v>
      </c>
      <c r="D884" s="6" t="s">
        <v>54</v>
      </c>
      <c r="E884" s="8">
        <v>12</v>
      </c>
      <c r="F884" s="9">
        <v>0.2</v>
      </c>
      <c r="G884" s="10" t="s">
        <v>55</v>
      </c>
      <c r="H884" s="10" t="s">
        <v>83</v>
      </c>
      <c r="I884" s="10" t="s">
        <v>57</v>
      </c>
    </row>
    <row r="885" spans="1:9" x14ac:dyDescent="0.25">
      <c r="A885" s="11" t="s">
        <v>969</v>
      </c>
      <c r="B885" s="12">
        <v>45822</v>
      </c>
      <c r="C885" s="11" t="s">
        <v>75</v>
      </c>
      <c r="D885" s="11" t="s">
        <v>82</v>
      </c>
      <c r="E885" s="13">
        <v>9</v>
      </c>
      <c r="F885" s="14">
        <v>0.15</v>
      </c>
      <c r="G885" s="15" t="s">
        <v>68</v>
      </c>
      <c r="H885" s="15" t="s">
        <v>56</v>
      </c>
      <c r="I885" s="15" t="s">
        <v>77</v>
      </c>
    </row>
    <row r="886" spans="1:9" x14ac:dyDescent="0.25">
      <c r="A886" s="6" t="s">
        <v>970</v>
      </c>
      <c r="B886" s="7">
        <v>45848</v>
      </c>
      <c r="C886" s="6" t="s">
        <v>105</v>
      </c>
      <c r="D886" s="6" t="s">
        <v>82</v>
      </c>
      <c r="E886" s="8">
        <v>8</v>
      </c>
      <c r="F886" s="9">
        <v>0.2</v>
      </c>
      <c r="G886" s="10" t="s">
        <v>61</v>
      </c>
      <c r="H886" s="10" t="s">
        <v>69</v>
      </c>
      <c r="I886" s="10" t="s">
        <v>73</v>
      </c>
    </row>
    <row r="887" spans="1:9" x14ac:dyDescent="0.25">
      <c r="A887" s="11" t="s">
        <v>971</v>
      </c>
      <c r="B887" s="12">
        <v>45889</v>
      </c>
      <c r="C887" s="11" t="s">
        <v>71</v>
      </c>
      <c r="D887" s="11" t="s">
        <v>76</v>
      </c>
      <c r="E887" s="13">
        <v>25</v>
      </c>
      <c r="F887" s="14">
        <v>0</v>
      </c>
      <c r="G887" s="15" t="s">
        <v>55</v>
      </c>
      <c r="H887" s="15" t="s">
        <v>69</v>
      </c>
      <c r="I887" s="15" t="s">
        <v>77</v>
      </c>
    </row>
    <row r="888" spans="1:9" x14ac:dyDescent="0.25">
      <c r="A888" s="6" t="s">
        <v>972</v>
      </c>
      <c r="B888" s="7">
        <v>45699</v>
      </c>
      <c r="C888" s="6" t="s">
        <v>90</v>
      </c>
      <c r="D888" s="6" t="s">
        <v>92</v>
      </c>
      <c r="E888" s="8">
        <v>5</v>
      </c>
      <c r="F888" s="9">
        <v>0</v>
      </c>
      <c r="G888" s="10" t="s">
        <v>61</v>
      </c>
      <c r="H888" s="10" t="s">
        <v>56</v>
      </c>
      <c r="I888" s="10" t="s">
        <v>73</v>
      </c>
    </row>
    <row r="889" spans="1:9" x14ac:dyDescent="0.25">
      <c r="A889" s="11" t="s">
        <v>973</v>
      </c>
      <c r="B889" s="12">
        <v>45715</v>
      </c>
      <c r="C889" s="11" t="s">
        <v>90</v>
      </c>
      <c r="D889" s="11" t="s">
        <v>85</v>
      </c>
      <c r="E889" s="13">
        <v>7</v>
      </c>
      <c r="F889" s="14">
        <v>0.05</v>
      </c>
      <c r="G889" s="15" t="s">
        <v>61</v>
      </c>
      <c r="H889" s="15" t="s">
        <v>69</v>
      </c>
      <c r="I889" s="15" t="s">
        <v>65</v>
      </c>
    </row>
    <row r="890" spans="1:9" x14ac:dyDescent="0.25">
      <c r="A890" s="6" t="s">
        <v>974</v>
      </c>
      <c r="B890" s="7">
        <v>46007</v>
      </c>
      <c r="C890" s="6" t="s">
        <v>90</v>
      </c>
      <c r="D890" s="6" t="s">
        <v>63</v>
      </c>
      <c r="E890" s="8">
        <v>14</v>
      </c>
      <c r="F890" s="9">
        <v>0.15</v>
      </c>
      <c r="G890" s="10" t="s">
        <v>64</v>
      </c>
      <c r="H890" s="10" t="s">
        <v>83</v>
      </c>
      <c r="I890" s="10" t="s">
        <v>77</v>
      </c>
    </row>
    <row r="891" spans="1:9" x14ac:dyDescent="0.25">
      <c r="A891" s="11" t="s">
        <v>975</v>
      </c>
      <c r="B891" s="12">
        <v>45807</v>
      </c>
      <c r="C891" s="11" t="s">
        <v>59</v>
      </c>
      <c r="D891" s="11" t="s">
        <v>88</v>
      </c>
      <c r="E891" s="13">
        <v>1</v>
      </c>
      <c r="F891" s="14">
        <v>0.05</v>
      </c>
      <c r="G891" s="15" t="s">
        <v>68</v>
      </c>
      <c r="H891" s="15" t="s">
        <v>69</v>
      </c>
      <c r="I891" s="15" t="s">
        <v>73</v>
      </c>
    </row>
    <row r="892" spans="1:9" x14ac:dyDescent="0.25">
      <c r="A892" s="6" t="s">
        <v>976</v>
      </c>
      <c r="B892" s="7">
        <v>45993</v>
      </c>
      <c r="C892" s="6" t="s">
        <v>71</v>
      </c>
      <c r="D892" s="6" t="s">
        <v>60</v>
      </c>
      <c r="E892" s="8">
        <v>21</v>
      </c>
      <c r="F892" s="9">
        <v>0.2</v>
      </c>
      <c r="G892" s="10" t="s">
        <v>64</v>
      </c>
      <c r="H892" s="10" t="s">
        <v>69</v>
      </c>
      <c r="I892" s="10" t="s">
        <v>73</v>
      </c>
    </row>
    <row r="893" spans="1:9" x14ac:dyDescent="0.25">
      <c r="A893" s="11" t="s">
        <v>977</v>
      </c>
      <c r="B893" s="12">
        <v>45948</v>
      </c>
      <c r="C893" s="11" t="s">
        <v>75</v>
      </c>
      <c r="D893" s="11" t="s">
        <v>94</v>
      </c>
      <c r="E893" s="13">
        <v>3</v>
      </c>
      <c r="F893" s="14">
        <v>0.1</v>
      </c>
      <c r="G893" s="15" t="s">
        <v>55</v>
      </c>
      <c r="H893" s="15" t="s">
        <v>69</v>
      </c>
      <c r="I893" s="15" t="s">
        <v>73</v>
      </c>
    </row>
    <row r="894" spans="1:9" x14ac:dyDescent="0.25">
      <c r="A894" s="6" t="s">
        <v>978</v>
      </c>
      <c r="B894" s="7">
        <v>45805</v>
      </c>
      <c r="C894" s="6" t="s">
        <v>53</v>
      </c>
      <c r="D894" s="6" t="s">
        <v>72</v>
      </c>
      <c r="E894" s="8">
        <v>3</v>
      </c>
      <c r="F894" s="9">
        <v>0.1</v>
      </c>
      <c r="G894" s="10" t="s">
        <v>68</v>
      </c>
      <c r="H894" s="10" t="s">
        <v>69</v>
      </c>
      <c r="I894" s="10" t="s">
        <v>57</v>
      </c>
    </row>
    <row r="895" spans="1:9" x14ac:dyDescent="0.25">
      <c r="A895" s="11" t="s">
        <v>979</v>
      </c>
      <c r="B895" s="12">
        <v>45974</v>
      </c>
      <c r="C895" s="11" t="s">
        <v>90</v>
      </c>
      <c r="D895" s="11" t="s">
        <v>103</v>
      </c>
      <c r="E895" s="13">
        <v>12</v>
      </c>
      <c r="F895" s="14">
        <v>0.2</v>
      </c>
      <c r="G895" s="15" t="s">
        <v>68</v>
      </c>
      <c r="H895" s="15" t="s">
        <v>56</v>
      </c>
      <c r="I895" s="15" t="s">
        <v>57</v>
      </c>
    </row>
    <row r="896" spans="1:9" x14ac:dyDescent="0.25">
      <c r="A896" s="6" t="s">
        <v>980</v>
      </c>
      <c r="B896" s="7">
        <v>46020</v>
      </c>
      <c r="C896" s="6" t="s">
        <v>90</v>
      </c>
      <c r="D896" s="6" t="s">
        <v>85</v>
      </c>
      <c r="E896" s="8">
        <v>10</v>
      </c>
      <c r="F896" s="9">
        <v>0</v>
      </c>
      <c r="G896" s="10" t="s">
        <v>61</v>
      </c>
      <c r="H896" s="10" t="s">
        <v>69</v>
      </c>
      <c r="I896" s="10" t="s">
        <v>57</v>
      </c>
    </row>
    <row r="897" spans="1:9" x14ac:dyDescent="0.25">
      <c r="A897" s="11" t="s">
        <v>981</v>
      </c>
      <c r="B897" s="12">
        <v>45883</v>
      </c>
      <c r="C897" s="11" t="s">
        <v>71</v>
      </c>
      <c r="D897" s="11" t="s">
        <v>67</v>
      </c>
      <c r="E897" s="13">
        <v>3</v>
      </c>
      <c r="F897" s="14">
        <v>0.05</v>
      </c>
      <c r="G897" s="15" t="s">
        <v>61</v>
      </c>
      <c r="H897" s="15" t="s">
        <v>83</v>
      </c>
      <c r="I897" s="15" t="s">
        <v>73</v>
      </c>
    </row>
    <row r="898" spans="1:9" x14ac:dyDescent="0.25">
      <c r="A898" s="6" t="s">
        <v>982</v>
      </c>
      <c r="B898" s="7">
        <v>45834</v>
      </c>
      <c r="C898" s="6" t="s">
        <v>71</v>
      </c>
      <c r="D898" s="6" t="s">
        <v>94</v>
      </c>
      <c r="E898" s="8">
        <v>8</v>
      </c>
      <c r="F898" s="9">
        <v>0.2</v>
      </c>
      <c r="G898" s="10" t="s">
        <v>55</v>
      </c>
      <c r="H898" s="10" t="s">
        <v>83</v>
      </c>
      <c r="I898" s="10" t="s">
        <v>73</v>
      </c>
    </row>
    <row r="899" spans="1:9" x14ac:dyDescent="0.25">
      <c r="A899" s="11" t="s">
        <v>983</v>
      </c>
      <c r="B899" s="12">
        <v>45720</v>
      </c>
      <c r="C899" s="11" t="s">
        <v>53</v>
      </c>
      <c r="D899" s="11" t="s">
        <v>103</v>
      </c>
      <c r="E899" s="13">
        <v>7</v>
      </c>
      <c r="F899" s="14">
        <v>0.15</v>
      </c>
      <c r="G899" s="15" t="s">
        <v>55</v>
      </c>
      <c r="H899" s="15" t="s">
        <v>69</v>
      </c>
      <c r="I899" s="15" t="s">
        <v>73</v>
      </c>
    </row>
    <row r="900" spans="1:9" x14ac:dyDescent="0.25">
      <c r="A900" s="6" t="s">
        <v>984</v>
      </c>
      <c r="B900" s="7">
        <v>45737</v>
      </c>
      <c r="C900" s="6" t="s">
        <v>71</v>
      </c>
      <c r="D900" s="6" t="s">
        <v>120</v>
      </c>
      <c r="E900" s="8">
        <v>11</v>
      </c>
      <c r="F900" s="9">
        <v>0.1</v>
      </c>
      <c r="G900" s="10" t="s">
        <v>64</v>
      </c>
      <c r="H900" s="10" t="s">
        <v>69</v>
      </c>
      <c r="I900" s="10" t="s">
        <v>57</v>
      </c>
    </row>
    <row r="901" spans="1:9" x14ac:dyDescent="0.25">
      <c r="A901" s="11" t="s">
        <v>985</v>
      </c>
      <c r="B901" s="12">
        <v>45947</v>
      </c>
      <c r="C901" s="11" t="s">
        <v>105</v>
      </c>
      <c r="D901" s="11" t="s">
        <v>85</v>
      </c>
      <c r="E901" s="13">
        <v>25</v>
      </c>
      <c r="F901" s="14">
        <v>0</v>
      </c>
      <c r="G901" s="15" t="s">
        <v>64</v>
      </c>
      <c r="H901" s="15" t="s">
        <v>56</v>
      </c>
      <c r="I901" s="15" t="s">
        <v>57</v>
      </c>
    </row>
    <row r="902" spans="1:9" x14ac:dyDescent="0.25">
      <c r="A902" s="6" t="s">
        <v>986</v>
      </c>
      <c r="B902" s="7">
        <v>46005</v>
      </c>
      <c r="C902" s="6" t="s">
        <v>59</v>
      </c>
      <c r="D902" s="6" t="s">
        <v>63</v>
      </c>
      <c r="E902" s="8">
        <v>3</v>
      </c>
      <c r="F902" s="9">
        <v>0.15</v>
      </c>
      <c r="G902" s="10" t="s">
        <v>55</v>
      </c>
      <c r="H902" s="10" t="s">
        <v>69</v>
      </c>
      <c r="I902" s="10" t="s">
        <v>73</v>
      </c>
    </row>
    <row r="903" spans="1:9" x14ac:dyDescent="0.25">
      <c r="A903" s="11" t="s">
        <v>987</v>
      </c>
      <c r="B903" s="12">
        <v>45705</v>
      </c>
      <c r="C903" s="11" t="s">
        <v>53</v>
      </c>
      <c r="D903" s="11" t="s">
        <v>82</v>
      </c>
      <c r="E903" s="13">
        <v>10</v>
      </c>
      <c r="F903" s="14">
        <v>0.05</v>
      </c>
      <c r="G903" s="15" t="s">
        <v>55</v>
      </c>
      <c r="H903" s="15" t="s">
        <v>69</v>
      </c>
      <c r="I903" s="15" t="s">
        <v>57</v>
      </c>
    </row>
    <row r="904" spans="1:9" x14ac:dyDescent="0.25">
      <c r="A904" s="6" t="s">
        <v>988</v>
      </c>
      <c r="B904" s="7">
        <v>45669</v>
      </c>
      <c r="C904" s="6" t="s">
        <v>105</v>
      </c>
      <c r="D904" s="6" t="s">
        <v>54</v>
      </c>
      <c r="E904" s="8">
        <v>11</v>
      </c>
      <c r="F904" s="9">
        <v>0</v>
      </c>
      <c r="G904" s="10" t="s">
        <v>64</v>
      </c>
      <c r="H904" s="10" t="s">
        <v>56</v>
      </c>
      <c r="I904" s="10" t="s">
        <v>65</v>
      </c>
    </row>
    <row r="905" spans="1:9" x14ac:dyDescent="0.25">
      <c r="A905" s="11" t="s">
        <v>989</v>
      </c>
      <c r="B905" s="12">
        <v>45820</v>
      </c>
      <c r="C905" s="11" t="s">
        <v>53</v>
      </c>
      <c r="D905" s="11" t="s">
        <v>76</v>
      </c>
      <c r="E905" s="13">
        <v>14</v>
      </c>
      <c r="F905" s="14">
        <v>0.15</v>
      </c>
      <c r="G905" s="15" t="s">
        <v>55</v>
      </c>
      <c r="H905" s="15" t="s">
        <v>83</v>
      </c>
      <c r="I905" s="15" t="s">
        <v>65</v>
      </c>
    </row>
    <row r="906" spans="1:9" x14ac:dyDescent="0.25">
      <c r="A906" s="6" t="s">
        <v>990</v>
      </c>
      <c r="B906" s="7">
        <v>45847</v>
      </c>
      <c r="C906" s="6" t="s">
        <v>71</v>
      </c>
      <c r="D906" s="6" t="s">
        <v>92</v>
      </c>
      <c r="E906" s="8">
        <v>1</v>
      </c>
      <c r="F906" s="9">
        <v>0.1</v>
      </c>
      <c r="G906" s="10" t="s">
        <v>68</v>
      </c>
      <c r="H906" s="10" t="s">
        <v>69</v>
      </c>
      <c r="I906" s="10" t="s">
        <v>73</v>
      </c>
    </row>
    <row r="907" spans="1:9" x14ac:dyDescent="0.25">
      <c r="A907" s="11" t="s">
        <v>991</v>
      </c>
      <c r="B907" s="12">
        <v>45886</v>
      </c>
      <c r="C907" s="11" t="s">
        <v>59</v>
      </c>
      <c r="D907" s="11" t="s">
        <v>111</v>
      </c>
      <c r="E907" s="13">
        <v>4</v>
      </c>
      <c r="F907" s="14">
        <v>0.15</v>
      </c>
      <c r="G907" s="15" t="s">
        <v>64</v>
      </c>
      <c r="H907" s="15" t="s">
        <v>69</v>
      </c>
      <c r="I907" s="15" t="s">
        <v>73</v>
      </c>
    </row>
    <row r="908" spans="1:9" x14ac:dyDescent="0.25">
      <c r="A908" s="6" t="s">
        <v>992</v>
      </c>
      <c r="B908" s="7">
        <v>45741</v>
      </c>
      <c r="C908" s="6" t="s">
        <v>116</v>
      </c>
      <c r="D908" s="6" t="s">
        <v>72</v>
      </c>
      <c r="E908" s="8">
        <v>12</v>
      </c>
      <c r="F908" s="9">
        <v>0.15</v>
      </c>
      <c r="G908" s="10" t="s">
        <v>55</v>
      </c>
      <c r="H908" s="10" t="s">
        <v>83</v>
      </c>
      <c r="I908" s="10" t="s">
        <v>77</v>
      </c>
    </row>
    <row r="909" spans="1:9" x14ac:dyDescent="0.25">
      <c r="A909" s="11" t="s">
        <v>993</v>
      </c>
      <c r="B909" s="12">
        <v>45731</v>
      </c>
      <c r="C909" s="11" t="s">
        <v>75</v>
      </c>
      <c r="D909" s="11" t="s">
        <v>88</v>
      </c>
      <c r="E909" s="13">
        <v>8</v>
      </c>
      <c r="F909" s="14">
        <v>0.2</v>
      </c>
      <c r="G909" s="15" t="s">
        <v>68</v>
      </c>
      <c r="H909" s="15" t="s">
        <v>56</v>
      </c>
      <c r="I909" s="15" t="s">
        <v>65</v>
      </c>
    </row>
    <row r="910" spans="1:9" x14ac:dyDescent="0.25">
      <c r="A910" s="6" t="s">
        <v>994</v>
      </c>
      <c r="B910" s="7">
        <v>45703</v>
      </c>
      <c r="C910" s="6" t="s">
        <v>116</v>
      </c>
      <c r="D910" s="6" t="s">
        <v>120</v>
      </c>
      <c r="E910" s="8">
        <v>11</v>
      </c>
      <c r="F910" s="9">
        <v>0.1</v>
      </c>
      <c r="G910" s="10" t="s">
        <v>64</v>
      </c>
      <c r="H910" s="10" t="s">
        <v>56</v>
      </c>
      <c r="I910" s="10" t="s">
        <v>65</v>
      </c>
    </row>
    <row r="911" spans="1:9" x14ac:dyDescent="0.25">
      <c r="A911" s="11" t="s">
        <v>995</v>
      </c>
      <c r="B911" s="12">
        <v>46021</v>
      </c>
      <c r="C911" s="11" t="s">
        <v>90</v>
      </c>
      <c r="D911" s="11" t="s">
        <v>76</v>
      </c>
      <c r="E911" s="13">
        <v>8</v>
      </c>
      <c r="F911" s="14">
        <v>0.15</v>
      </c>
      <c r="G911" s="15" t="s">
        <v>68</v>
      </c>
      <c r="H911" s="15" t="s">
        <v>83</v>
      </c>
      <c r="I911" s="15" t="s">
        <v>65</v>
      </c>
    </row>
    <row r="912" spans="1:9" x14ac:dyDescent="0.25">
      <c r="A912" s="6" t="s">
        <v>996</v>
      </c>
      <c r="B912" s="7">
        <v>45679</v>
      </c>
      <c r="C912" s="6" t="s">
        <v>75</v>
      </c>
      <c r="D912" s="6" t="s">
        <v>111</v>
      </c>
      <c r="E912" s="8">
        <v>10</v>
      </c>
      <c r="F912" s="9">
        <v>0.1</v>
      </c>
      <c r="G912" s="10" t="s">
        <v>64</v>
      </c>
      <c r="H912" s="10" t="s">
        <v>83</v>
      </c>
      <c r="I912" s="10" t="s">
        <v>65</v>
      </c>
    </row>
    <row r="913" spans="1:9" x14ac:dyDescent="0.25">
      <c r="A913" s="11" t="s">
        <v>997</v>
      </c>
      <c r="B913" s="12">
        <v>45772</v>
      </c>
      <c r="C913" s="11" t="s">
        <v>53</v>
      </c>
      <c r="D913" s="11" t="s">
        <v>120</v>
      </c>
      <c r="E913" s="13">
        <v>3</v>
      </c>
      <c r="F913" s="14">
        <v>0.1</v>
      </c>
      <c r="G913" s="15" t="s">
        <v>68</v>
      </c>
      <c r="H913" s="15" t="s">
        <v>83</v>
      </c>
      <c r="I913" s="15" t="s">
        <v>65</v>
      </c>
    </row>
    <row r="914" spans="1:9" x14ac:dyDescent="0.25">
      <c r="A914" s="6" t="s">
        <v>998</v>
      </c>
      <c r="B914" s="7">
        <v>45721</v>
      </c>
      <c r="C914" s="6" t="s">
        <v>75</v>
      </c>
      <c r="D914" s="6" t="s">
        <v>60</v>
      </c>
      <c r="E914" s="8">
        <v>8</v>
      </c>
      <c r="F914" s="9">
        <v>0.15</v>
      </c>
      <c r="G914" s="10" t="s">
        <v>55</v>
      </c>
      <c r="H914" s="10" t="s">
        <v>56</v>
      </c>
      <c r="I914" s="10" t="s">
        <v>77</v>
      </c>
    </row>
    <row r="915" spans="1:9" x14ac:dyDescent="0.25">
      <c r="A915" s="11" t="s">
        <v>999</v>
      </c>
      <c r="B915" s="12">
        <v>45799</v>
      </c>
      <c r="C915" s="11" t="s">
        <v>59</v>
      </c>
      <c r="D915" s="11" t="s">
        <v>96</v>
      </c>
      <c r="E915" s="13">
        <v>10</v>
      </c>
      <c r="F915" s="14">
        <v>0.1</v>
      </c>
      <c r="G915" s="15" t="s">
        <v>64</v>
      </c>
      <c r="H915" s="15" t="s">
        <v>83</v>
      </c>
      <c r="I915" s="15" t="s">
        <v>65</v>
      </c>
    </row>
    <row r="916" spans="1:9" x14ac:dyDescent="0.25">
      <c r="A916" s="6" t="s">
        <v>1000</v>
      </c>
      <c r="B916" s="7">
        <v>45790</v>
      </c>
      <c r="C916" s="6" t="s">
        <v>105</v>
      </c>
      <c r="D916" s="6" t="s">
        <v>60</v>
      </c>
      <c r="E916" s="8">
        <v>29</v>
      </c>
      <c r="F916" s="9">
        <v>0</v>
      </c>
      <c r="G916" s="10" t="s">
        <v>68</v>
      </c>
      <c r="H916" s="10" t="s">
        <v>83</v>
      </c>
      <c r="I916" s="10" t="s">
        <v>77</v>
      </c>
    </row>
    <row r="917" spans="1:9" x14ac:dyDescent="0.25">
      <c r="A917" s="11" t="s">
        <v>1001</v>
      </c>
      <c r="B917" s="12">
        <v>45790</v>
      </c>
      <c r="C917" s="11" t="s">
        <v>53</v>
      </c>
      <c r="D917" s="11" t="s">
        <v>94</v>
      </c>
      <c r="E917" s="13">
        <v>3</v>
      </c>
      <c r="F917" s="14">
        <v>0.1</v>
      </c>
      <c r="G917" s="15" t="s">
        <v>64</v>
      </c>
      <c r="H917" s="15" t="s">
        <v>83</v>
      </c>
      <c r="I917" s="15" t="s">
        <v>57</v>
      </c>
    </row>
    <row r="918" spans="1:9" x14ac:dyDescent="0.25">
      <c r="A918" s="6" t="s">
        <v>1002</v>
      </c>
      <c r="B918" s="7">
        <v>45840</v>
      </c>
      <c r="C918" s="6" t="s">
        <v>53</v>
      </c>
      <c r="D918" s="6" t="s">
        <v>94</v>
      </c>
      <c r="E918" s="8">
        <v>5</v>
      </c>
      <c r="F918" s="9">
        <v>0.1</v>
      </c>
      <c r="G918" s="10" t="s">
        <v>64</v>
      </c>
      <c r="H918" s="10" t="s">
        <v>83</v>
      </c>
      <c r="I918" s="10" t="s">
        <v>73</v>
      </c>
    </row>
    <row r="919" spans="1:9" x14ac:dyDescent="0.25">
      <c r="A919" s="11" t="s">
        <v>1003</v>
      </c>
      <c r="B919" s="12">
        <v>45682</v>
      </c>
      <c r="C919" s="11" t="s">
        <v>75</v>
      </c>
      <c r="D919" s="11" t="s">
        <v>67</v>
      </c>
      <c r="E919" s="13">
        <v>9</v>
      </c>
      <c r="F919" s="14">
        <v>0</v>
      </c>
      <c r="G919" s="15" t="s">
        <v>55</v>
      </c>
      <c r="H919" s="15" t="s">
        <v>83</v>
      </c>
      <c r="I919" s="15" t="s">
        <v>57</v>
      </c>
    </row>
    <row r="920" spans="1:9" x14ac:dyDescent="0.25">
      <c r="A920" s="6" t="s">
        <v>1004</v>
      </c>
      <c r="B920" s="7">
        <v>45706</v>
      </c>
      <c r="C920" s="6" t="s">
        <v>90</v>
      </c>
      <c r="D920" s="6" t="s">
        <v>76</v>
      </c>
      <c r="E920" s="8">
        <v>13</v>
      </c>
      <c r="F920" s="9">
        <v>0.1</v>
      </c>
      <c r="G920" s="10" t="s">
        <v>68</v>
      </c>
      <c r="H920" s="10" t="s">
        <v>69</v>
      </c>
      <c r="I920" s="10" t="s">
        <v>73</v>
      </c>
    </row>
    <row r="921" spans="1:9" x14ac:dyDescent="0.25">
      <c r="A921" s="11" t="s">
        <v>1005</v>
      </c>
      <c r="B921" s="12">
        <v>45707</v>
      </c>
      <c r="C921" s="11" t="s">
        <v>71</v>
      </c>
      <c r="D921" s="11" t="s">
        <v>63</v>
      </c>
      <c r="E921" s="13">
        <v>3</v>
      </c>
      <c r="F921" s="14">
        <v>0.05</v>
      </c>
      <c r="G921" s="15" t="s">
        <v>68</v>
      </c>
      <c r="H921" s="15" t="s">
        <v>69</v>
      </c>
      <c r="I921" s="15" t="s">
        <v>65</v>
      </c>
    </row>
    <row r="922" spans="1:9" x14ac:dyDescent="0.25">
      <c r="A922" s="6" t="s">
        <v>1006</v>
      </c>
      <c r="B922" s="7">
        <v>45868</v>
      </c>
      <c r="C922" s="6" t="s">
        <v>90</v>
      </c>
      <c r="D922" s="6" t="s">
        <v>82</v>
      </c>
      <c r="E922" s="8">
        <v>2</v>
      </c>
      <c r="F922" s="9">
        <v>0.05</v>
      </c>
      <c r="G922" s="10" t="s">
        <v>55</v>
      </c>
      <c r="H922" s="10" t="s">
        <v>83</v>
      </c>
      <c r="I922" s="10" t="s">
        <v>57</v>
      </c>
    </row>
    <row r="923" spans="1:9" x14ac:dyDescent="0.25">
      <c r="A923" s="11" t="s">
        <v>1007</v>
      </c>
      <c r="B923" s="12">
        <v>45754</v>
      </c>
      <c r="C923" s="11" t="s">
        <v>59</v>
      </c>
      <c r="D923" s="11" t="s">
        <v>72</v>
      </c>
      <c r="E923" s="13">
        <v>7</v>
      </c>
      <c r="F923" s="14">
        <v>0.15</v>
      </c>
      <c r="G923" s="15" t="s">
        <v>61</v>
      </c>
      <c r="H923" s="15" t="s">
        <v>56</v>
      </c>
      <c r="I923" s="15" t="s">
        <v>57</v>
      </c>
    </row>
    <row r="924" spans="1:9" x14ac:dyDescent="0.25">
      <c r="A924" s="6" t="s">
        <v>1008</v>
      </c>
      <c r="B924" s="7">
        <v>45666</v>
      </c>
      <c r="C924" s="6" t="s">
        <v>71</v>
      </c>
      <c r="D924" s="6" t="s">
        <v>96</v>
      </c>
      <c r="E924" s="8">
        <v>5</v>
      </c>
      <c r="F924" s="9">
        <v>0.1</v>
      </c>
      <c r="G924" s="10" t="s">
        <v>55</v>
      </c>
      <c r="H924" s="10" t="s">
        <v>69</v>
      </c>
      <c r="I924" s="10" t="s">
        <v>73</v>
      </c>
    </row>
    <row r="925" spans="1:9" x14ac:dyDescent="0.25">
      <c r="A925" s="11" t="s">
        <v>1009</v>
      </c>
      <c r="B925" s="12">
        <v>45746</v>
      </c>
      <c r="C925" s="11" t="s">
        <v>75</v>
      </c>
      <c r="D925" s="11" t="s">
        <v>85</v>
      </c>
      <c r="E925" s="13">
        <v>26</v>
      </c>
      <c r="F925" s="14">
        <v>0</v>
      </c>
      <c r="G925" s="15" t="s">
        <v>55</v>
      </c>
      <c r="H925" s="15" t="s">
        <v>56</v>
      </c>
      <c r="I925" s="15" t="s">
        <v>57</v>
      </c>
    </row>
    <row r="926" spans="1:9" x14ac:dyDescent="0.25">
      <c r="A926" s="6" t="s">
        <v>1010</v>
      </c>
      <c r="B926" s="7">
        <v>46010</v>
      </c>
      <c r="C926" s="6" t="s">
        <v>75</v>
      </c>
      <c r="D926" s="6" t="s">
        <v>88</v>
      </c>
      <c r="E926" s="8">
        <v>3</v>
      </c>
      <c r="F926" s="9">
        <v>0.05</v>
      </c>
      <c r="G926" s="10" t="s">
        <v>55</v>
      </c>
      <c r="H926" s="10" t="s">
        <v>56</v>
      </c>
      <c r="I926" s="10" t="s">
        <v>65</v>
      </c>
    </row>
    <row r="927" spans="1:9" x14ac:dyDescent="0.25">
      <c r="A927" s="11" t="s">
        <v>1011</v>
      </c>
      <c r="B927" s="12">
        <v>46011</v>
      </c>
      <c r="C927" s="11" t="s">
        <v>59</v>
      </c>
      <c r="D927" s="11" t="s">
        <v>72</v>
      </c>
      <c r="E927" s="13">
        <v>2</v>
      </c>
      <c r="F927" s="14">
        <v>0</v>
      </c>
      <c r="G927" s="15" t="s">
        <v>64</v>
      </c>
      <c r="H927" s="15" t="s">
        <v>69</v>
      </c>
      <c r="I927" s="15" t="s">
        <v>77</v>
      </c>
    </row>
    <row r="928" spans="1:9" x14ac:dyDescent="0.25">
      <c r="A928" s="6" t="s">
        <v>1012</v>
      </c>
      <c r="B928" s="7">
        <v>45758</v>
      </c>
      <c r="C928" s="6" t="s">
        <v>53</v>
      </c>
      <c r="D928" s="6" t="s">
        <v>54</v>
      </c>
      <c r="E928" s="8">
        <v>11</v>
      </c>
      <c r="F928" s="9">
        <v>0.2</v>
      </c>
      <c r="G928" s="10" t="s">
        <v>61</v>
      </c>
      <c r="H928" s="10" t="s">
        <v>69</v>
      </c>
      <c r="I928" s="10" t="s">
        <v>77</v>
      </c>
    </row>
    <row r="929" spans="1:9" x14ac:dyDescent="0.25">
      <c r="A929" s="11" t="s">
        <v>1013</v>
      </c>
      <c r="B929" s="12">
        <v>45787</v>
      </c>
      <c r="C929" s="11" t="s">
        <v>59</v>
      </c>
      <c r="D929" s="11" t="s">
        <v>120</v>
      </c>
      <c r="E929" s="13">
        <v>5</v>
      </c>
      <c r="F929" s="14">
        <v>0</v>
      </c>
      <c r="G929" s="15" t="s">
        <v>61</v>
      </c>
      <c r="H929" s="15" t="s">
        <v>56</v>
      </c>
      <c r="I929" s="15" t="s">
        <v>57</v>
      </c>
    </row>
    <row r="930" spans="1:9" x14ac:dyDescent="0.25">
      <c r="A930" s="6" t="s">
        <v>1014</v>
      </c>
      <c r="B930" s="7">
        <v>45958</v>
      </c>
      <c r="C930" s="6" t="s">
        <v>80</v>
      </c>
      <c r="D930" s="6" t="s">
        <v>103</v>
      </c>
      <c r="E930" s="8">
        <v>3</v>
      </c>
      <c r="F930" s="9">
        <v>0.1</v>
      </c>
      <c r="G930" s="10" t="s">
        <v>61</v>
      </c>
      <c r="H930" s="10" t="s">
        <v>56</v>
      </c>
      <c r="I930" s="10" t="s">
        <v>57</v>
      </c>
    </row>
    <row r="931" spans="1:9" x14ac:dyDescent="0.25">
      <c r="A931" s="11" t="s">
        <v>1015</v>
      </c>
      <c r="B931" s="12">
        <v>45800</v>
      </c>
      <c r="C931" s="11" t="s">
        <v>71</v>
      </c>
      <c r="D931" s="11" t="s">
        <v>76</v>
      </c>
      <c r="E931" s="13">
        <v>8</v>
      </c>
      <c r="F931" s="14">
        <v>0.2</v>
      </c>
      <c r="G931" s="15" t="s">
        <v>55</v>
      </c>
      <c r="H931" s="15" t="s">
        <v>83</v>
      </c>
      <c r="I931" s="15" t="s">
        <v>77</v>
      </c>
    </row>
    <row r="932" spans="1:9" x14ac:dyDescent="0.25">
      <c r="A932" s="6" t="s">
        <v>1016</v>
      </c>
      <c r="B932" s="7">
        <v>45708</v>
      </c>
      <c r="C932" s="6" t="s">
        <v>53</v>
      </c>
      <c r="D932" s="6" t="s">
        <v>111</v>
      </c>
      <c r="E932" s="8">
        <v>9</v>
      </c>
      <c r="F932" s="9">
        <v>0.05</v>
      </c>
      <c r="G932" s="10" t="s">
        <v>55</v>
      </c>
      <c r="H932" s="10" t="s">
        <v>69</v>
      </c>
      <c r="I932" s="10" t="s">
        <v>57</v>
      </c>
    </row>
    <row r="933" spans="1:9" x14ac:dyDescent="0.25">
      <c r="A933" s="11" t="s">
        <v>1017</v>
      </c>
      <c r="B933" s="12">
        <v>45933</v>
      </c>
      <c r="C933" s="11" t="s">
        <v>59</v>
      </c>
      <c r="D933" s="11" t="s">
        <v>120</v>
      </c>
      <c r="E933" s="13">
        <v>4</v>
      </c>
      <c r="F933" s="14">
        <v>0.2</v>
      </c>
      <c r="G933" s="15" t="s">
        <v>64</v>
      </c>
      <c r="H933" s="15" t="s">
        <v>69</v>
      </c>
      <c r="I933" s="15" t="s">
        <v>57</v>
      </c>
    </row>
    <row r="934" spans="1:9" x14ac:dyDescent="0.25">
      <c r="A934" s="6" t="s">
        <v>1018</v>
      </c>
      <c r="B934" s="7">
        <v>45883</v>
      </c>
      <c r="C934" s="6" t="s">
        <v>59</v>
      </c>
      <c r="D934" s="6" t="s">
        <v>60</v>
      </c>
      <c r="E934" s="8">
        <v>29</v>
      </c>
      <c r="F934" s="9">
        <v>0.1</v>
      </c>
      <c r="G934" s="10" t="s">
        <v>64</v>
      </c>
      <c r="H934" s="10" t="s">
        <v>69</v>
      </c>
      <c r="I934" s="10" t="s">
        <v>57</v>
      </c>
    </row>
    <row r="935" spans="1:9" x14ac:dyDescent="0.25">
      <c r="A935" s="11" t="s">
        <v>1019</v>
      </c>
      <c r="B935" s="12">
        <v>45921</v>
      </c>
      <c r="C935" s="11" t="s">
        <v>116</v>
      </c>
      <c r="D935" s="11" t="s">
        <v>88</v>
      </c>
      <c r="E935" s="13">
        <v>2</v>
      </c>
      <c r="F935" s="14">
        <v>0.1</v>
      </c>
      <c r="G935" s="15" t="s">
        <v>61</v>
      </c>
      <c r="H935" s="15" t="s">
        <v>69</v>
      </c>
      <c r="I935" s="15" t="s">
        <v>77</v>
      </c>
    </row>
    <row r="936" spans="1:9" x14ac:dyDescent="0.25">
      <c r="A936" s="6" t="s">
        <v>1020</v>
      </c>
      <c r="B936" s="7">
        <v>45924</v>
      </c>
      <c r="C936" s="6" t="s">
        <v>105</v>
      </c>
      <c r="D936" s="6" t="s">
        <v>94</v>
      </c>
      <c r="E936" s="8">
        <v>6</v>
      </c>
      <c r="F936" s="9">
        <v>0.1</v>
      </c>
      <c r="G936" s="10" t="s">
        <v>61</v>
      </c>
      <c r="H936" s="10" t="s">
        <v>56</v>
      </c>
      <c r="I936" s="10" t="s">
        <v>73</v>
      </c>
    </row>
    <row r="937" spans="1:9" x14ac:dyDescent="0.25">
      <c r="A937" s="11" t="s">
        <v>1021</v>
      </c>
      <c r="B937" s="12">
        <v>45910</v>
      </c>
      <c r="C937" s="11" t="s">
        <v>116</v>
      </c>
      <c r="D937" s="11" t="s">
        <v>54</v>
      </c>
      <c r="E937" s="13">
        <v>5</v>
      </c>
      <c r="F937" s="14">
        <v>0.15</v>
      </c>
      <c r="G937" s="15" t="s">
        <v>68</v>
      </c>
      <c r="H937" s="15" t="s">
        <v>83</v>
      </c>
      <c r="I937" s="15" t="s">
        <v>65</v>
      </c>
    </row>
    <row r="938" spans="1:9" x14ac:dyDescent="0.25">
      <c r="A938" s="6" t="s">
        <v>1022</v>
      </c>
      <c r="B938" s="7">
        <v>45773</v>
      </c>
      <c r="C938" s="6" t="s">
        <v>116</v>
      </c>
      <c r="D938" s="6" t="s">
        <v>63</v>
      </c>
      <c r="E938" s="8">
        <v>30</v>
      </c>
      <c r="F938" s="9">
        <v>0.15</v>
      </c>
      <c r="G938" s="10" t="s">
        <v>55</v>
      </c>
      <c r="H938" s="10" t="s">
        <v>56</v>
      </c>
      <c r="I938" s="10" t="s">
        <v>65</v>
      </c>
    </row>
    <row r="939" spans="1:9" x14ac:dyDescent="0.25">
      <c r="A939" s="11" t="s">
        <v>1023</v>
      </c>
      <c r="B939" s="12">
        <v>46005</v>
      </c>
      <c r="C939" s="11" t="s">
        <v>90</v>
      </c>
      <c r="D939" s="11" t="s">
        <v>82</v>
      </c>
      <c r="E939" s="13">
        <v>1</v>
      </c>
      <c r="F939" s="14">
        <v>0.15</v>
      </c>
      <c r="G939" s="15" t="s">
        <v>61</v>
      </c>
      <c r="H939" s="15" t="s">
        <v>69</v>
      </c>
      <c r="I939" s="15" t="s">
        <v>65</v>
      </c>
    </row>
    <row r="940" spans="1:9" x14ac:dyDescent="0.25">
      <c r="A940" s="6" t="s">
        <v>1024</v>
      </c>
      <c r="B940" s="7">
        <v>45925</v>
      </c>
      <c r="C940" s="6" t="s">
        <v>59</v>
      </c>
      <c r="D940" s="6" t="s">
        <v>60</v>
      </c>
      <c r="E940" s="8">
        <v>7</v>
      </c>
      <c r="F940" s="9">
        <v>0.15</v>
      </c>
      <c r="G940" s="10" t="s">
        <v>64</v>
      </c>
      <c r="H940" s="10" t="s">
        <v>83</v>
      </c>
      <c r="I940" s="10" t="s">
        <v>77</v>
      </c>
    </row>
    <row r="941" spans="1:9" x14ac:dyDescent="0.25">
      <c r="A941" s="11" t="s">
        <v>1025</v>
      </c>
      <c r="B941" s="12">
        <v>45744</v>
      </c>
      <c r="C941" s="11" t="s">
        <v>71</v>
      </c>
      <c r="D941" s="11" t="s">
        <v>54</v>
      </c>
      <c r="E941" s="13">
        <v>4</v>
      </c>
      <c r="F941" s="14">
        <v>0.1</v>
      </c>
      <c r="G941" s="15" t="s">
        <v>55</v>
      </c>
      <c r="H941" s="15" t="s">
        <v>83</v>
      </c>
      <c r="I941" s="15" t="s">
        <v>65</v>
      </c>
    </row>
    <row r="942" spans="1:9" x14ac:dyDescent="0.25">
      <c r="A942" s="6" t="s">
        <v>1026</v>
      </c>
      <c r="B942" s="7">
        <v>45720</v>
      </c>
      <c r="C942" s="6" t="s">
        <v>116</v>
      </c>
      <c r="D942" s="6" t="s">
        <v>88</v>
      </c>
      <c r="E942" s="8">
        <v>12</v>
      </c>
      <c r="F942" s="9">
        <v>0.15</v>
      </c>
      <c r="G942" s="10" t="s">
        <v>68</v>
      </c>
      <c r="H942" s="10" t="s">
        <v>83</v>
      </c>
      <c r="I942" s="10" t="s">
        <v>73</v>
      </c>
    </row>
    <row r="943" spans="1:9" x14ac:dyDescent="0.25">
      <c r="A943" s="11" t="s">
        <v>1027</v>
      </c>
      <c r="B943" s="12">
        <v>45987</v>
      </c>
      <c r="C943" s="11" t="s">
        <v>71</v>
      </c>
      <c r="D943" s="11" t="s">
        <v>92</v>
      </c>
      <c r="E943" s="13">
        <v>8</v>
      </c>
      <c r="F943" s="14">
        <v>0.2</v>
      </c>
      <c r="G943" s="15" t="s">
        <v>64</v>
      </c>
      <c r="H943" s="15" t="s">
        <v>69</v>
      </c>
      <c r="I943" s="15" t="s">
        <v>73</v>
      </c>
    </row>
    <row r="944" spans="1:9" x14ac:dyDescent="0.25">
      <c r="A944" s="6" t="s">
        <v>1028</v>
      </c>
      <c r="B944" s="7">
        <v>45733</v>
      </c>
      <c r="C944" s="6" t="s">
        <v>105</v>
      </c>
      <c r="D944" s="6" t="s">
        <v>72</v>
      </c>
      <c r="E944" s="8">
        <v>2</v>
      </c>
      <c r="F944" s="9">
        <v>0</v>
      </c>
      <c r="G944" s="10" t="s">
        <v>68</v>
      </c>
      <c r="H944" s="10" t="s">
        <v>69</v>
      </c>
      <c r="I944" s="10" t="s">
        <v>65</v>
      </c>
    </row>
    <row r="945" spans="1:9" x14ac:dyDescent="0.25">
      <c r="A945" s="11" t="s">
        <v>1029</v>
      </c>
      <c r="B945" s="12">
        <v>45776</v>
      </c>
      <c r="C945" s="11" t="s">
        <v>90</v>
      </c>
      <c r="D945" s="11" t="s">
        <v>60</v>
      </c>
      <c r="E945" s="13">
        <v>6</v>
      </c>
      <c r="F945" s="14">
        <v>0</v>
      </c>
      <c r="G945" s="15" t="s">
        <v>61</v>
      </c>
      <c r="H945" s="15" t="s">
        <v>69</v>
      </c>
      <c r="I945" s="15" t="s">
        <v>77</v>
      </c>
    </row>
    <row r="946" spans="1:9" x14ac:dyDescent="0.25">
      <c r="A946" s="6" t="s">
        <v>1030</v>
      </c>
      <c r="B946" s="7">
        <v>45749</v>
      </c>
      <c r="C946" s="6" t="s">
        <v>71</v>
      </c>
      <c r="D946" s="6" t="s">
        <v>92</v>
      </c>
      <c r="E946" s="8">
        <v>3</v>
      </c>
      <c r="F946" s="9">
        <v>0.1</v>
      </c>
      <c r="G946" s="10" t="s">
        <v>61</v>
      </c>
      <c r="H946" s="10" t="s">
        <v>56</v>
      </c>
      <c r="I946" s="10" t="s">
        <v>65</v>
      </c>
    </row>
    <row r="947" spans="1:9" x14ac:dyDescent="0.25">
      <c r="A947" s="11" t="s">
        <v>1031</v>
      </c>
      <c r="B947" s="12">
        <v>45896</v>
      </c>
      <c r="C947" s="11" t="s">
        <v>75</v>
      </c>
      <c r="D947" s="11" t="s">
        <v>88</v>
      </c>
      <c r="E947" s="13">
        <v>11</v>
      </c>
      <c r="F947" s="14">
        <v>0.15</v>
      </c>
      <c r="G947" s="15" t="s">
        <v>64</v>
      </c>
      <c r="H947" s="15" t="s">
        <v>83</v>
      </c>
      <c r="I947" s="15" t="s">
        <v>73</v>
      </c>
    </row>
    <row r="948" spans="1:9" x14ac:dyDescent="0.25">
      <c r="A948" s="6" t="s">
        <v>1032</v>
      </c>
      <c r="B948" s="7">
        <v>45935</v>
      </c>
      <c r="C948" s="6" t="s">
        <v>53</v>
      </c>
      <c r="D948" s="6" t="s">
        <v>82</v>
      </c>
      <c r="E948" s="8">
        <v>1</v>
      </c>
      <c r="F948" s="9">
        <v>0.15</v>
      </c>
      <c r="G948" s="10" t="s">
        <v>61</v>
      </c>
      <c r="H948" s="10" t="s">
        <v>69</v>
      </c>
      <c r="I948" s="10" t="s">
        <v>65</v>
      </c>
    </row>
    <row r="949" spans="1:9" x14ac:dyDescent="0.25">
      <c r="A949" s="11" t="s">
        <v>1033</v>
      </c>
      <c r="B949" s="12">
        <v>45819</v>
      </c>
      <c r="C949" s="11" t="s">
        <v>116</v>
      </c>
      <c r="D949" s="11" t="s">
        <v>111</v>
      </c>
      <c r="E949" s="13">
        <v>8</v>
      </c>
      <c r="F949" s="14">
        <v>0.15</v>
      </c>
      <c r="G949" s="15" t="s">
        <v>61</v>
      </c>
      <c r="H949" s="15" t="s">
        <v>56</v>
      </c>
      <c r="I949" s="15" t="s">
        <v>57</v>
      </c>
    </row>
    <row r="950" spans="1:9" x14ac:dyDescent="0.25">
      <c r="A950" s="6" t="s">
        <v>1034</v>
      </c>
      <c r="B950" s="7">
        <v>45943</v>
      </c>
      <c r="C950" s="6" t="s">
        <v>75</v>
      </c>
      <c r="D950" s="6" t="s">
        <v>60</v>
      </c>
      <c r="E950" s="8">
        <v>8</v>
      </c>
      <c r="F950" s="9">
        <v>0.15</v>
      </c>
      <c r="G950" s="10" t="s">
        <v>64</v>
      </c>
      <c r="H950" s="10" t="s">
        <v>56</v>
      </c>
      <c r="I950" s="10" t="s">
        <v>73</v>
      </c>
    </row>
    <row r="951" spans="1:9" x14ac:dyDescent="0.25">
      <c r="A951" s="11" t="s">
        <v>1035</v>
      </c>
      <c r="B951" s="12">
        <v>45857</v>
      </c>
      <c r="C951" s="11" t="s">
        <v>59</v>
      </c>
      <c r="D951" s="11" t="s">
        <v>96</v>
      </c>
      <c r="E951" s="13">
        <v>10</v>
      </c>
      <c r="F951" s="14">
        <v>0.15</v>
      </c>
      <c r="G951" s="15" t="s">
        <v>64</v>
      </c>
      <c r="H951" s="15" t="s">
        <v>69</v>
      </c>
      <c r="I951" s="15" t="s">
        <v>57</v>
      </c>
    </row>
    <row r="952" spans="1:9" x14ac:dyDescent="0.25">
      <c r="A952" s="6" t="s">
        <v>1036</v>
      </c>
      <c r="B952" s="7">
        <v>45917</v>
      </c>
      <c r="C952" s="6" t="s">
        <v>116</v>
      </c>
      <c r="D952" s="6" t="s">
        <v>120</v>
      </c>
      <c r="E952" s="8">
        <v>5</v>
      </c>
      <c r="F952" s="9">
        <v>0.15</v>
      </c>
      <c r="G952" s="10" t="s">
        <v>64</v>
      </c>
      <c r="H952" s="10" t="s">
        <v>83</v>
      </c>
      <c r="I952" s="10" t="s">
        <v>73</v>
      </c>
    </row>
    <row r="953" spans="1:9" x14ac:dyDescent="0.25">
      <c r="A953" s="11" t="s">
        <v>1037</v>
      </c>
      <c r="B953" s="12">
        <v>45803</v>
      </c>
      <c r="C953" s="11" t="s">
        <v>53</v>
      </c>
      <c r="D953" s="11" t="s">
        <v>82</v>
      </c>
      <c r="E953" s="13">
        <v>1</v>
      </c>
      <c r="F953" s="14">
        <v>0.2</v>
      </c>
      <c r="G953" s="15" t="s">
        <v>61</v>
      </c>
      <c r="H953" s="15" t="s">
        <v>56</v>
      </c>
      <c r="I953" s="15" t="s">
        <v>73</v>
      </c>
    </row>
    <row r="954" spans="1:9" x14ac:dyDescent="0.25">
      <c r="A954" s="6" t="s">
        <v>1038</v>
      </c>
      <c r="B954" s="7">
        <v>45836</v>
      </c>
      <c r="C954" s="6" t="s">
        <v>53</v>
      </c>
      <c r="D954" s="6" t="s">
        <v>72</v>
      </c>
      <c r="E954" s="8">
        <v>11</v>
      </c>
      <c r="F954" s="9">
        <v>0.1</v>
      </c>
      <c r="G954" s="10" t="s">
        <v>64</v>
      </c>
      <c r="H954" s="10" t="s">
        <v>56</v>
      </c>
      <c r="I954" s="10" t="s">
        <v>65</v>
      </c>
    </row>
    <row r="955" spans="1:9" x14ac:dyDescent="0.25">
      <c r="A955" s="11" t="s">
        <v>1039</v>
      </c>
      <c r="B955" s="12">
        <v>45834</v>
      </c>
      <c r="C955" s="11" t="s">
        <v>116</v>
      </c>
      <c r="D955" s="11" t="s">
        <v>82</v>
      </c>
      <c r="E955" s="13">
        <v>6</v>
      </c>
      <c r="F955" s="14">
        <v>0</v>
      </c>
      <c r="G955" s="15" t="s">
        <v>55</v>
      </c>
      <c r="H955" s="15" t="s">
        <v>56</v>
      </c>
      <c r="I955" s="15" t="s">
        <v>57</v>
      </c>
    </row>
    <row r="956" spans="1:9" x14ac:dyDescent="0.25">
      <c r="A956" s="6" t="s">
        <v>1040</v>
      </c>
      <c r="B956" s="7">
        <v>45989</v>
      </c>
      <c r="C956" s="6" t="s">
        <v>59</v>
      </c>
      <c r="D956" s="6" t="s">
        <v>67</v>
      </c>
      <c r="E956" s="8">
        <v>12</v>
      </c>
      <c r="F956" s="9">
        <v>0</v>
      </c>
      <c r="G956" s="10" t="s">
        <v>68</v>
      </c>
      <c r="H956" s="10" t="s">
        <v>56</v>
      </c>
      <c r="I956" s="10" t="s">
        <v>73</v>
      </c>
    </row>
    <row r="957" spans="1:9" x14ac:dyDescent="0.25">
      <c r="A957" s="11" t="s">
        <v>1041</v>
      </c>
      <c r="B957" s="12">
        <v>45744</v>
      </c>
      <c r="C957" s="11" t="s">
        <v>71</v>
      </c>
      <c r="D957" s="11" t="s">
        <v>120</v>
      </c>
      <c r="E957" s="13">
        <v>1</v>
      </c>
      <c r="F957" s="14">
        <v>0.15</v>
      </c>
      <c r="G957" s="15" t="s">
        <v>64</v>
      </c>
      <c r="H957" s="15" t="s">
        <v>83</v>
      </c>
      <c r="I957" s="15" t="s">
        <v>65</v>
      </c>
    </row>
    <row r="958" spans="1:9" x14ac:dyDescent="0.25">
      <c r="A958" s="6" t="s">
        <v>1042</v>
      </c>
      <c r="B958" s="7">
        <v>45794</v>
      </c>
      <c r="C958" s="6" t="s">
        <v>105</v>
      </c>
      <c r="D958" s="6" t="s">
        <v>120</v>
      </c>
      <c r="E958" s="8">
        <v>10</v>
      </c>
      <c r="F958" s="9">
        <v>0</v>
      </c>
      <c r="G958" s="10" t="s">
        <v>68</v>
      </c>
      <c r="H958" s="10" t="s">
        <v>69</v>
      </c>
      <c r="I958" s="10" t="s">
        <v>65</v>
      </c>
    </row>
    <row r="959" spans="1:9" x14ac:dyDescent="0.25">
      <c r="A959" s="11" t="s">
        <v>1043</v>
      </c>
      <c r="B959" s="12">
        <v>45823</v>
      </c>
      <c r="C959" s="11" t="s">
        <v>59</v>
      </c>
      <c r="D959" s="11" t="s">
        <v>76</v>
      </c>
      <c r="E959" s="13">
        <v>6</v>
      </c>
      <c r="F959" s="14">
        <v>0.05</v>
      </c>
      <c r="G959" s="15" t="s">
        <v>68</v>
      </c>
      <c r="H959" s="15" t="s">
        <v>69</v>
      </c>
      <c r="I959" s="15" t="s">
        <v>73</v>
      </c>
    </row>
    <row r="960" spans="1:9" x14ac:dyDescent="0.25">
      <c r="A960" s="6" t="s">
        <v>1044</v>
      </c>
      <c r="B960" s="7">
        <v>45743</v>
      </c>
      <c r="C960" s="6" t="s">
        <v>75</v>
      </c>
      <c r="D960" s="6" t="s">
        <v>76</v>
      </c>
      <c r="E960" s="8">
        <v>16</v>
      </c>
      <c r="F960" s="9">
        <v>0.05</v>
      </c>
      <c r="G960" s="10" t="s">
        <v>64</v>
      </c>
      <c r="H960" s="10" t="s">
        <v>83</v>
      </c>
      <c r="I960" s="10" t="s">
        <v>77</v>
      </c>
    </row>
    <row r="961" spans="1:9" x14ac:dyDescent="0.25">
      <c r="A961" s="11" t="s">
        <v>1045</v>
      </c>
      <c r="B961" s="12">
        <v>45932</v>
      </c>
      <c r="C961" s="11" t="s">
        <v>75</v>
      </c>
      <c r="D961" s="11" t="s">
        <v>88</v>
      </c>
      <c r="E961" s="13">
        <v>5</v>
      </c>
      <c r="F961" s="14">
        <v>0</v>
      </c>
      <c r="G961" s="15" t="s">
        <v>68</v>
      </c>
      <c r="H961" s="15" t="s">
        <v>83</v>
      </c>
      <c r="I961" s="15" t="s">
        <v>65</v>
      </c>
    </row>
    <row r="962" spans="1:9" x14ac:dyDescent="0.25">
      <c r="A962" s="6" t="s">
        <v>1046</v>
      </c>
      <c r="B962" s="7">
        <v>45773</v>
      </c>
      <c r="C962" s="6" t="s">
        <v>59</v>
      </c>
      <c r="D962" s="6" t="s">
        <v>76</v>
      </c>
      <c r="E962" s="8">
        <v>30</v>
      </c>
      <c r="F962" s="9">
        <v>0.2</v>
      </c>
      <c r="G962" s="10" t="s">
        <v>61</v>
      </c>
      <c r="H962" s="10" t="s">
        <v>83</v>
      </c>
      <c r="I962" s="10" t="s">
        <v>73</v>
      </c>
    </row>
    <row r="963" spans="1:9" x14ac:dyDescent="0.25">
      <c r="A963" s="11" t="s">
        <v>1047</v>
      </c>
      <c r="B963" s="12">
        <v>45797</v>
      </c>
      <c r="C963" s="11" t="s">
        <v>105</v>
      </c>
      <c r="D963" s="11" t="s">
        <v>54</v>
      </c>
      <c r="E963" s="13">
        <v>7</v>
      </c>
      <c r="F963" s="14">
        <v>0.05</v>
      </c>
      <c r="G963" s="15" t="s">
        <v>68</v>
      </c>
      <c r="H963" s="15" t="s">
        <v>56</v>
      </c>
      <c r="I963" s="15" t="s">
        <v>73</v>
      </c>
    </row>
    <row r="964" spans="1:9" x14ac:dyDescent="0.25">
      <c r="A964" s="6" t="s">
        <v>1048</v>
      </c>
      <c r="B964" s="7">
        <v>45916</v>
      </c>
      <c r="C964" s="6" t="s">
        <v>75</v>
      </c>
      <c r="D964" s="6" t="s">
        <v>72</v>
      </c>
      <c r="E964" s="8">
        <v>7</v>
      </c>
      <c r="F964" s="9">
        <v>0.2</v>
      </c>
      <c r="G964" s="10" t="s">
        <v>68</v>
      </c>
      <c r="H964" s="10" t="s">
        <v>56</v>
      </c>
      <c r="I964" s="10" t="s">
        <v>65</v>
      </c>
    </row>
    <row r="965" spans="1:9" x14ac:dyDescent="0.25">
      <c r="A965" s="11" t="s">
        <v>1049</v>
      </c>
      <c r="B965" s="12">
        <v>45863</v>
      </c>
      <c r="C965" s="11" t="s">
        <v>105</v>
      </c>
      <c r="D965" s="11" t="s">
        <v>67</v>
      </c>
      <c r="E965" s="13">
        <v>11</v>
      </c>
      <c r="F965" s="14">
        <v>0.2</v>
      </c>
      <c r="G965" s="15" t="s">
        <v>55</v>
      </c>
      <c r="H965" s="15" t="s">
        <v>56</v>
      </c>
      <c r="I965" s="15" t="s">
        <v>57</v>
      </c>
    </row>
    <row r="966" spans="1:9" x14ac:dyDescent="0.25">
      <c r="A966" s="6" t="s">
        <v>1050</v>
      </c>
      <c r="B966" s="7">
        <v>45953</v>
      </c>
      <c r="C966" s="6" t="s">
        <v>80</v>
      </c>
      <c r="D966" s="6" t="s">
        <v>96</v>
      </c>
      <c r="E966" s="8">
        <v>11</v>
      </c>
      <c r="F966" s="9">
        <v>0.15</v>
      </c>
      <c r="G966" s="10" t="s">
        <v>68</v>
      </c>
      <c r="H966" s="10" t="s">
        <v>83</v>
      </c>
      <c r="I966" s="10" t="s">
        <v>65</v>
      </c>
    </row>
    <row r="967" spans="1:9" x14ac:dyDescent="0.25">
      <c r="A967" s="11" t="s">
        <v>1051</v>
      </c>
      <c r="B967" s="12">
        <v>45947</v>
      </c>
      <c r="C967" s="11" t="s">
        <v>53</v>
      </c>
      <c r="D967" s="11" t="s">
        <v>85</v>
      </c>
      <c r="E967" s="13">
        <v>9</v>
      </c>
      <c r="F967" s="14">
        <v>0.1</v>
      </c>
      <c r="G967" s="15" t="s">
        <v>64</v>
      </c>
      <c r="H967" s="15" t="s">
        <v>56</v>
      </c>
      <c r="I967" s="15" t="s">
        <v>57</v>
      </c>
    </row>
    <row r="968" spans="1:9" x14ac:dyDescent="0.25">
      <c r="A968" s="6" t="s">
        <v>1052</v>
      </c>
      <c r="B968" s="7">
        <v>45735</v>
      </c>
      <c r="C968" s="6" t="s">
        <v>75</v>
      </c>
      <c r="D968" s="6" t="s">
        <v>85</v>
      </c>
      <c r="E968" s="8">
        <v>16</v>
      </c>
      <c r="F968" s="9">
        <v>0.1</v>
      </c>
      <c r="G968" s="10" t="s">
        <v>61</v>
      </c>
      <c r="H968" s="10" t="s">
        <v>83</v>
      </c>
      <c r="I968" s="10" t="s">
        <v>57</v>
      </c>
    </row>
    <row r="969" spans="1:9" x14ac:dyDescent="0.25">
      <c r="A969" s="11" t="s">
        <v>1053</v>
      </c>
      <c r="B969" s="12">
        <v>45869</v>
      </c>
      <c r="C969" s="11" t="s">
        <v>75</v>
      </c>
      <c r="D969" s="11" t="s">
        <v>67</v>
      </c>
      <c r="E969" s="13">
        <v>11</v>
      </c>
      <c r="F969" s="14">
        <v>0.05</v>
      </c>
      <c r="G969" s="15" t="s">
        <v>68</v>
      </c>
      <c r="H969" s="15" t="s">
        <v>83</v>
      </c>
      <c r="I969" s="15" t="s">
        <v>57</v>
      </c>
    </row>
    <row r="970" spans="1:9" x14ac:dyDescent="0.25">
      <c r="A970" s="6" t="s">
        <v>1054</v>
      </c>
      <c r="B970" s="7">
        <v>45865</v>
      </c>
      <c r="C970" s="6" t="s">
        <v>59</v>
      </c>
      <c r="D970" s="6" t="s">
        <v>88</v>
      </c>
      <c r="E970" s="8">
        <v>3</v>
      </c>
      <c r="F970" s="9">
        <v>0.05</v>
      </c>
      <c r="G970" s="10" t="s">
        <v>61</v>
      </c>
      <c r="H970" s="10" t="s">
        <v>56</v>
      </c>
      <c r="I970" s="10" t="s">
        <v>73</v>
      </c>
    </row>
    <row r="971" spans="1:9" x14ac:dyDescent="0.25">
      <c r="A971" s="11" t="s">
        <v>1055</v>
      </c>
      <c r="B971" s="12">
        <v>45895</v>
      </c>
      <c r="C971" s="11" t="s">
        <v>116</v>
      </c>
      <c r="D971" s="11" t="s">
        <v>96</v>
      </c>
      <c r="E971" s="13">
        <v>7</v>
      </c>
      <c r="F971" s="14">
        <v>0</v>
      </c>
      <c r="G971" s="15" t="s">
        <v>55</v>
      </c>
      <c r="H971" s="15" t="s">
        <v>56</v>
      </c>
      <c r="I971" s="15" t="s">
        <v>73</v>
      </c>
    </row>
    <row r="972" spans="1:9" x14ac:dyDescent="0.25">
      <c r="A972" s="6" t="s">
        <v>1056</v>
      </c>
      <c r="B972" s="7">
        <v>45727</v>
      </c>
      <c r="C972" s="6" t="s">
        <v>75</v>
      </c>
      <c r="D972" s="6" t="s">
        <v>120</v>
      </c>
      <c r="E972" s="8">
        <v>5</v>
      </c>
      <c r="F972" s="9">
        <v>0.2</v>
      </c>
      <c r="G972" s="10" t="s">
        <v>55</v>
      </c>
      <c r="H972" s="10" t="s">
        <v>83</v>
      </c>
      <c r="I972" s="10" t="s">
        <v>77</v>
      </c>
    </row>
    <row r="973" spans="1:9" x14ac:dyDescent="0.25">
      <c r="A973" s="11" t="s">
        <v>1057</v>
      </c>
      <c r="B973" s="12">
        <v>45906</v>
      </c>
      <c r="C973" s="11" t="s">
        <v>53</v>
      </c>
      <c r="D973" s="11" t="s">
        <v>72</v>
      </c>
      <c r="E973" s="13">
        <v>1</v>
      </c>
      <c r="F973" s="14">
        <v>0</v>
      </c>
      <c r="G973" s="15" t="s">
        <v>68</v>
      </c>
      <c r="H973" s="15" t="s">
        <v>83</v>
      </c>
      <c r="I973" s="15" t="s">
        <v>73</v>
      </c>
    </row>
    <row r="974" spans="1:9" x14ac:dyDescent="0.25">
      <c r="A974" s="6" t="s">
        <v>1058</v>
      </c>
      <c r="B974" s="7">
        <v>45690</v>
      </c>
      <c r="C974" s="6" t="s">
        <v>116</v>
      </c>
      <c r="D974" s="6" t="s">
        <v>103</v>
      </c>
      <c r="E974" s="8">
        <v>6</v>
      </c>
      <c r="F974" s="9">
        <v>0</v>
      </c>
      <c r="G974" s="10" t="s">
        <v>64</v>
      </c>
      <c r="H974" s="10" t="s">
        <v>83</v>
      </c>
      <c r="I974" s="10" t="s">
        <v>57</v>
      </c>
    </row>
    <row r="975" spans="1:9" x14ac:dyDescent="0.25">
      <c r="A975" s="11" t="s">
        <v>1059</v>
      </c>
      <c r="B975" s="12">
        <v>45778</v>
      </c>
      <c r="C975" s="11" t="s">
        <v>59</v>
      </c>
      <c r="D975" s="11" t="s">
        <v>54</v>
      </c>
      <c r="E975" s="13">
        <v>9</v>
      </c>
      <c r="F975" s="14">
        <v>0.2</v>
      </c>
      <c r="G975" s="15" t="s">
        <v>68</v>
      </c>
      <c r="H975" s="15" t="s">
        <v>69</v>
      </c>
      <c r="I975" s="15" t="s">
        <v>77</v>
      </c>
    </row>
    <row r="976" spans="1:9" x14ac:dyDescent="0.25">
      <c r="A976" s="6" t="s">
        <v>1060</v>
      </c>
      <c r="B976" s="7">
        <v>45779</v>
      </c>
      <c r="C976" s="6" t="s">
        <v>59</v>
      </c>
      <c r="D976" s="6" t="s">
        <v>76</v>
      </c>
      <c r="E976" s="8">
        <v>13</v>
      </c>
      <c r="F976" s="9">
        <v>0.2</v>
      </c>
      <c r="G976" s="10" t="s">
        <v>64</v>
      </c>
      <c r="H976" s="10" t="s">
        <v>83</v>
      </c>
      <c r="I976" s="10" t="s">
        <v>57</v>
      </c>
    </row>
    <row r="977" spans="1:9" x14ac:dyDescent="0.25">
      <c r="A977" s="11" t="s">
        <v>1061</v>
      </c>
      <c r="B977" s="12">
        <v>45874</v>
      </c>
      <c r="C977" s="11" t="s">
        <v>90</v>
      </c>
      <c r="D977" s="11" t="s">
        <v>88</v>
      </c>
      <c r="E977" s="13">
        <v>2</v>
      </c>
      <c r="F977" s="14">
        <v>0.05</v>
      </c>
      <c r="G977" s="15" t="s">
        <v>55</v>
      </c>
      <c r="H977" s="15" t="s">
        <v>69</v>
      </c>
      <c r="I977" s="15" t="s">
        <v>65</v>
      </c>
    </row>
    <row r="978" spans="1:9" x14ac:dyDescent="0.25">
      <c r="A978" s="6" t="s">
        <v>1062</v>
      </c>
      <c r="B978" s="7">
        <v>45867</v>
      </c>
      <c r="C978" s="6" t="s">
        <v>53</v>
      </c>
      <c r="D978" s="6" t="s">
        <v>67</v>
      </c>
      <c r="E978" s="8">
        <v>8</v>
      </c>
      <c r="F978" s="9">
        <v>0.2</v>
      </c>
      <c r="G978" s="10" t="s">
        <v>68</v>
      </c>
      <c r="H978" s="10" t="s">
        <v>83</v>
      </c>
      <c r="I978" s="10" t="s">
        <v>77</v>
      </c>
    </row>
    <row r="979" spans="1:9" x14ac:dyDescent="0.25">
      <c r="A979" s="11" t="s">
        <v>1063</v>
      </c>
      <c r="B979" s="12">
        <v>45820</v>
      </c>
      <c r="C979" s="11" t="s">
        <v>116</v>
      </c>
      <c r="D979" s="11" t="s">
        <v>63</v>
      </c>
      <c r="E979" s="13">
        <v>24</v>
      </c>
      <c r="F979" s="14">
        <v>0.05</v>
      </c>
      <c r="G979" s="15" t="s">
        <v>68</v>
      </c>
      <c r="H979" s="15" t="s">
        <v>56</v>
      </c>
      <c r="I979" s="15" t="s">
        <v>73</v>
      </c>
    </row>
    <row r="980" spans="1:9" x14ac:dyDescent="0.25">
      <c r="A980" s="6" t="s">
        <v>1064</v>
      </c>
      <c r="B980" s="7">
        <v>45901</v>
      </c>
      <c r="C980" s="6" t="s">
        <v>71</v>
      </c>
      <c r="D980" s="6" t="s">
        <v>85</v>
      </c>
      <c r="E980" s="8">
        <v>3</v>
      </c>
      <c r="F980" s="9">
        <v>0.2</v>
      </c>
      <c r="G980" s="10" t="s">
        <v>61</v>
      </c>
      <c r="H980" s="10" t="s">
        <v>83</v>
      </c>
      <c r="I980" s="10" t="s">
        <v>77</v>
      </c>
    </row>
    <row r="981" spans="1:9" x14ac:dyDescent="0.25">
      <c r="A981" s="11" t="s">
        <v>1065</v>
      </c>
      <c r="B981" s="12">
        <v>46011</v>
      </c>
      <c r="C981" s="11" t="s">
        <v>80</v>
      </c>
      <c r="D981" s="11" t="s">
        <v>103</v>
      </c>
      <c r="E981" s="13">
        <v>5</v>
      </c>
      <c r="F981" s="14">
        <v>0.2</v>
      </c>
      <c r="G981" s="15" t="s">
        <v>64</v>
      </c>
      <c r="H981" s="15" t="s">
        <v>69</v>
      </c>
      <c r="I981" s="15" t="s">
        <v>73</v>
      </c>
    </row>
    <row r="982" spans="1:9" x14ac:dyDescent="0.25">
      <c r="A982" s="6" t="s">
        <v>1066</v>
      </c>
      <c r="B982" s="7">
        <v>46008</v>
      </c>
      <c r="C982" s="6" t="s">
        <v>80</v>
      </c>
      <c r="D982" s="6" t="s">
        <v>54</v>
      </c>
      <c r="E982" s="8">
        <v>8</v>
      </c>
      <c r="F982" s="9">
        <v>0.15</v>
      </c>
      <c r="G982" s="10" t="s">
        <v>61</v>
      </c>
      <c r="H982" s="10" t="s">
        <v>69</v>
      </c>
      <c r="I982" s="10" t="s">
        <v>73</v>
      </c>
    </row>
    <row r="983" spans="1:9" x14ac:dyDescent="0.25">
      <c r="A983" s="11" t="s">
        <v>1067</v>
      </c>
      <c r="B983" s="12">
        <v>45812</v>
      </c>
      <c r="C983" s="11" t="s">
        <v>80</v>
      </c>
      <c r="D983" s="11" t="s">
        <v>54</v>
      </c>
      <c r="E983" s="13">
        <v>5</v>
      </c>
      <c r="F983" s="14">
        <v>0.05</v>
      </c>
      <c r="G983" s="15" t="s">
        <v>55</v>
      </c>
      <c r="H983" s="15" t="s">
        <v>69</v>
      </c>
      <c r="I983" s="15" t="s">
        <v>73</v>
      </c>
    </row>
    <row r="984" spans="1:9" x14ac:dyDescent="0.25">
      <c r="A984" s="6" t="s">
        <v>1068</v>
      </c>
      <c r="B984" s="7">
        <v>45987</v>
      </c>
      <c r="C984" s="6" t="s">
        <v>53</v>
      </c>
      <c r="D984" s="6" t="s">
        <v>92</v>
      </c>
      <c r="E984" s="8">
        <v>5</v>
      </c>
      <c r="F984" s="9">
        <v>0</v>
      </c>
      <c r="G984" s="10" t="s">
        <v>64</v>
      </c>
      <c r="H984" s="10" t="s">
        <v>69</v>
      </c>
      <c r="I984" s="10" t="s">
        <v>65</v>
      </c>
    </row>
    <row r="985" spans="1:9" x14ac:dyDescent="0.25">
      <c r="A985" s="11" t="s">
        <v>1069</v>
      </c>
      <c r="B985" s="12">
        <v>45828</v>
      </c>
      <c r="C985" s="11" t="s">
        <v>116</v>
      </c>
      <c r="D985" s="11" t="s">
        <v>85</v>
      </c>
      <c r="E985" s="13">
        <v>29</v>
      </c>
      <c r="F985" s="14">
        <v>0.05</v>
      </c>
      <c r="G985" s="15" t="s">
        <v>68</v>
      </c>
      <c r="H985" s="15" t="s">
        <v>83</v>
      </c>
      <c r="I985" s="15" t="s">
        <v>77</v>
      </c>
    </row>
    <row r="986" spans="1:9" x14ac:dyDescent="0.25">
      <c r="A986" s="6" t="s">
        <v>1070</v>
      </c>
      <c r="B986" s="7">
        <v>45838</v>
      </c>
      <c r="C986" s="6" t="s">
        <v>71</v>
      </c>
      <c r="D986" s="6" t="s">
        <v>92</v>
      </c>
      <c r="E986" s="8">
        <v>8</v>
      </c>
      <c r="F986" s="9">
        <v>0</v>
      </c>
      <c r="G986" s="10" t="s">
        <v>61</v>
      </c>
      <c r="H986" s="10" t="s">
        <v>83</v>
      </c>
      <c r="I986" s="10" t="s">
        <v>57</v>
      </c>
    </row>
    <row r="987" spans="1:9" x14ac:dyDescent="0.25">
      <c r="A987" s="11" t="s">
        <v>1071</v>
      </c>
      <c r="B987" s="12">
        <v>45980</v>
      </c>
      <c r="C987" s="11" t="s">
        <v>90</v>
      </c>
      <c r="D987" s="11" t="s">
        <v>96</v>
      </c>
      <c r="E987" s="13">
        <v>1</v>
      </c>
      <c r="F987" s="14">
        <v>0.15</v>
      </c>
      <c r="G987" s="15" t="s">
        <v>55</v>
      </c>
      <c r="H987" s="15" t="s">
        <v>83</v>
      </c>
      <c r="I987" s="15" t="s">
        <v>73</v>
      </c>
    </row>
    <row r="988" spans="1:9" x14ac:dyDescent="0.25">
      <c r="A988" s="6" t="s">
        <v>1072</v>
      </c>
      <c r="B988" s="7">
        <v>45818</v>
      </c>
      <c r="C988" s="6" t="s">
        <v>59</v>
      </c>
      <c r="D988" s="6" t="s">
        <v>76</v>
      </c>
      <c r="E988" s="8">
        <v>8</v>
      </c>
      <c r="F988" s="9">
        <v>0.05</v>
      </c>
      <c r="G988" s="10" t="s">
        <v>55</v>
      </c>
      <c r="H988" s="10" t="s">
        <v>83</v>
      </c>
      <c r="I988" s="10" t="s">
        <v>65</v>
      </c>
    </row>
    <row r="989" spans="1:9" x14ac:dyDescent="0.25">
      <c r="A989" s="11" t="s">
        <v>1073</v>
      </c>
      <c r="B989" s="12">
        <v>45821</v>
      </c>
      <c r="C989" s="11" t="s">
        <v>105</v>
      </c>
      <c r="D989" s="11" t="s">
        <v>96</v>
      </c>
      <c r="E989" s="13">
        <v>12</v>
      </c>
      <c r="F989" s="14">
        <v>0.05</v>
      </c>
      <c r="G989" s="15" t="s">
        <v>68</v>
      </c>
      <c r="H989" s="15" t="s">
        <v>56</v>
      </c>
      <c r="I989" s="15" t="s">
        <v>73</v>
      </c>
    </row>
    <row r="990" spans="1:9" x14ac:dyDescent="0.25">
      <c r="A990" s="6" t="s">
        <v>1074</v>
      </c>
      <c r="B990" s="7">
        <v>45802</v>
      </c>
      <c r="C990" s="6" t="s">
        <v>59</v>
      </c>
      <c r="D990" s="6" t="s">
        <v>88</v>
      </c>
      <c r="E990" s="8">
        <v>7</v>
      </c>
      <c r="F990" s="9">
        <v>0.1</v>
      </c>
      <c r="G990" s="10" t="s">
        <v>55</v>
      </c>
      <c r="H990" s="10" t="s">
        <v>69</v>
      </c>
      <c r="I990" s="10" t="s">
        <v>65</v>
      </c>
    </row>
    <row r="991" spans="1:9" x14ac:dyDescent="0.25">
      <c r="A991" s="11" t="s">
        <v>1075</v>
      </c>
      <c r="B991" s="12">
        <v>45950</v>
      </c>
      <c r="C991" s="11" t="s">
        <v>53</v>
      </c>
      <c r="D991" s="11" t="s">
        <v>88</v>
      </c>
      <c r="E991" s="13">
        <v>1</v>
      </c>
      <c r="F991" s="14">
        <v>0.2</v>
      </c>
      <c r="G991" s="15" t="s">
        <v>55</v>
      </c>
      <c r="H991" s="15" t="s">
        <v>56</v>
      </c>
      <c r="I991" s="15" t="s">
        <v>65</v>
      </c>
    </row>
    <row r="992" spans="1:9" x14ac:dyDescent="0.25">
      <c r="A992" s="6" t="s">
        <v>1076</v>
      </c>
      <c r="B992" s="7">
        <v>45759</v>
      </c>
      <c r="C992" s="6" t="s">
        <v>90</v>
      </c>
      <c r="D992" s="6" t="s">
        <v>67</v>
      </c>
      <c r="E992" s="8">
        <v>1</v>
      </c>
      <c r="F992" s="9">
        <v>0.15</v>
      </c>
      <c r="G992" s="10" t="s">
        <v>64</v>
      </c>
      <c r="H992" s="10" t="s">
        <v>83</v>
      </c>
      <c r="I992" s="10" t="s">
        <v>73</v>
      </c>
    </row>
    <row r="993" spans="1:9" x14ac:dyDescent="0.25">
      <c r="A993" s="11" t="s">
        <v>1077</v>
      </c>
      <c r="B993" s="12">
        <v>45734</v>
      </c>
      <c r="C993" s="11" t="s">
        <v>71</v>
      </c>
      <c r="D993" s="11" t="s">
        <v>54</v>
      </c>
      <c r="E993" s="13">
        <v>3</v>
      </c>
      <c r="F993" s="14">
        <v>0.2</v>
      </c>
      <c r="G993" s="15" t="s">
        <v>61</v>
      </c>
      <c r="H993" s="15" t="s">
        <v>56</v>
      </c>
      <c r="I993" s="15" t="s">
        <v>65</v>
      </c>
    </row>
    <row r="994" spans="1:9" x14ac:dyDescent="0.25">
      <c r="A994" s="6" t="s">
        <v>1078</v>
      </c>
      <c r="B994" s="7">
        <v>45890</v>
      </c>
      <c r="C994" s="6" t="s">
        <v>105</v>
      </c>
      <c r="D994" s="6" t="s">
        <v>111</v>
      </c>
      <c r="E994" s="8">
        <v>2</v>
      </c>
      <c r="F994" s="9">
        <v>0.05</v>
      </c>
      <c r="G994" s="10" t="s">
        <v>55</v>
      </c>
      <c r="H994" s="10" t="s">
        <v>56</v>
      </c>
      <c r="I994" s="10" t="s">
        <v>73</v>
      </c>
    </row>
    <row r="995" spans="1:9" x14ac:dyDescent="0.25">
      <c r="A995" s="11" t="s">
        <v>1079</v>
      </c>
      <c r="B995" s="12">
        <v>45805</v>
      </c>
      <c r="C995" s="11" t="s">
        <v>105</v>
      </c>
      <c r="D995" s="11" t="s">
        <v>85</v>
      </c>
      <c r="E995" s="13">
        <v>7</v>
      </c>
      <c r="F995" s="14">
        <v>0.15</v>
      </c>
      <c r="G995" s="15" t="s">
        <v>55</v>
      </c>
      <c r="H995" s="15" t="s">
        <v>83</v>
      </c>
      <c r="I995" s="15" t="s">
        <v>57</v>
      </c>
    </row>
    <row r="996" spans="1:9" x14ac:dyDescent="0.25">
      <c r="A996" s="6" t="s">
        <v>1080</v>
      </c>
      <c r="B996" s="7">
        <v>45802</v>
      </c>
      <c r="C996" s="6" t="s">
        <v>80</v>
      </c>
      <c r="D996" s="6" t="s">
        <v>85</v>
      </c>
      <c r="E996" s="8">
        <v>8</v>
      </c>
      <c r="F996" s="9">
        <v>0.15</v>
      </c>
      <c r="G996" s="10" t="s">
        <v>55</v>
      </c>
      <c r="H996" s="10" t="s">
        <v>56</v>
      </c>
      <c r="I996" s="10" t="s">
        <v>73</v>
      </c>
    </row>
    <row r="997" spans="1:9" x14ac:dyDescent="0.25">
      <c r="A997" s="11" t="s">
        <v>1081</v>
      </c>
      <c r="B997" s="12">
        <v>45792</v>
      </c>
      <c r="C997" s="11" t="s">
        <v>105</v>
      </c>
      <c r="D997" s="11" t="s">
        <v>88</v>
      </c>
      <c r="E997" s="13">
        <v>4</v>
      </c>
      <c r="F997" s="14">
        <v>0.1</v>
      </c>
      <c r="G997" s="15" t="s">
        <v>64</v>
      </c>
      <c r="H997" s="15" t="s">
        <v>56</v>
      </c>
      <c r="I997" s="15" t="s">
        <v>77</v>
      </c>
    </row>
    <row r="998" spans="1:9" x14ac:dyDescent="0.25">
      <c r="A998" s="6" t="s">
        <v>1082</v>
      </c>
      <c r="B998" s="7">
        <v>45898</v>
      </c>
      <c r="C998" s="6" t="s">
        <v>71</v>
      </c>
      <c r="D998" s="6" t="s">
        <v>94</v>
      </c>
      <c r="E998" s="8">
        <v>12</v>
      </c>
      <c r="F998" s="9">
        <v>0.15</v>
      </c>
      <c r="G998" s="10" t="s">
        <v>55</v>
      </c>
      <c r="H998" s="10" t="s">
        <v>83</v>
      </c>
      <c r="I998" s="10" t="s">
        <v>65</v>
      </c>
    </row>
    <row r="999" spans="1:9" x14ac:dyDescent="0.25">
      <c r="A999" s="11" t="s">
        <v>1083</v>
      </c>
      <c r="B999" s="12">
        <v>46020</v>
      </c>
      <c r="C999" s="11" t="s">
        <v>75</v>
      </c>
      <c r="D999" s="11" t="s">
        <v>92</v>
      </c>
      <c r="E999" s="13">
        <v>2</v>
      </c>
      <c r="F999" s="14">
        <v>0</v>
      </c>
      <c r="G999" s="15" t="s">
        <v>61</v>
      </c>
      <c r="H999" s="15" t="s">
        <v>56</v>
      </c>
      <c r="I999" s="15" t="s">
        <v>73</v>
      </c>
    </row>
    <row r="1000" spans="1:9" x14ac:dyDescent="0.25">
      <c r="A1000" s="6" t="s">
        <v>1084</v>
      </c>
      <c r="B1000" s="7">
        <v>45778</v>
      </c>
      <c r="C1000" s="6" t="s">
        <v>71</v>
      </c>
      <c r="D1000" s="6" t="s">
        <v>96</v>
      </c>
      <c r="E1000" s="8">
        <v>10</v>
      </c>
      <c r="F1000" s="9">
        <v>0.2</v>
      </c>
      <c r="G1000" s="10" t="s">
        <v>61</v>
      </c>
      <c r="H1000" s="10" t="s">
        <v>56</v>
      </c>
      <c r="I1000" s="10" t="s">
        <v>73</v>
      </c>
    </row>
    <row r="1001" spans="1:9" x14ac:dyDescent="0.25">
      <c r="A1001" s="11" t="s">
        <v>1085</v>
      </c>
      <c r="B1001" s="12">
        <v>45916</v>
      </c>
      <c r="C1001" s="11" t="s">
        <v>116</v>
      </c>
      <c r="D1001" s="11" t="s">
        <v>76</v>
      </c>
      <c r="E1001" s="13">
        <v>15</v>
      </c>
      <c r="F1001" s="14">
        <v>0.1</v>
      </c>
      <c r="G1001" s="15" t="s">
        <v>55</v>
      </c>
      <c r="H1001" s="15" t="s">
        <v>83</v>
      </c>
      <c r="I1001" s="15" t="s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/>
  </sheetViews>
  <sheetFormatPr defaultRowHeight="15" x14ac:dyDescent="0.25"/>
  <cols>
    <col min="1" max="1" width="13" customWidth="1"/>
    <col min="2" max="2" width="30" customWidth="1"/>
    <col min="3" max="3" width="18" customWidth="1"/>
    <col min="4" max="5" width="13" customWidth="1"/>
  </cols>
  <sheetData>
    <row r="1" spans="1:5" x14ac:dyDescent="0.25">
      <c r="A1" s="5" t="s">
        <v>46</v>
      </c>
      <c r="B1" s="5" t="s">
        <v>1086</v>
      </c>
      <c r="C1" s="5" t="s">
        <v>1087</v>
      </c>
      <c r="D1" s="5" t="s">
        <v>1088</v>
      </c>
      <c r="E1" s="5" t="s">
        <v>1089</v>
      </c>
    </row>
    <row r="2" spans="1:5" x14ac:dyDescent="0.25">
      <c r="A2" s="6" t="s">
        <v>120</v>
      </c>
      <c r="B2" s="10" t="s">
        <v>1090</v>
      </c>
      <c r="C2" s="6" t="s">
        <v>1091</v>
      </c>
      <c r="D2" s="16">
        <v>8500000</v>
      </c>
      <c r="E2" s="16">
        <v>7200000</v>
      </c>
    </row>
    <row r="3" spans="1:5" x14ac:dyDescent="0.25">
      <c r="A3" s="6" t="s">
        <v>54</v>
      </c>
      <c r="B3" s="10" t="s">
        <v>1092</v>
      </c>
      <c r="C3" s="6" t="s">
        <v>1091</v>
      </c>
      <c r="D3" s="16">
        <v>250000</v>
      </c>
      <c r="E3" s="16">
        <v>160000</v>
      </c>
    </row>
    <row r="4" spans="1:5" x14ac:dyDescent="0.25">
      <c r="A4" s="6" t="s">
        <v>94</v>
      </c>
      <c r="B4" s="10" t="s">
        <v>1093</v>
      </c>
      <c r="C4" s="6" t="s">
        <v>1091</v>
      </c>
      <c r="D4" s="16">
        <v>750000</v>
      </c>
      <c r="E4" s="16">
        <v>520000</v>
      </c>
    </row>
    <row r="5" spans="1:5" x14ac:dyDescent="0.25">
      <c r="A5" s="6" t="s">
        <v>88</v>
      </c>
      <c r="B5" s="10" t="s">
        <v>1094</v>
      </c>
      <c r="C5" s="6" t="s">
        <v>1091</v>
      </c>
      <c r="D5" s="16">
        <v>1950000</v>
      </c>
      <c r="E5" s="16">
        <v>1500000</v>
      </c>
    </row>
    <row r="6" spans="1:5" x14ac:dyDescent="0.25">
      <c r="A6" s="6" t="s">
        <v>67</v>
      </c>
      <c r="B6" s="10" t="s">
        <v>1095</v>
      </c>
      <c r="C6" s="6" t="s">
        <v>1096</v>
      </c>
      <c r="D6" s="16">
        <v>320000</v>
      </c>
      <c r="E6" s="16">
        <v>190000</v>
      </c>
    </row>
    <row r="7" spans="1:5" x14ac:dyDescent="0.25">
      <c r="A7" s="6" t="s">
        <v>82</v>
      </c>
      <c r="B7" s="10" t="s">
        <v>1097</v>
      </c>
      <c r="C7" s="6" t="s">
        <v>1096</v>
      </c>
      <c r="D7" s="16">
        <v>280000</v>
      </c>
      <c r="E7" s="16">
        <v>175000</v>
      </c>
    </row>
    <row r="8" spans="1:5" x14ac:dyDescent="0.25">
      <c r="A8" s="6" t="s">
        <v>92</v>
      </c>
      <c r="B8" s="10" t="s">
        <v>1098</v>
      </c>
      <c r="C8" s="6" t="s">
        <v>1096</v>
      </c>
      <c r="D8" s="16">
        <v>350000</v>
      </c>
      <c r="E8" s="16">
        <v>220000</v>
      </c>
    </row>
    <row r="9" spans="1:5" x14ac:dyDescent="0.25">
      <c r="A9" s="6" t="s">
        <v>96</v>
      </c>
      <c r="B9" s="10" t="s">
        <v>1099</v>
      </c>
      <c r="C9" s="6" t="s">
        <v>1096</v>
      </c>
      <c r="D9" s="16">
        <v>450000</v>
      </c>
      <c r="E9" s="16">
        <v>290000</v>
      </c>
    </row>
    <row r="10" spans="1:5" x14ac:dyDescent="0.25">
      <c r="A10" s="6" t="s">
        <v>63</v>
      </c>
      <c r="B10" s="10" t="s">
        <v>1100</v>
      </c>
      <c r="C10" s="6" t="s">
        <v>1101</v>
      </c>
      <c r="D10" s="16">
        <v>85000</v>
      </c>
      <c r="E10" s="16">
        <v>55000</v>
      </c>
    </row>
    <row r="11" spans="1:5" x14ac:dyDescent="0.25">
      <c r="A11" s="6" t="s">
        <v>76</v>
      </c>
      <c r="B11" s="10" t="s">
        <v>1102</v>
      </c>
      <c r="C11" s="6" t="s">
        <v>1101</v>
      </c>
      <c r="D11" s="16">
        <v>36000</v>
      </c>
      <c r="E11" s="16">
        <v>31000</v>
      </c>
    </row>
    <row r="12" spans="1:5" x14ac:dyDescent="0.25">
      <c r="A12" s="6" t="s">
        <v>60</v>
      </c>
      <c r="B12" s="10" t="s">
        <v>1103</v>
      </c>
      <c r="C12" s="6" t="s">
        <v>1101</v>
      </c>
      <c r="D12" s="16">
        <v>74000</v>
      </c>
      <c r="E12" s="16">
        <v>65000</v>
      </c>
    </row>
    <row r="13" spans="1:5" x14ac:dyDescent="0.25">
      <c r="A13" s="6" t="s">
        <v>85</v>
      </c>
      <c r="B13" s="10" t="s">
        <v>1104</v>
      </c>
      <c r="C13" s="6" t="s">
        <v>1101</v>
      </c>
      <c r="D13" s="16">
        <v>22000</v>
      </c>
      <c r="E13" s="16">
        <v>18000</v>
      </c>
    </row>
    <row r="14" spans="1:5" x14ac:dyDescent="0.25">
      <c r="A14" s="6" t="s">
        <v>72</v>
      </c>
      <c r="B14" s="10" t="s">
        <v>1105</v>
      </c>
      <c r="C14" s="6" t="s">
        <v>1106</v>
      </c>
      <c r="D14" s="16">
        <v>210000</v>
      </c>
      <c r="E14" s="16">
        <v>140000</v>
      </c>
    </row>
    <row r="15" spans="1:5" x14ac:dyDescent="0.25">
      <c r="A15" s="6" t="s">
        <v>111</v>
      </c>
      <c r="B15" s="10" t="s">
        <v>1107</v>
      </c>
      <c r="C15" s="6" t="s">
        <v>1106</v>
      </c>
      <c r="D15" s="16">
        <v>340000</v>
      </c>
      <c r="E15" s="16">
        <v>240000</v>
      </c>
    </row>
    <row r="16" spans="1:5" x14ac:dyDescent="0.25">
      <c r="A16" s="6" t="s">
        <v>103</v>
      </c>
      <c r="B16" s="10" t="s">
        <v>1108</v>
      </c>
      <c r="C16" s="6" t="s">
        <v>1106</v>
      </c>
      <c r="D16" s="16">
        <v>165000</v>
      </c>
      <c r="E16" s="16">
        <v>105000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/>
  </sheetViews>
  <sheetFormatPr defaultRowHeight="15" x14ac:dyDescent="0.25"/>
  <cols>
    <col min="1" max="1" width="12" customWidth="1"/>
    <col min="2" max="2" width="17" customWidth="1"/>
    <col min="3" max="3" width="13" customWidth="1"/>
    <col min="4" max="4" width="12" customWidth="1"/>
  </cols>
  <sheetData>
    <row r="1" spans="1:4" x14ac:dyDescent="0.25">
      <c r="A1" s="5" t="s">
        <v>45</v>
      </c>
      <c r="B1" s="5" t="s">
        <v>1109</v>
      </c>
      <c r="C1" s="5" t="s">
        <v>1110</v>
      </c>
      <c r="D1" s="5" t="s">
        <v>1111</v>
      </c>
    </row>
    <row r="2" spans="1:4" x14ac:dyDescent="0.25">
      <c r="A2" s="6" t="s">
        <v>53</v>
      </c>
      <c r="B2" s="10" t="s">
        <v>1112</v>
      </c>
      <c r="C2" s="6" t="s">
        <v>1113</v>
      </c>
      <c r="D2" s="6" t="s">
        <v>1114</v>
      </c>
    </row>
    <row r="3" spans="1:4" x14ac:dyDescent="0.25">
      <c r="A3" s="6" t="s">
        <v>59</v>
      </c>
      <c r="B3" s="10" t="s">
        <v>1115</v>
      </c>
      <c r="C3" s="6" t="s">
        <v>1116</v>
      </c>
      <c r="D3" s="6" t="s">
        <v>1117</v>
      </c>
    </row>
    <row r="4" spans="1:4" x14ac:dyDescent="0.25">
      <c r="A4" s="6" t="s">
        <v>90</v>
      </c>
      <c r="B4" s="10" t="s">
        <v>1118</v>
      </c>
      <c r="C4" s="6" t="s">
        <v>1119</v>
      </c>
      <c r="D4" s="6" t="s">
        <v>1114</v>
      </c>
    </row>
    <row r="5" spans="1:4" x14ac:dyDescent="0.25">
      <c r="A5" s="6" t="s">
        <v>80</v>
      </c>
      <c r="B5" s="10" t="s">
        <v>1120</v>
      </c>
      <c r="C5" s="6" t="s">
        <v>1121</v>
      </c>
      <c r="D5" s="6" t="s">
        <v>1114</v>
      </c>
    </row>
    <row r="6" spans="1:4" x14ac:dyDescent="0.25">
      <c r="A6" s="6" t="s">
        <v>75</v>
      </c>
      <c r="B6" s="10" t="s">
        <v>1122</v>
      </c>
      <c r="C6" s="6" t="s">
        <v>1123</v>
      </c>
      <c r="D6" s="6" t="s">
        <v>1124</v>
      </c>
    </row>
    <row r="7" spans="1:4" x14ac:dyDescent="0.25">
      <c r="A7" s="6" t="s">
        <v>71</v>
      </c>
      <c r="B7" s="10" t="s">
        <v>1125</v>
      </c>
      <c r="C7" s="6" t="s">
        <v>1126</v>
      </c>
      <c r="D7" s="6" t="s">
        <v>1117</v>
      </c>
    </row>
    <row r="8" spans="1:4" x14ac:dyDescent="0.25">
      <c r="A8" s="6" t="s">
        <v>116</v>
      </c>
      <c r="B8" s="10" t="s">
        <v>1127</v>
      </c>
      <c r="C8" s="6" t="s">
        <v>1128</v>
      </c>
      <c r="D8" s="6" t="s">
        <v>1124</v>
      </c>
    </row>
    <row r="9" spans="1:4" x14ac:dyDescent="0.25">
      <c r="A9" s="6" t="s">
        <v>105</v>
      </c>
      <c r="B9" s="10" t="s">
        <v>1129</v>
      </c>
      <c r="C9" s="6" t="s">
        <v>1130</v>
      </c>
      <c r="D9" s="6" t="s">
        <v>1124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01"/>
  <sheetViews>
    <sheetView topLeftCell="B1" workbookViewId="0">
      <selection activeCell="J9" sqref="J9"/>
    </sheetView>
  </sheetViews>
  <sheetFormatPr defaultRowHeight="15" x14ac:dyDescent="0.25"/>
  <cols>
    <col min="1" max="1" width="9.140625" customWidth="1"/>
    <col min="2" max="2" width="6.5703125" bestFit="1" customWidth="1"/>
    <col min="3" max="3" width="17" customWidth="1"/>
    <col min="4" max="4" width="22" customWidth="1"/>
    <col min="5" max="5" width="14.5703125" bestFit="1" customWidth="1"/>
    <col min="6" max="7" width="12" customWidth="1"/>
    <col min="8" max="8" width="27.28515625" bestFit="1" customWidth="1"/>
    <col min="9" max="9" width="16.140625" bestFit="1" customWidth="1"/>
    <col min="10" max="11" width="13" customWidth="1"/>
    <col min="12" max="12" width="12" customWidth="1"/>
    <col min="13" max="13" width="16" customWidth="1"/>
    <col min="14" max="14" width="15" customWidth="1"/>
    <col min="15" max="15" width="18" customWidth="1"/>
    <col min="16" max="16" width="14" customWidth="1"/>
    <col min="17" max="17" width="14" bestFit="1" customWidth="1"/>
    <col min="18" max="18" width="15" customWidth="1"/>
  </cols>
  <sheetData>
    <row r="1" spans="1:18" x14ac:dyDescent="0.25">
      <c r="C1" s="17" t="s">
        <v>43</v>
      </c>
      <c r="D1" s="17" t="s">
        <v>44</v>
      </c>
      <c r="E1" s="17" t="s">
        <v>1109</v>
      </c>
      <c r="F1" s="17" t="s">
        <v>1111</v>
      </c>
      <c r="G1" s="17" t="s">
        <v>1110</v>
      </c>
      <c r="H1" s="17" t="s">
        <v>1086</v>
      </c>
      <c r="I1" s="17" t="s">
        <v>1087</v>
      </c>
      <c r="J1" s="18" t="s">
        <v>1088</v>
      </c>
      <c r="K1" s="18" t="s">
        <v>1089</v>
      </c>
      <c r="L1" s="17" t="s">
        <v>47</v>
      </c>
      <c r="M1" s="18" t="s">
        <v>1131</v>
      </c>
      <c r="N1" s="17" t="s">
        <v>48</v>
      </c>
      <c r="O1" s="18" t="s">
        <v>1132</v>
      </c>
      <c r="P1" s="18" t="s">
        <v>1133</v>
      </c>
      <c r="Q1" s="18" t="s">
        <v>1134</v>
      </c>
      <c r="R1" s="18" t="s">
        <v>1135</v>
      </c>
    </row>
    <row r="2" spans="1:18" x14ac:dyDescent="0.25">
      <c r="A2" t="str">
        <f>_xlfn.XLOOKUP(C2,Raw_Data_Transaksi!$A$1:$A$1001,Raw_Data_Transaksi!$D$1:$D$1001,,0)</f>
        <v>PRD-102</v>
      </c>
      <c r="B2" t="str">
        <f>_xlfn.XLOOKUP(C2,Raw_Data_Transaksi!$A$1:$A$1001,Raw_Data_Transaksi!$C$1:$C$1001,,0)</f>
        <v>SLS-01</v>
      </c>
      <c r="C2" s="6" t="s">
        <v>52</v>
      </c>
      <c r="D2" s="7">
        <v>45985</v>
      </c>
      <c r="E2" s="10" t="str">
        <f>VLOOKUP(B2,Master_Sales!$A$1:$D$9,2,FALSE)</f>
        <v>Andi Pratama</v>
      </c>
      <c r="F2" s="10" t="str">
        <f>INDEX(Master_Sales!$D$1:$D$9,MATCH(Lembar_Kerja_Analisis!B2,Master_Sales!$A$1:$A$9,0))</f>
        <v>Barat</v>
      </c>
      <c r="G2" s="10" t="str">
        <f>INDEX(Master_Sales!$C$1:$C$9,MATCH(Lembar_Kerja_Analisis!B2,Master_Sales!$A$1:$A$9,0))</f>
        <v>Jakarta</v>
      </c>
      <c r="H2" s="10" t="str">
        <f>VLOOKUP(A2,Master_Produk!$A$1:$E$16,2,FALSE)</f>
        <v>Wireless Mouse Ergonomic</v>
      </c>
      <c r="I2" s="10" t="str">
        <f>INDEX(Master_Produk!$C$1:$C$16,MATCH(Lembar_Kerja_Analisis!A2,Master_Produk!$A$1:$A$16,0))</f>
        <v>Elektronik</v>
      </c>
      <c r="J2" s="19">
        <f>_xlfn.XLOOKUP(A2,Master_Produk!$A$1:$A$16,Master_Produk!$D$1:$D$16,,0)</f>
        <v>250000</v>
      </c>
      <c r="K2" s="19">
        <f>INDEX(Master_Produk!$E$1:$E$16,MATCH(Lembar_Kerja_Analisis!A2,Master_Produk!$A$1:$A$16,0))</f>
        <v>160000</v>
      </c>
      <c r="L2" s="8">
        <v>12</v>
      </c>
      <c r="M2" s="19">
        <f>L2*J2</f>
        <v>3000000</v>
      </c>
      <c r="N2" s="9">
        <v>0.1</v>
      </c>
      <c r="O2" s="19">
        <f>M2*N2</f>
        <v>300000</v>
      </c>
      <c r="P2" s="19">
        <f>M2-O2</f>
        <v>2700000</v>
      </c>
      <c r="Q2" s="19">
        <f>L2*K2</f>
        <v>1920000</v>
      </c>
      <c r="R2" s="19">
        <f>P2-Q2</f>
        <v>780000</v>
      </c>
    </row>
    <row r="3" spans="1:18" x14ac:dyDescent="0.25">
      <c r="A3" t="str">
        <f>_xlfn.XLOOKUP(C3,Raw_Data_Transaksi!$A$1:$A$1001,Raw_Data_Transaksi!$D$1:$D$1001,,0)</f>
        <v>PRD-111</v>
      </c>
      <c r="B3" t="str">
        <f>_xlfn.XLOOKUP(C3,Raw_Data_Transaksi!$A$1:$A$1001,Raw_Data_Transaksi!$C$1:$C$1001,,0)</f>
        <v>SLS-02</v>
      </c>
      <c r="C3" s="6" t="s">
        <v>58</v>
      </c>
      <c r="D3" s="7">
        <v>45710</v>
      </c>
      <c r="E3" s="10" t="str">
        <f>VLOOKUP(B3,Master_Sales!$A$1:$D$9,2,FALSE)</f>
        <v>Budi Santoso</v>
      </c>
      <c r="F3" s="10" t="str">
        <f>INDEX(Master_Sales!$D$1:$D$9,MATCH(Lembar_Kerja_Analisis!B3,Master_Sales!$A$1:$A$9,0))</f>
        <v>Timur</v>
      </c>
      <c r="G3" s="10" t="str">
        <f>INDEX(Master_Sales!$C$1:$C$9,MATCH(Lembar_Kerja_Analisis!B3,Master_Sales!$A$1:$A$9,0))</f>
        <v>Surabaya</v>
      </c>
      <c r="H3" s="10" t="str">
        <f>VLOOKUP(A3,Master_Produk!$A$1:$E$16,2,FALSE)</f>
        <v>Beras Premium 5kg</v>
      </c>
      <c r="I3" s="10" t="str">
        <f>INDEX(Master_Produk!$C$1:$C$16,MATCH(Lembar_Kerja_Analisis!A3,Master_Produk!$A$1:$A$16,0))</f>
        <v>F&amp;B</v>
      </c>
      <c r="J3" s="19">
        <f>_xlfn.XLOOKUP(A3,Master_Produk!$A$1:$A$16,Master_Produk!$D$1:$D$16,,0)</f>
        <v>74000</v>
      </c>
      <c r="K3" s="19">
        <f>INDEX(Master_Produk!$E$1:$E$16,MATCH(Lembar_Kerja_Analisis!A3,Master_Produk!$A$1:$A$16,0))</f>
        <v>65000</v>
      </c>
      <c r="L3" s="8">
        <v>16</v>
      </c>
      <c r="M3" s="19">
        <f t="shared" ref="M3:M66" si="0">L3*J3</f>
        <v>1184000</v>
      </c>
      <c r="N3" s="9">
        <v>0</v>
      </c>
      <c r="O3" s="19">
        <f t="shared" ref="O3:O66" si="1">M3*N3</f>
        <v>0</v>
      </c>
      <c r="P3" s="19">
        <f t="shared" ref="P3:P66" si="2">M3-O3</f>
        <v>1184000</v>
      </c>
      <c r="Q3" s="19">
        <f t="shared" ref="Q3:Q66" si="3">L3*K3</f>
        <v>1040000</v>
      </c>
      <c r="R3" s="19">
        <f t="shared" ref="R3:R66" si="4">P3-Q3</f>
        <v>144000</v>
      </c>
    </row>
    <row r="4" spans="1:18" x14ac:dyDescent="0.25">
      <c r="A4" t="str">
        <f>_xlfn.XLOOKUP(C4,Raw_Data_Transaksi!$A$1:$A$1001,Raw_Data_Transaksi!$D$1:$D$1001,,0)</f>
        <v>PRD-109</v>
      </c>
      <c r="B4" t="str">
        <f>_xlfn.XLOOKUP(C4,Raw_Data_Transaksi!$A$1:$A$1001,Raw_Data_Transaksi!$C$1:$C$1001,,0)</f>
        <v>SLS-01</v>
      </c>
      <c r="C4" s="6" t="s">
        <v>62</v>
      </c>
      <c r="D4" s="7">
        <v>45777</v>
      </c>
      <c r="E4" s="10" t="str">
        <f>VLOOKUP(B4,Master_Sales!$A$1:$D$9,2,FALSE)</f>
        <v>Andi Pratama</v>
      </c>
      <c r="F4" s="10" t="str">
        <f>INDEX(Master_Sales!$D$1:$D$9,MATCH(Lembar_Kerja_Analisis!B4,Master_Sales!$A$1:$A$9,0))</f>
        <v>Barat</v>
      </c>
      <c r="G4" s="10" t="str">
        <f>INDEX(Master_Sales!$C$1:$C$9,MATCH(Lembar_Kerja_Analisis!B4,Master_Sales!$A$1:$A$9,0))</f>
        <v>Jakarta</v>
      </c>
      <c r="H4" s="10" t="str">
        <f>VLOOKUP(A4,Master_Produk!$A$1:$E$16,2,FALSE)</f>
        <v>Kopi Arabika Gayo 250g</v>
      </c>
      <c r="I4" s="10" t="str">
        <f>INDEX(Master_Produk!$C$1:$C$16,MATCH(Lembar_Kerja_Analisis!A4,Master_Produk!$A$1:$A$16,0))</f>
        <v>F&amp;B</v>
      </c>
      <c r="J4" s="19">
        <f>_xlfn.XLOOKUP(A4,Master_Produk!$A$1:$A$16,Master_Produk!$D$1:$D$16,,0)</f>
        <v>85000</v>
      </c>
      <c r="K4" s="19">
        <f>INDEX(Master_Produk!$E$1:$E$16,MATCH(Lembar_Kerja_Analisis!A4,Master_Produk!$A$1:$A$16,0))</f>
        <v>55000</v>
      </c>
      <c r="L4" s="8">
        <v>9</v>
      </c>
      <c r="M4" s="19">
        <f t="shared" si="0"/>
        <v>765000</v>
      </c>
      <c r="N4" s="9">
        <v>0.2</v>
      </c>
      <c r="O4" s="19">
        <f t="shared" si="1"/>
        <v>153000</v>
      </c>
      <c r="P4" s="19">
        <f t="shared" si="2"/>
        <v>612000</v>
      </c>
      <c r="Q4" s="19">
        <f t="shared" si="3"/>
        <v>495000</v>
      </c>
      <c r="R4" s="19">
        <f t="shared" si="4"/>
        <v>117000</v>
      </c>
    </row>
    <row r="5" spans="1:18" x14ac:dyDescent="0.25">
      <c r="A5" t="str">
        <f>_xlfn.XLOOKUP(C5,Raw_Data_Transaksi!$A$1:$A$1001,Raw_Data_Transaksi!$D$1:$D$1001,,0)</f>
        <v>PRD-105</v>
      </c>
      <c r="B5" t="str">
        <f>_xlfn.XLOOKUP(C5,Raw_Data_Transaksi!$A$1:$A$1001,Raw_Data_Transaksi!$C$1:$C$1001,,0)</f>
        <v>SLS-01</v>
      </c>
      <c r="C5" s="6" t="s">
        <v>66</v>
      </c>
      <c r="D5" s="7">
        <v>45959</v>
      </c>
      <c r="E5" s="10" t="str">
        <f>VLOOKUP(B5,Master_Sales!$A$1:$D$9,2,FALSE)</f>
        <v>Andi Pratama</v>
      </c>
      <c r="F5" s="10" t="str">
        <f>INDEX(Master_Sales!$D$1:$D$9,MATCH(Lembar_Kerja_Analisis!B5,Master_Sales!$A$1:$A$9,0))</f>
        <v>Barat</v>
      </c>
      <c r="G5" s="10" t="str">
        <f>INDEX(Master_Sales!$C$1:$C$9,MATCH(Lembar_Kerja_Analisis!B5,Master_Sales!$A$1:$A$9,0))</f>
        <v>Jakarta</v>
      </c>
      <c r="H5" s="10" t="str">
        <f>VLOOKUP(A5,Master_Produk!$A$1:$E$16,2,FALSE)</f>
        <v>Kemeja Batik Katun Premium</v>
      </c>
      <c r="I5" s="10" t="str">
        <f>INDEX(Master_Produk!$C$1:$C$16,MATCH(Lembar_Kerja_Analisis!A5,Master_Produk!$A$1:$A$16,0))</f>
        <v>Fashion</v>
      </c>
      <c r="J5" s="19">
        <f>_xlfn.XLOOKUP(A5,Master_Produk!$A$1:$A$16,Master_Produk!$D$1:$D$16,,0)</f>
        <v>320000</v>
      </c>
      <c r="K5" s="19">
        <f>INDEX(Master_Produk!$E$1:$E$16,MATCH(Lembar_Kerja_Analisis!A5,Master_Produk!$A$1:$A$16,0))</f>
        <v>190000</v>
      </c>
      <c r="L5" s="8">
        <v>3</v>
      </c>
      <c r="M5" s="19">
        <f t="shared" si="0"/>
        <v>960000</v>
      </c>
      <c r="N5" s="9">
        <v>0.15</v>
      </c>
      <c r="O5" s="19">
        <f t="shared" si="1"/>
        <v>144000</v>
      </c>
      <c r="P5" s="19">
        <f t="shared" si="2"/>
        <v>816000</v>
      </c>
      <c r="Q5" s="19">
        <f t="shared" si="3"/>
        <v>570000</v>
      </c>
      <c r="R5" s="19">
        <f t="shared" si="4"/>
        <v>246000</v>
      </c>
    </row>
    <row r="6" spans="1:18" x14ac:dyDescent="0.25">
      <c r="A6" t="str">
        <f>_xlfn.XLOOKUP(C6,Raw_Data_Transaksi!$A$1:$A$1001,Raw_Data_Transaksi!$D$1:$D$1001,,0)</f>
        <v>PRD-113</v>
      </c>
      <c r="B6" t="str">
        <f>_xlfn.XLOOKUP(C6,Raw_Data_Transaksi!$A$1:$A$1001,Raw_Data_Transaksi!$C$1:$C$1001,,0)</f>
        <v>SLS-06</v>
      </c>
      <c r="C6" s="6" t="s">
        <v>70</v>
      </c>
      <c r="D6" s="7">
        <v>45768</v>
      </c>
      <c r="E6" s="10" t="str">
        <f>VLOOKUP(B6,Master_Sales!$A$1:$D$9,2,FALSE)</f>
        <v>Fajar Nugraha</v>
      </c>
      <c r="F6" s="10" t="str">
        <f>INDEX(Master_Sales!$D$1:$D$9,MATCH(Lembar_Kerja_Analisis!B6,Master_Sales!$A$1:$A$9,0))</f>
        <v>Timur</v>
      </c>
      <c r="G6" s="10" t="str">
        <f>INDEX(Master_Sales!$C$1:$C$9,MATCH(Lembar_Kerja_Analisis!B6,Master_Sales!$A$1:$A$9,0))</f>
        <v>Makassar</v>
      </c>
      <c r="H6" s="10" t="str">
        <f>VLOOKUP(A6,Master_Produk!$A$1:$E$16,2,FALSE)</f>
        <v>Wajan Anti Lengket 28cm</v>
      </c>
      <c r="I6" s="10" t="str">
        <f>INDEX(Master_Produk!$C$1:$C$16,MATCH(Lembar_Kerja_Analisis!A6,Master_Produk!$A$1:$A$16,0))</f>
        <v>Peralatan Rumah</v>
      </c>
      <c r="J6" s="19">
        <f>_xlfn.XLOOKUP(A6,Master_Produk!$A$1:$A$16,Master_Produk!$D$1:$D$16,,0)</f>
        <v>210000</v>
      </c>
      <c r="K6" s="19">
        <f>INDEX(Master_Produk!$E$1:$E$16,MATCH(Lembar_Kerja_Analisis!A6,Master_Produk!$A$1:$A$16,0))</f>
        <v>140000</v>
      </c>
      <c r="L6" s="8">
        <v>2</v>
      </c>
      <c r="M6" s="19">
        <f t="shared" si="0"/>
        <v>420000</v>
      </c>
      <c r="N6" s="9">
        <v>0</v>
      </c>
      <c r="O6" s="19">
        <f t="shared" si="1"/>
        <v>0</v>
      </c>
      <c r="P6" s="19">
        <f t="shared" si="2"/>
        <v>420000</v>
      </c>
      <c r="Q6" s="19">
        <f t="shared" si="3"/>
        <v>280000</v>
      </c>
      <c r="R6" s="19">
        <f t="shared" si="4"/>
        <v>140000</v>
      </c>
    </row>
    <row r="7" spans="1:18" x14ac:dyDescent="0.25">
      <c r="A7" t="str">
        <f>_xlfn.XLOOKUP(C7,Raw_Data_Transaksi!$A$1:$A$1001,Raw_Data_Transaksi!$D$1:$D$1001,,0)</f>
        <v>PRD-110</v>
      </c>
      <c r="B7" t="str">
        <f>_xlfn.XLOOKUP(C7,Raw_Data_Transaksi!$A$1:$A$1001,Raw_Data_Transaksi!$C$1:$C$1001,,0)</f>
        <v>SLS-05</v>
      </c>
      <c r="C7" s="6" t="s">
        <v>74</v>
      </c>
      <c r="D7" s="7">
        <v>45834</v>
      </c>
      <c r="E7" s="10" t="str">
        <f>VLOOKUP(B7,Master_Sales!$A$1:$D$9,2,FALSE)</f>
        <v>Eko Prasetyo</v>
      </c>
      <c r="F7" s="10" t="str">
        <f>INDEX(Master_Sales!$D$1:$D$9,MATCH(Lembar_Kerja_Analisis!B7,Master_Sales!$A$1:$A$9,0))</f>
        <v>Tengah</v>
      </c>
      <c r="G7" s="10" t="str">
        <f>INDEX(Master_Sales!$C$1:$C$9,MATCH(Lembar_Kerja_Analisis!B7,Master_Sales!$A$1:$A$9,0))</f>
        <v>Semarang</v>
      </c>
      <c r="H7" s="10" t="str">
        <f>VLOOKUP(A7,Master_Produk!$A$1:$E$16,2,FALSE)</f>
        <v>Minyak Goreng Sawit 2L</v>
      </c>
      <c r="I7" s="10" t="str">
        <f>INDEX(Master_Produk!$C$1:$C$16,MATCH(Lembar_Kerja_Analisis!A7,Master_Produk!$A$1:$A$16,0))</f>
        <v>F&amp;B</v>
      </c>
      <c r="J7" s="19">
        <f>_xlfn.XLOOKUP(A7,Master_Produk!$A$1:$A$16,Master_Produk!$D$1:$D$16,,0)</f>
        <v>36000</v>
      </c>
      <c r="K7" s="19">
        <f>INDEX(Master_Produk!$E$1:$E$16,MATCH(Lembar_Kerja_Analisis!A7,Master_Produk!$A$1:$A$16,0))</f>
        <v>31000</v>
      </c>
      <c r="L7" s="8">
        <v>26</v>
      </c>
      <c r="M7" s="19">
        <f t="shared" si="0"/>
        <v>936000</v>
      </c>
      <c r="N7" s="9">
        <v>0.15</v>
      </c>
      <c r="O7" s="19">
        <f t="shared" si="1"/>
        <v>140400</v>
      </c>
      <c r="P7" s="19">
        <f t="shared" si="2"/>
        <v>795600</v>
      </c>
      <c r="Q7" s="19">
        <f t="shared" si="3"/>
        <v>806000</v>
      </c>
      <c r="R7" s="19">
        <f t="shared" si="4"/>
        <v>-10400</v>
      </c>
    </row>
    <row r="8" spans="1:18" x14ac:dyDescent="0.25">
      <c r="A8" t="str">
        <f>_xlfn.XLOOKUP(C8,Raw_Data_Transaksi!$A$1:$A$1001,Raw_Data_Transaksi!$D$1:$D$1001,,0)</f>
        <v>PRD-105</v>
      </c>
      <c r="B8" t="str">
        <f>_xlfn.XLOOKUP(C8,Raw_Data_Transaksi!$A$1:$A$1001,Raw_Data_Transaksi!$C$1:$C$1001,,0)</f>
        <v>SLS-06</v>
      </c>
      <c r="C8" s="6" t="s">
        <v>78</v>
      </c>
      <c r="D8" s="7">
        <v>45940</v>
      </c>
      <c r="E8" s="10" t="str">
        <f>VLOOKUP(B8,Master_Sales!$A$1:$D$9,2,FALSE)</f>
        <v>Fajar Nugraha</v>
      </c>
      <c r="F8" s="10" t="str">
        <f>INDEX(Master_Sales!$D$1:$D$9,MATCH(Lembar_Kerja_Analisis!B8,Master_Sales!$A$1:$A$9,0))</f>
        <v>Timur</v>
      </c>
      <c r="G8" s="10" t="str">
        <f>INDEX(Master_Sales!$C$1:$C$9,MATCH(Lembar_Kerja_Analisis!B8,Master_Sales!$A$1:$A$9,0))</f>
        <v>Makassar</v>
      </c>
      <c r="H8" s="10" t="str">
        <f>VLOOKUP(A8,Master_Produk!$A$1:$E$16,2,FALSE)</f>
        <v>Kemeja Batik Katun Premium</v>
      </c>
      <c r="I8" s="10" t="str">
        <f>INDEX(Master_Produk!$C$1:$C$16,MATCH(Lembar_Kerja_Analisis!A8,Master_Produk!$A$1:$A$16,0))</f>
        <v>Fashion</v>
      </c>
      <c r="J8" s="19">
        <f>_xlfn.XLOOKUP(A8,Master_Produk!$A$1:$A$16,Master_Produk!$D$1:$D$16,,0)</f>
        <v>320000</v>
      </c>
      <c r="K8" s="19">
        <f>INDEX(Master_Produk!$E$1:$E$16,MATCH(Lembar_Kerja_Analisis!A8,Master_Produk!$A$1:$A$16,0))</f>
        <v>190000</v>
      </c>
      <c r="L8" s="8">
        <v>10</v>
      </c>
      <c r="M8" s="19">
        <f t="shared" si="0"/>
        <v>3200000</v>
      </c>
      <c r="N8" s="9">
        <v>0.05</v>
      </c>
      <c r="O8" s="19">
        <f t="shared" si="1"/>
        <v>160000</v>
      </c>
      <c r="P8" s="19">
        <f t="shared" si="2"/>
        <v>3040000</v>
      </c>
      <c r="Q8" s="19">
        <f t="shared" si="3"/>
        <v>1900000</v>
      </c>
      <c r="R8" s="19">
        <f t="shared" si="4"/>
        <v>1140000</v>
      </c>
    </row>
    <row r="9" spans="1:18" x14ac:dyDescent="0.25">
      <c r="A9" t="str">
        <f>_xlfn.XLOOKUP(C9,Raw_Data_Transaksi!$A$1:$A$1001,Raw_Data_Transaksi!$D$1:$D$1001,,0)</f>
        <v>PRD-102</v>
      </c>
      <c r="B9" t="str">
        <f>_xlfn.XLOOKUP(C9,Raw_Data_Transaksi!$A$1:$A$1001,Raw_Data_Transaksi!$C$1:$C$1001,,0)</f>
        <v>SLS-04</v>
      </c>
      <c r="C9" s="6" t="s">
        <v>79</v>
      </c>
      <c r="D9" s="7">
        <v>45806</v>
      </c>
      <c r="E9" s="10" t="str">
        <f>VLOOKUP(B9,Master_Sales!$A$1:$D$9,2,FALSE)</f>
        <v>Dewi Anggraini</v>
      </c>
      <c r="F9" s="10" t="str">
        <f>INDEX(Master_Sales!$D$1:$D$9,MATCH(Lembar_Kerja_Analisis!B9,Master_Sales!$A$1:$A$9,0))</f>
        <v>Barat</v>
      </c>
      <c r="G9" s="10" t="str">
        <f>INDEX(Master_Sales!$C$1:$C$9,MATCH(Lembar_Kerja_Analisis!B9,Master_Sales!$A$1:$A$9,0))</f>
        <v>Medan</v>
      </c>
      <c r="H9" s="10" t="str">
        <f>VLOOKUP(A9,Master_Produk!$A$1:$E$16,2,FALSE)</f>
        <v>Wireless Mouse Ergonomic</v>
      </c>
      <c r="I9" s="10" t="str">
        <f>INDEX(Master_Produk!$C$1:$C$16,MATCH(Lembar_Kerja_Analisis!A9,Master_Produk!$A$1:$A$16,0))</f>
        <v>Elektronik</v>
      </c>
      <c r="J9" s="19">
        <f>_xlfn.XLOOKUP(A9,Master_Produk!$A$1:$A$16,Master_Produk!$D$1:$D$16,,0)</f>
        <v>250000</v>
      </c>
      <c r="K9" s="19">
        <f>INDEX(Master_Produk!$E$1:$E$16,MATCH(Lembar_Kerja_Analisis!A9,Master_Produk!$A$1:$A$16,0))</f>
        <v>160000</v>
      </c>
      <c r="L9" s="8">
        <v>2</v>
      </c>
      <c r="M9" s="19">
        <f t="shared" si="0"/>
        <v>500000</v>
      </c>
      <c r="N9" s="9">
        <v>0.15</v>
      </c>
      <c r="O9" s="19">
        <f t="shared" si="1"/>
        <v>75000</v>
      </c>
      <c r="P9" s="19">
        <f t="shared" si="2"/>
        <v>425000</v>
      </c>
      <c r="Q9" s="19">
        <f t="shared" si="3"/>
        <v>320000</v>
      </c>
      <c r="R9" s="19">
        <f t="shared" si="4"/>
        <v>105000</v>
      </c>
    </row>
    <row r="10" spans="1:18" x14ac:dyDescent="0.25">
      <c r="A10" t="str">
        <f>_xlfn.XLOOKUP(C10,Raw_Data_Transaksi!$A$1:$A$1001,Raw_Data_Transaksi!$D$1:$D$1001,,0)</f>
        <v>PRD-106</v>
      </c>
      <c r="B10" t="str">
        <f>_xlfn.XLOOKUP(C10,Raw_Data_Transaksi!$A$1:$A$1001,Raw_Data_Transaksi!$C$1:$C$1001,,0)</f>
        <v>SLS-06</v>
      </c>
      <c r="C10" s="6" t="s">
        <v>81</v>
      </c>
      <c r="D10" s="7">
        <v>45741</v>
      </c>
      <c r="E10" s="10" t="str">
        <f>VLOOKUP(B10,Master_Sales!$A$1:$D$9,2,FALSE)</f>
        <v>Fajar Nugraha</v>
      </c>
      <c r="F10" s="10" t="str">
        <f>INDEX(Master_Sales!$D$1:$D$9,MATCH(Lembar_Kerja_Analisis!B10,Master_Sales!$A$1:$A$9,0))</f>
        <v>Timur</v>
      </c>
      <c r="G10" s="10" t="str">
        <f>INDEX(Master_Sales!$C$1:$C$9,MATCH(Lembar_Kerja_Analisis!B10,Master_Sales!$A$1:$A$9,0))</f>
        <v>Makassar</v>
      </c>
      <c r="H10" s="10" t="str">
        <f>VLOOKUP(A10,Master_Produk!$A$1:$E$16,2,FALSE)</f>
        <v>Celana Chino Slim Fit</v>
      </c>
      <c r="I10" s="10" t="str">
        <f>INDEX(Master_Produk!$C$1:$C$16,MATCH(Lembar_Kerja_Analisis!A10,Master_Produk!$A$1:$A$16,0))</f>
        <v>Fashion</v>
      </c>
      <c r="J10" s="19">
        <f>_xlfn.XLOOKUP(A10,Master_Produk!$A$1:$A$16,Master_Produk!$D$1:$D$16,,0)</f>
        <v>280000</v>
      </c>
      <c r="K10" s="19">
        <f>INDEX(Master_Produk!$E$1:$E$16,MATCH(Lembar_Kerja_Analisis!A10,Master_Produk!$A$1:$A$16,0))</f>
        <v>175000</v>
      </c>
      <c r="L10" s="8">
        <v>4</v>
      </c>
      <c r="M10" s="19">
        <f t="shared" si="0"/>
        <v>1120000</v>
      </c>
      <c r="N10" s="9">
        <v>0.1</v>
      </c>
      <c r="O10" s="19">
        <f t="shared" si="1"/>
        <v>112000</v>
      </c>
      <c r="P10" s="19">
        <f t="shared" si="2"/>
        <v>1008000</v>
      </c>
      <c r="Q10" s="19">
        <f t="shared" si="3"/>
        <v>700000</v>
      </c>
      <c r="R10" s="19">
        <f t="shared" si="4"/>
        <v>308000</v>
      </c>
    </row>
    <row r="11" spans="1:18" x14ac:dyDescent="0.25">
      <c r="A11" t="str">
        <f>_xlfn.XLOOKUP(C11,Raw_Data_Transaksi!$A$1:$A$1001,Raw_Data_Transaksi!$D$1:$D$1001,,0)</f>
        <v>PRD-112</v>
      </c>
      <c r="B11" t="str">
        <f>_xlfn.XLOOKUP(C11,Raw_Data_Transaksi!$A$1:$A$1001,Raw_Data_Transaksi!$C$1:$C$1001,,0)</f>
        <v>SLS-04</v>
      </c>
      <c r="C11" s="6" t="s">
        <v>84</v>
      </c>
      <c r="D11" s="7">
        <v>45931</v>
      </c>
      <c r="E11" s="10" t="str">
        <f>VLOOKUP(B11,Master_Sales!$A$1:$D$9,2,FALSE)</f>
        <v>Dewi Anggraini</v>
      </c>
      <c r="F11" s="10" t="str">
        <f>INDEX(Master_Sales!$D$1:$D$9,MATCH(Lembar_Kerja_Analisis!B11,Master_Sales!$A$1:$A$9,0))</f>
        <v>Barat</v>
      </c>
      <c r="G11" s="10" t="str">
        <f>INDEX(Master_Sales!$C$1:$C$9,MATCH(Lembar_Kerja_Analisis!B11,Master_Sales!$A$1:$A$9,0))</f>
        <v>Medan</v>
      </c>
      <c r="H11" s="10" t="str">
        <f>VLOOKUP(A11,Master_Produk!$A$1:$E$16,2,FALSE)</f>
        <v>Susu UHT Full Cream 1L</v>
      </c>
      <c r="I11" s="10" t="str">
        <f>INDEX(Master_Produk!$C$1:$C$16,MATCH(Lembar_Kerja_Analisis!A11,Master_Produk!$A$1:$A$16,0))</f>
        <v>F&amp;B</v>
      </c>
      <c r="J11" s="19">
        <f>_xlfn.XLOOKUP(A11,Master_Produk!$A$1:$A$16,Master_Produk!$D$1:$D$16,,0)</f>
        <v>22000</v>
      </c>
      <c r="K11" s="19">
        <f>INDEX(Master_Produk!$E$1:$E$16,MATCH(Lembar_Kerja_Analisis!A11,Master_Produk!$A$1:$A$16,0))</f>
        <v>18000</v>
      </c>
      <c r="L11" s="8">
        <v>17</v>
      </c>
      <c r="M11" s="19">
        <f t="shared" si="0"/>
        <v>374000</v>
      </c>
      <c r="N11" s="9">
        <v>0.15</v>
      </c>
      <c r="O11" s="19">
        <f t="shared" si="1"/>
        <v>56100</v>
      </c>
      <c r="P11" s="19">
        <f t="shared" si="2"/>
        <v>317900</v>
      </c>
      <c r="Q11" s="19">
        <f t="shared" si="3"/>
        <v>306000</v>
      </c>
      <c r="R11" s="19">
        <f t="shared" si="4"/>
        <v>11900</v>
      </c>
    </row>
    <row r="12" spans="1:18" x14ac:dyDescent="0.25">
      <c r="A12" t="str">
        <f>_xlfn.XLOOKUP(C12,Raw_Data_Transaksi!$A$1:$A$1001,Raw_Data_Transaksi!$D$1:$D$1001,,0)</f>
        <v>PRD-106</v>
      </c>
      <c r="B12" t="str">
        <f>_xlfn.XLOOKUP(C12,Raw_Data_Transaksi!$A$1:$A$1001,Raw_Data_Transaksi!$C$1:$C$1001,,0)</f>
        <v>SLS-01</v>
      </c>
      <c r="C12" s="6" t="s">
        <v>86</v>
      </c>
      <c r="D12" s="7">
        <v>46008</v>
      </c>
      <c r="E12" s="10" t="str">
        <f>VLOOKUP(B12,Master_Sales!$A$1:$D$9,2,FALSE)</f>
        <v>Andi Pratama</v>
      </c>
      <c r="F12" s="10" t="str">
        <f>INDEX(Master_Sales!$D$1:$D$9,MATCH(Lembar_Kerja_Analisis!B12,Master_Sales!$A$1:$A$9,0))</f>
        <v>Barat</v>
      </c>
      <c r="G12" s="10" t="str">
        <f>INDEX(Master_Sales!$C$1:$C$9,MATCH(Lembar_Kerja_Analisis!B12,Master_Sales!$A$1:$A$9,0))</f>
        <v>Jakarta</v>
      </c>
      <c r="H12" s="10" t="str">
        <f>VLOOKUP(A12,Master_Produk!$A$1:$E$16,2,FALSE)</f>
        <v>Celana Chino Slim Fit</v>
      </c>
      <c r="I12" s="10" t="str">
        <f>INDEX(Master_Produk!$C$1:$C$16,MATCH(Lembar_Kerja_Analisis!A12,Master_Produk!$A$1:$A$16,0))</f>
        <v>Fashion</v>
      </c>
      <c r="J12" s="19">
        <f>_xlfn.XLOOKUP(A12,Master_Produk!$A$1:$A$16,Master_Produk!$D$1:$D$16,,0)</f>
        <v>280000</v>
      </c>
      <c r="K12" s="19">
        <f>INDEX(Master_Produk!$E$1:$E$16,MATCH(Lembar_Kerja_Analisis!A12,Master_Produk!$A$1:$A$16,0))</f>
        <v>175000</v>
      </c>
      <c r="L12" s="8">
        <v>4</v>
      </c>
      <c r="M12" s="19">
        <f t="shared" si="0"/>
        <v>1120000</v>
      </c>
      <c r="N12" s="9">
        <v>0</v>
      </c>
      <c r="O12" s="19">
        <f t="shared" si="1"/>
        <v>0</v>
      </c>
      <c r="P12" s="19">
        <f t="shared" si="2"/>
        <v>1120000</v>
      </c>
      <c r="Q12" s="19">
        <f t="shared" si="3"/>
        <v>700000</v>
      </c>
      <c r="R12" s="19">
        <f t="shared" si="4"/>
        <v>420000</v>
      </c>
    </row>
    <row r="13" spans="1:18" x14ac:dyDescent="0.25">
      <c r="A13" t="str">
        <f>_xlfn.XLOOKUP(C13,Raw_Data_Transaksi!$A$1:$A$1001,Raw_Data_Transaksi!$D$1:$D$1001,,0)</f>
        <v>PRD-104</v>
      </c>
      <c r="B13" t="str">
        <f>_xlfn.XLOOKUP(C13,Raw_Data_Transaksi!$A$1:$A$1001,Raw_Data_Transaksi!$C$1:$C$1001,,0)</f>
        <v>SLS-06</v>
      </c>
      <c r="C13" s="6" t="s">
        <v>87</v>
      </c>
      <c r="D13" s="7">
        <v>45691</v>
      </c>
      <c r="E13" s="10" t="str">
        <f>VLOOKUP(B13,Master_Sales!$A$1:$D$9,2,FALSE)</f>
        <v>Fajar Nugraha</v>
      </c>
      <c r="F13" s="10" t="str">
        <f>INDEX(Master_Sales!$D$1:$D$9,MATCH(Lembar_Kerja_Analisis!B13,Master_Sales!$A$1:$A$9,0))</f>
        <v>Timur</v>
      </c>
      <c r="G13" s="10" t="str">
        <f>INDEX(Master_Sales!$C$1:$C$9,MATCH(Lembar_Kerja_Analisis!B13,Master_Sales!$A$1:$A$9,0))</f>
        <v>Makassar</v>
      </c>
      <c r="H13" s="10" t="str">
        <f>VLOOKUP(A13,Master_Produk!$A$1:$E$16,2,FALSE)</f>
        <v>Monitor 24" FHD 144Hz</v>
      </c>
      <c r="I13" s="10" t="str">
        <f>INDEX(Master_Produk!$C$1:$C$16,MATCH(Lembar_Kerja_Analisis!A13,Master_Produk!$A$1:$A$16,0))</f>
        <v>Elektronik</v>
      </c>
      <c r="J13" s="19">
        <f>_xlfn.XLOOKUP(A13,Master_Produk!$A$1:$A$16,Master_Produk!$D$1:$D$16,,0)</f>
        <v>1950000</v>
      </c>
      <c r="K13" s="19">
        <f>INDEX(Master_Produk!$E$1:$E$16,MATCH(Lembar_Kerja_Analisis!A13,Master_Produk!$A$1:$A$16,0))</f>
        <v>1500000</v>
      </c>
      <c r="L13" s="8">
        <v>4</v>
      </c>
      <c r="M13" s="19">
        <f t="shared" si="0"/>
        <v>7800000</v>
      </c>
      <c r="N13" s="9">
        <v>0.15</v>
      </c>
      <c r="O13" s="19">
        <f t="shared" si="1"/>
        <v>1170000</v>
      </c>
      <c r="P13" s="19">
        <f t="shared" si="2"/>
        <v>6630000</v>
      </c>
      <c r="Q13" s="19">
        <f t="shared" si="3"/>
        <v>6000000</v>
      </c>
      <c r="R13" s="19">
        <f t="shared" si="4"/>
        <v>630000</v>
      </c>
    </row>
    <row r="14" spans="1:18" x14ac:dyDescent="0.25">
      <c r="A14" t="str">
        <f>_xlfn.XLOOKUP(C14,Raw_Data_Transaksi!$A$1:$A$1001,Raw_Data_Transaksi!$D$1:$D$1001,,0)</f>
        <v>PRD-105</v>
      </c>
      <c r="B14" t="str">
        <f>_xlfn.XLOOKUP(C14,Raw_Data_Transaksi!$A$1:$A$1001,Raw_Data_Transaksi!$C$1:$C$1001,,0)</f>
        <v>SLS-03</v>
      </c>
      <c r="C14" s="6" t="s">
        <v>89</v>
      </c>
      <c r="D14" s="7">
        <v>45731</v>
      </c>
      <c r="E14" s="10" t="str">
        <f>VLOOKUP(B14,Master_Sales!$A$1:$D$9,2,FALSE)</f>
        <v>Citra Lestari</v>
      </c>
      <c r="F14" s="10" t="str">
        <f>INDEX(Master_Sales!$D$1:$D$9,MATCH(Lembar_Kerja_Analisis!B14,Master_Sales!$A$1:$A$9,0))</f>
        <v>Barat</v>
      </c>
      <c r="G14" s="10" t="str">
        <f>INDEX(Master_Sales!$C$1:$C$9,MATCH(Lembar_Kerja_Analisis!B14,Master_Sales!$A$1:$A$9,0))</f>
        <v>Bandung</v>
      </c>
      <c r="H14" s="10" t="str">
        <f>VLOOKUP(A14,Master_Produk!$A$1:$E$16,2,FALSE)</f>
        <v>Kemeja Batik Katun Premium</v>
      </c>
      <c r="I14" s="10" t="str">
        <f>INDEX(Master_Produk!$C$1:$C$16,MATCH(Lembar_Kerja_Analisis!A14,Master_Produk!$A$1:$A$16,0))</f>
        <v>Fashion</v>
      </c>
      <c r="J14" s="19">
        <f>_xlfn.XLOOKUP(A14,Master_Produk!$A$1:$A$16,Master_Produk!$D$1:$D$16,,0)</f>
        <v>320000</v>
      </c>
      <c r="K14" s="19">
        <f>INDEX(Master_Produk!$E$1:$E$16,MATCH(Lembar_Kerja_Analisis!A14,Master_Produk!$A$1:$A$16,0))</f>
        <v>190000</v>
      </c>
      <c r="L14" s="8">
        <v>4</v>
      </c>
      <c r="M14" s="19">
        <f t="shared" si="0"/>
        <v>1280000</v>
      </c>
      <c r="N14" s="9">
        <v>0.2</v>
      </c>
      <c r="O14" s="19">
        <f t="shared" si="1"/>
        <v>256000</v>
      </c>
      <c r="P14" s="19">
        <f t="shared" si="2"/>
        <v>1024000</v>
      </c>
      <c r="Q14" s="19">
        <f t="shared" si="3"/>
        <v>760000</v>
      </c>
      <c r="R14" s="19">
        <f t="shared" si="4"/>
        <v>264000</v>
      </c>
    </row>
    <row r="15" spans="1:18" x14ac:dyDescent="0.25">
      <c r="A15" t="str">
        <f>_xlfn.XLOOKUP(C15,Raw_Data_Transaksi!$A$1:$A$1001,Raw_Data_Transaksi!$D$1:$D$1001,,0)</f>
        <v>PRD-107</v>
      </c>
      <c r="B15" t="str">
        <f>_xlfn.XLOOKUP(C15,Raw_Data_Transaksi!$A$1:$A$1001,Raw_Data_Transaksi!$C$1:$C$1001,,0)</f>
        <v>SLS-06</v>
      </c>
      <c r="C15" s="6" t="s">
        <v>91</v>
      </c>
      <c r="D15" s="7">
        <v>45956</v>
      </c>
      <c r="E15" s="10" t="str">
        <f>VLOOKUP(B15,Master_Sales!$A$1:$D$9,2,FALSE)</f>
        <v>Fajar Nugraha</v>
      </c>
      <c r="F15" s="10" t="str">
        <f>INDEX(Master_Sales!$D$1:$D$9,MATCH(Lembar_Kerja_Analisis!B15,Master_Sales!$A$1:$A$9,0))</f>
        <v>Timur</v>
      </c>
      <c r="G15" s="10" t="str">
        <f>INDEX(Master_Sales!$C$1:$C$9,MATCH(Lembar_Kerja_Analisis!B15,Master_Sales!$A$1:$A$9,0))</f>
        <v>Makassar</v>
      </c>
      <c r="H15" s="10" t="str">
        <f>VLOOKUP(A15,Master_Produk!$A$1:$E$16,2,FALSE)</f>
        <v>Jaket Hoodie Casual</v>
      </c>
      <c r="I15" s="10" t="str">
        <f>INDEX(Master_Produk!$C$1:$C$16,MATCH(Lembar_Kerja_Analisis!A15,Master_Produk!$A$1:$A$16,0))</f>
        <v>Fashion</v>
      </c>
      <c r="J15" s="19">
        <f>_xlfn.XLOOKUP(A15,Master_Produk!$A$1:$A$16,Master_Produk!$D$1:$D$16,,0)</f>
        <v>350000</v>
      </c>
      <c r="K15" s="19">
        <f>INDEX(Master_Produk!$E$1:$E$16,MATCH(Lembar_Kerja_Analisis!A15,Master_Produk!$A$1:$A$16,0))</f>
        <v>220000</v>
      </c>
      <c r="L15" s="8">
        <v>4</v>
      </c>
      <c r="M15" s="19">
        <f t="shared" si="0"/>
        <v>1400000</v>
      </c>
      <c r="N15" s="9">
        <v>0.05</v>
      </c>
      <c r="O15" s="19">
        <f t="shared" si="1"/>
        <v>70000</v>
      </c>
      <c r="P15" s="19">
        <f t="shared" si="2"/>
        <v>1330000</v>
      </c>
      <c r="Q15" s="19">
        <f t="shared" si="3"/>
        <v>880000</v>
      </c>
      <c r="R15" s="19">
        <f t="shared" si="4"/>
        <v>450000</v>
      </c>
    </row>
    <row r="16" spans="1:18" x14ac:dyDescent="0.25">
      <c r="A16" t="str">
        <f>_xlfn.XLOOKUP(C16,Raw_Data_Transaksi!$A$1:$A$1001,Raw_Data_Transaksi!$D$1:$D$1001,,0)</f>
        <v>PRD-103</v>
      </c>
      <c r="B16" t="str">
        <f>_xlfn.XLOOKUP(C16,Raw_Data_Transaksi!$A$1:$A$1001,Raw_Data_Transaksi!$C$1:$C$1001,,0)</f>
        <v>SLS-03</v>
      </c>
      <c r="C16" s="6" t="s">
        <v>93</v>
      </c>
      <c r="D16" s="7">
        <v>45714</v>
      </c>
      <c r="E16" s="10" t="str">
        <f>VLOOKUP(B16,Master_Sales!$A$1:$D$9,2,FALSE)</f>
        <v>Citra Lestari</v>
      </c>
      <c r="F16" s="10" t="str">
        <f>INDEX(Master_Sales!$D$1:$D$9,MATCH(Lembar_Kerja_Analisis!B16,Master_Sales!$A$1:$A$9,0))</f>
        <v>Barat</v>
      </c>
      <c r="G16" s="10" t="str">
        <f>INDEX(Master_Sales!$C$1:$C$9,MATCH(Lembar_Kerja_Analisis!B16,Master_Sales!$A$1:$A$9,0))</f>
        <v>Bandung</v>
      </c>
      <c r="H16" s="10" t="str">
        <f>VLOOKUP(A16,Master_Produk!$A$1:$E$16,2,FALSE)</f>
        <v>Mechanical Keyboard RGB</v>
      </c>
      <c r="I16" s="10" t="str">
        <f>INDEX(Master_Produk!$C$1:$C$16,MATCH(Lembar_Kerja_Analisis!A16,Master_Produk!$A$1:$A$16,0))</f>
        <v>Elektronik</v>
      </c>
      <c r="J16" s="19">
        <f>_xlfn.XLOOKUP(A16,Master_Produk!$A$1:$A$16,Master_Produk!$D$1:$D$16,,0)</f>
        <v>750000</v>
      </c>
      <c r="K16" s="19">
        <f>INDEX(Master_Produk!$E$1:$E$16,MATCH(Lembar_Kerja_Analisis!A16,Master_Produk!$A$1:$A$16,0))</f>
        <v>520000</v>
      </c>
      <c r="L16" s="8">
        <v>11</v>
      </c>
      <c r="M16" s="19">
        <f t="shared" si="0"/>
        <v>8250000</v>
      </c>
      <c r="N16" s="9">
        <v>0.15</v>
      </c>
      <c r="O16" s="19">
        <f t="shared" si="1"/>
        <v>1237500</v>
      </c>
      <c r="P16" s="19">
        <f t="shared" si="2"/>
        <v>7012500</v>
      </c>
      <c r="Q16" s="19">
        <f t="shared" si="3"/>
        <v>5720000</v>
      </c>
      <c r="R16" s="19">
        <f t="shared" si="4"/>
        <v>1292500</v>
      </c>
    </row>
    <row r="17" spans="1:18" x14ac:dyDescent="0.25">
      <c r="A17" t="str">
        <f>_xlfn.XLOOKUP(C17,Raw_Data_Transaksi!$A$1:$A$1001,Raw_Data_Transaksi!$D$1:$D$1001,,0)</f>
        <v>PRD-108</v>
      </c>
      <c r="B17" t="str">
        <f>_xlfn.XLOOKUP(C17,Raw_Data_Transaksi!$A$1:$A$1001,Raw_Data_Transaksi!$C$1:$C$1001,,0)</f>
        <v>SLS-05</v>
      </c>
      <c r="C17" s="6" t="s">
        <v>95</v>
      </c>
      <c r="D17" s="7">
        <v>45963</v>
      </c>
      <c r="E17" s="10" t="str">
        <f>VLOOKUP(B17,Master_Sales!$A$1:$D$9,2,FALSE)</f>
        <v>Eko Prasetyo</v>
      </c>
      <c r="F17" s="10" t="str">
        <f>INDEX(Master_Sales!$D$1:$D$9,MATCH(Lembar_Kerja_Analisis!B17,Master_Sales!$A$1:$A$9,0))</f>
        <v>Tengah</v>
      </c>
      <c r="G17" s="10" t="str">
        <f>INDEX(Master_Sales!$C$1:$C$9,MATCH(Lembar_Kerja_Analisis!B17,Master_Sales!$A$1:$A$9,0))</f>
        <v>Semarang</v>
      </c>
      <c r="H17" s="10" t="str">
        <f>VLOOKUP(A17,Master_Produk!$A$1:$E$16,2,FALSE)</f>
        <v>Sepatu Sneakers Pria/Wanita</v>
      </c>
      <c r="I17" s="10" t="str">
        <f>INDEX(Master_Produk!$C$1:$C$16,MATCH(Lembar_Kerja_Analisis!A17,Master_Produk!$A$1:$A$16,0))</f>
        <v>Fashion</v>
      </c>
      <c r="J17" s="19">
        <f>_xlfn.XLOOKUP(A17,Master_Produk!$A$1:$A$16,Master_Produk!$D$1:$D$16,,0)</f>
        <v>450000</v>
      </c>
      <c r="K17" s="19">
        <f>INDEX(Master_Produk!$E$1:$E$16,MATCH(Lembar_Kerja_Analisis!A17,Master_Produk!$A$1:$A$16,0))</f>
        <v>290000</v>
      </c>
      <c r="L17" s="8">
        <v>9</v>
      </c>
      <c r="M17" s="19">
        <f t="shared" si="0"/>
        <v>4050000</v>
      </c>
      <c r="N17" s="9">
        <v>0</v>
      </c>
      <c r="O17" s="19">
        <f t="shared" si="1"/>
        <v>0</v>
      </c>
      <c r="P17" s="19">
        <f t="shared" si="2"/>
        <v>4050000</v>
      </c>
      <c r="Q17" s="19">
        <f t="shared" si="3"/>
        <v>2610000</v>
      </c>
      <c r="R17" s="19">
        <f t="shared" si="4"/>
        <v>1440000</v>
      </c>
    </row>
    <row r="18" spans="1:18" x14ac:dyDescent="0.25">
      <c r="A18" t="str">
        <f>_xlfn.XLOOKUP(C18,Raw_Data_Transaksi!$A$1:$A$1001,Raw_Data_Transaksi!$D$1:$D$1001,,0)</f>
        <v>PRD-106</v>
      </c>
      <c r="B18" t="str">
        <f>_xlfn.XLOOKUP(C18,Raw_Data_Transaksi!$A$1:$A$1001,Raw_Data_Transaksi!$C$1:$C$1001,,0)</f>
        <v>SLS-02</v>
      </c>
      <c r="C18" s="6" t="s">
        <v>97</v>
      </c>
      <c r="D18" s="7">
        <v>45986</v>
      </c>
      <c r="E18" s="10" t="str">
        <f>VLOOKUP(B18,Master_Sales!$A$1:$D$9,2,FALSE)</f>
        <v>Budi Santoso</v>
      </c>
      <c r="F18" s="10" t="str">
        <f>INDEX(Master_Sales!$D$1:$D$9,MATCH(Lembar_Kerja_Analisis!B18,Master_Sales!$A$1:$A$9,0))</f>
        <v>Timur</v>
      </c>
      <c r="G18" s="10" t="str">
        <f>INDEX(Master_Sales!$C$1:$C$9,MATCH(Lembar_Kerja_Analisis!B18,Master_Sales!$A$1:$A$9,0))</f>
        <v>Surabaya</v>
      </c>
      <c r="H18" s="10" t="str">
        <f>VLOOKUP(A18,Master_Produk!$A$1:$E$16,2,FALSE)</f>
        <v>Celana Chino Slim Fit</v>
      </c>
      <c r="I18" s="10" t="str">
        <f>INDEX(Master_Produk!$C$1:$C$16,MATCH(Lembar_Kerja_Analisis!A18,Master_Produk!$A$1:$A$16,0))</f>
        <v>Fashion</v>
      </c>
      <c r="J18" s="19">
        <f>_xlfn.XLOOKUP(A18,Master_Produk!$A$1:$A$16,Master_Produk!$D$1:$D$16,,0)</f>
        <v>280000</v>
      </c>
      <c r="K18" s="19">
        <f>INDEX(Master_Produk!$E$1:$E$16,MATCH(Lembar_Kerja_Analisis!A18,Master_Produk!$A$1:$A$16,0))</f>
        <v>175000</v>
      </c>
      <c r="L18" s="8">
        <v>5</v>
      </c>
      <c r="M18" s="19">
        <f t="shared" si="0"/>
        <v>1400000</v>
      </c>
      <c r="N18" s="9">
        <v>0.15</v>
      </c>
      <c r="O18" s="19">
        <f t="shared" si="1"/>
        <v>210000</v>
      </c>
      <c r="P18" s="19">
        <f t="shared" si="2"/>
        <v>1190000</v>
      </c>
      <c r="Q18" s="19">
        <f t="shared" si="3"/>
        <v>875000</v>
      </c>
      <c r="R18" s="19">
        <f t="shared" si="4"/>
        <v>315000</v>
      </c>
    </row>
    <row r="19" spans="1:18" x14ac:dyDescent="0.25">
      <c r="A19" t="str">
        <f>_xlfn.XLOOKUP(C19,Raw_Data_Transaksi!$A$1:$A$1001,Raw_Data_Transaksi!$D$1:$D$1001,,0)</f>
        <v>PRD-109</v>
      </c>
      <c r="B19" t="str">
        <f>_xlfn.XLOOKUP(C19,Raw_Data_Transaksi!$A$1:$A$1001,Raw_Data_Transaksi!$C$1:$C$1001,,0)</f>
        <v>SLS-03</v>
      </c>
      <c r="C19" s="6" t="s">
        <v>98</v>
      </c>
      <c r="D19" s="7">
        <v>45792</v>
      </c>
      <c r="E19" s="10" t="str">
        <f>VLOOKUP(B19,Master_Sales!$A$1:$D$9,2,FALSE)</f>
        <v>Citra Lestari</v>
      </c>
      <c r="F19" s="10" t="str">
        <f>INDEX(Master_Sales!$D$1:$D$9,MATCH(Lembar_Kerja_Analisis!B19,Master_Sales!$A$1:$A$9,0))</f>
        <v>Barat</v>
      </c>
      <c r="G19" s="10" t="str">
        <f>INDEX(Master_Sales!$C$1:$C$9,MATCH(Lembar_Kerja_Analisis!B19,Master_Sales!$A$1:$A$9,0))</f>
        <v>Bandung</v>
      </c>
      <c r="H19" s="10" t="str">
        <f>VLOOKUP(A19,Master_Produk!$A$1:$E$16,2,FALSE)</f>
        <v>Kopi Arabika Gayo 250g</v>
      </c>
      <c r="I19" s="10" t="str">
        <f>INDEX(Master_Produk!$C$1:$C$16,MATCH(Lembar_Kerja_Analisis!A19,Master_Produk!$A$1:$A$16,0))</f>
        <v>F&amp;B</v>
      </c>
      <c r="J19" s="19">
        <f>_xlfn.XLOOKUP(A19,Master_Produk!$A$1:$A$16,Master_Produk!$D$1:$D$16,,0)</f>
        <v>85000</v>
      </c>
      <c r="K19" s="19">
        <f>INDEX(Master_Produk!$E$1:$E$16,MATCH(Lembar_Kerja_Analisis!A19,Master_Produk!$A$1:$A$16,0))</f>
        <v>55000</v>
      </c>
      <c r="L19" s="8">
        <v>6</v>
      </c>
      <c r="M19" s="19">
        <f t="shared" si="0"/>
        <v>510000</v>
      </c>
      <c r="N19" s="9">
        <v>0.1</v>
      </c>
      <c r="O19" s="19">
        <f t="shared" si="1"/>
        <v>51000</v>
      </c>
      <c r="P19" s="19">
        <f t="shared" si="2"/>
        <v>459000</v>
      </c>
      <c r="Q19" s="19">
        <f t="shared" si="3"/>
        <v>330000</v>
      </c>
      <c r="R19" s="19">
        <f t="shared" si="4"/>
        <v>129000</v>
      </c>
    </row>
    <row r="20" spans="1:18" x14ac:dyDescent="0.25">
      <c r="A20" t="str">
        <f>_xlfn.XLOOKUP(C20,Raw_Data_Transaksi!$A$1:$A$1001,Raw_Data_Transaksi!$D$1:$D$1001,,0)</f>
        <v>PRD-109</v>
      </c>
      <c r="B20" t="str">
        <f>_xlfn.XLOOKUP(C20,Raw_Data_Transaksi!$A$1:$A$1001,Raw_Data_Transaksi!$C$1:$C$1001,,0)</f>
        <v>SLS-01</v>
      </c>
      <c r="C20" s="6" t="s">
        <v>99</v>
      </c>
      <c r="D20" s="7">
        <v>45740</v>
      </c>
      <c r="E20" s="10" t="str">
        <f>VLOOKUP(B20,Master_Sales!$A$1:$D$9,2,FALSE)</f>
        <v>Andi Pratama</v>
      </c>
      <c r="F20" s="10" t="str">
        <f>INDEX(Master_Sales!$D$1:$D$9,MATCH(Lembar_Kerja_Analisis!B20,Master_Sales!$A$1:$A$9,0))</f>
        <v>Barat</v>
      </c>
      <c r="G20" s="10" t="str">
        <f>INDEX(Master_Sales!$C$1:$C$9,MATCH(Lembar_Kerja_Analisis!B20,Master_Sales!$A$1:$A$9,0))</f>
        <v>Jakarta</v>
      </c>
      <c r="H20" s="10" t="str">
        <f>VLOOKUP(A20,Master_Produk!$A$1:$E$16,2,FALSE)</f>
        <v>Kopi Arabika Gayo 250g</v>
      </c>
      <c r="I20" s="10" t="str">
        <f>INDEX(Master_Produk!$C$1:$C$16,MATCH(Lembar_Kerja_Analisis!A20,Master_Produk!$A$1:$A$16,0))</f>
        <v>F&amp;B</v>
      </c>
      <c r="J20" s="19">
        <f>_xlfn.XLOOKUP(A20,Master_Produk!$A$1:$A$16,Master_Produk!$D$1:$D$16,,0)</f>
        <v>85000</v>
      </c>
      <c r="K20" s="19">
        <f>INDEX(Master_Produk!$E$1:$E$16,MATCH(Lembar_Kerja_Analisis!A20,Master_Produk!$A$1:$A$16,0))</f>
        <v>55000</v>
      </c>
      <c r="L20" s="8">
        <v>13</v>
      </c>
      <c r="M20" s="19">
        <f t="shared" si="0"/>
        <v>1105000</v>
      </c>
      <c r="N20" s="9">
        <v>0.15</v>
      </c>
      <c r="O20" s="19">
        <f t="shared" si="1"/>
        <v>165750</v>
      </c>
      <c r="P20" s="19">
        <f t="shared" si="2"/>
        <v>939250</v>
      </c>
      <c r="Q20" s="19">
        <f t="shared" si="3"/>
        <v>715000</v>
      </c>
      <c r="R20" s="19">
        <f t="shared" si="4"/>
        <v>224250</v>
      </c>
    </row>
    <row r="21" spans="1:18" x14ac:dyDescent="0.25">
      <c r="A21" t="str">
        <f>_xlfn.XLOOKUP(C21,Raw_Data_Transaksi!$A$1:$A$1001,Raw_Data_Transaksi!$D$1:$D$1001,,0)</f>
        <v>PRD-104</v>
      </c>
      <c r="B21" t="str">
        <f>_xlfn.XLOOKUP(C21,Raw_Data_Transaksi!$A$1:$A$1001,Raw_Data_Transaksi!$C$1:$C$1001,,0)</f>
        <v>SLS-01</v>
      </c>
      <c r="C21" s="6" t="s">
        <v>100</v>
      </c>
      <c r="D21" s="7">
        <v>45815</v>
      </c>
      <c r="E21" s="10" t="str">
        <f>VLOOKUP(B21,Master_Sales!$A$1:$D$9,2,FALSE)</f>
        <v>Andi Pratama</v>
      </c>
      <c r="F21" s="10" t="str">
        <f>INDEX(Master_Sales!$D$1:$D$9,MATCH(Lembar_Kerja_Analisis!B21,Master_Sales!$A$1:$A$9,0))</f>
        <v>Barat</v>
      </c>
      <c r="G21" s="10" t="str">
        <f>INDEX(Master_Sales!$C$1:$C$9,MATCH(Lembar_Kerja_Analisis!B21,Master_Sales!$A$1:$A$9,0))</f>
        <v>Jakarta</v>
      </c>
      <c r="H21" s="10" t="str">
        <f>VLOOKUP(A21,Master_Produk!$A$1:$E$16,2,FALSE)</f>
        <v>Monitor 24" FHD 144Hz</v>
      </c>
      <c r="I21" s="10" t="str">
        <f>INDEX(Master_Produk!$C$1:$C$16,MATCH(Lembar_Kerja_Analisis!A21,Master_Produk!$A$1:$A$16,0))</f>
        <v>Elektronik</v>
      </c>
      <c r="J21" s="19">
        <f>_xlfn.XLOOKUP(A21,Master_Produk!$A$1:$A$16,Master_Produk!$D$1:$D$16,,0)</f>
        <v>1950000</v>
      </c>
      <c r="K21" s="19">
        <f>INDEX(Master_Produk!$E$1:$E$16,MATCH(Lembar_Kerja_Analisis!A21,Master_Produk!$A$1:$A$16,0))</f>
        <v>1500000</v>
      </c>
      <c r="L21" s="8">
        <v>4</v>
      </c>
      <c r="M21" s="19">
        <f t="shared" si="0"/>
        <v>7800000</v>
      </c>
      <c r="N21" s="9">
        <v>0.2</v>
      </c>
      <c r="O21" s="19">
        <f t="shared" si="1"/>
        <v>1560000</v>
      </c>
      <c r="P21" s="19">
        <f t="shared" si="2"/>
        <v>6240000</v>
      </c>
      <c r="Q21" s="19">
        <f t="shared" si="3"/>
        <v>6000000</v>
      </c>
      <c r="R21" s="19">
        <f t="shared" si="4"/>
        <v>240000</v>
      </c>
    </row>
    <row r="22" spans="1:18" x14ac:dyDescent="0.25">
      <c r="A22" t="str">
        <f>_xlfn.XLOOKUP(C22,Raw_Data_Transaksi!$A$1:$A$1001,Raw_Data_Transaksi!$D$1:$D$1001,,0)</f>
        <v>PRD-113</v>
      </c>
      <c r="B22" t="str">
        <f>_xlfn.XLOOKUP(C22,Raw_Data_Transaksi!$A$1:$A$1001,Raw_Data_Transaksi!$C$1:$C$1001,,0)</f>
        <v>SLS-03</v>
      </c>
      <c r="C22" s="6" t="s">
        <v>101</v>
      </c>
      <c r="D22" s="7">
        <v>45693</v>
      </c>
      <c r="E22" s="10" t="str">
        <f>VLOOKUP(B22,Master_Sales!$A$1:$D$9,2,FALSE)</f>
        <v>Citra Lestari</v>
      </c>
      <c r="F22" s="10" t="str">
        <f>INDEX(Master_Sales!$D$1:$D$9,MATCH(Lembar_Kerja_Analisis!B22,Master_Sales!$A$1:$A$9,0))</f>
        <v>Barat</v>
      </c>
      <c r="G22" s="10" t="str">
        <f>INDEX(Master_Sales!$C$1:$C$9,MATCH(Lembar_Kerja_Analisis!B22,Master_Sales!$A$1:$A$9,0))</f>
        <v>Bandung</v>
      </c>
      <c r="H22" s="10" t="str">
        <f>VLOOKUP(A22,Master_Produk!$A$1:$E$16,2,FALSE)</f>
        <v>Wajan Anti Lengket 28cm</v>
      </c>
      <c r="I22" s="10" t="str">
        <f>INDEX(Master_Produk!$C$1:$C$16,MATCH(Lembar_Kerja_Analisis!A22,Master_Produk!$A$1:$A$16,0))</f>
        <v>Peralatan Rumah</v>
      </c>
      <c r="J22" s="19">
        <f>_xlfn.XLOOKUP(A22,Master_Produk!$A$1:$A$16,Master_Produk!$D$1:$D$16,,0)</f>
        <v>210000</v>
      </c>
      <c r="K22" s="19">
        <f>INDEX(Master_Produk!$E$1:$E$16,MATCH(Lembar_Kerja_Analisis!A22,Master_Produk!$A$1:$A$16,0))</f>
        <v>140000</v>
      </c>
      <c r="L22" s="8">
        <v>3</v>
      </c>
      <c r="M22" s="19">
        <f t="shared" si="0"/>
        <v>630000</v>
      </c>
      <c r="N22" s="9">
        <v>0.15</v>
      </c>
      <c r="O22" s="19">
        <f t="shared" si="1"/>
        <v>94500</v>
      </c>
      <c r="P22" s="19">
        <f t="shared" si="2"/>
        <v>535500</v>
      </c>
      <c r="Q22" s="19">
        <f t="shared" si="3"/>
        <v>420000</v>
      </c>
      <c r="R22" s="19">
        <f t="shared" si="4"/>
        <v>115500</v>
      </c>
    </row>
    <row r="23" spans="1:18" x14ac:dyDescent="0.25">
      <c r="A23" t="str">
        <f>_xlfn.XLOOKUP(C23,Raw_Data_Transaksi!$A$1:$A$1001,Raw_Data_Transaksi!$D$1:$D$1001,,0)</f>
        <v>PRD-115</v>
      </c>
      <c r="B23" t="str">
        <f>_xlfn.XLOOKUP(C23,Raw_Data_Transaksi!$A$1:$A$1001,Raw_Data_Transaksi!$C$1:$C$1001,,0)</f>
        <v>SLS-04</v>
      </c>
      <c r="C23" s="6" t="s">
        <v>102</v>
      </c>
      <c r="D23" s="7">
        <v>45766</v>
      </c>
      <c r="E23" s="10" t="str">
        <f>VLOOKUP(B23,Master_Sales!$A$1:$D$9,2,FALSE)</f>
        <v>Dewi Anggraini</v>
      </c>
      <c r="F23" s="10" t="str">
        <f>INDEX(Master_Sales!$D$1:$D$9,MATCH(Lembar_Kerja_Analisis!B23,Master_Sales!$A$1:$A$9,0))</f>
        <v>Barat</v>
      </c>
      <c r="G23" s="10" t="str">
        <f>INDEX(Master_Sales!$C$1:$C$9,MATCH(Lembar_Kerja_Analisis!B23,Master_Sales!$A$1:$A$9,0))</f>
        <v>Medan</v>
      </c>
      <c r="H23" s="10" t="str">
        <f>VLOOKUP(A23,Master_Produk!$A$1:$E$16,2,FALSE)</f>
        <v>Set Pisau Dapur Stainless</v>
      </c>
      <c r="I23" s="10" t="str">
        <f>INDEX(Master_Produk!$C$1:$C$16,MATCH(Lembar_Kerja_Analisis!A23,Master_Produk!$A$1:$A$16,0))</f>
        <v>Peralatan Rumah</v>
      </c>
      <c r="J23" s="19">
        <f>_xlfn.XLOOKUP(A23,Master_Produk!$A$1:$A$16,Master_Produk!$D$1:$D$16,,0)</f>
        <v>165000</v>
      </c>
      <c r="K23" s="19">
        <f>INDEX(Master_Produk!$E$1:$E$16,MATCH(Lembar_Kerja_Analisis!A23,Master_Produk!$A$1:$A$16,0))</f>
        <v>105000</v>
      </c>
      <c r="L23" s="8">
        <v>12</v>
      </c>
      <c r="M23" s="19">
        <f t="shared" si="0"/>
        <v>1980000</v>
      </c>
      <c r="N23" s="9">
        <v>0.1</v>
      </c>
      <c r="O23" s="19">
        <f t="shared" si="1"/>
        <v>198000</v>
      </c>
      <c r="P23" s="19">
        <f t="shared" si="2"/>
        <v>1782000</v>
      </c>
      <c r="Q23" s="19">
        <f t="shared" si="3"/>
        <v>1260000</v>
      </c>
      <c r="R23" s="19">
        <f t="shared" si="4"/>
        <v>522000</v>
      </c>
    </row>
    <row r="24" spans="1:18" x14ac:dyDescent="0.25">
      <c r="A24" t="str">
        <f>_xlfn.XLOOKUP(C24,Raw_Data_Transaksi!$A$1:$A$1001,Raw_Data_Transaksi!$D$1:$D$1001,,0)</f>
        <v>PRD-115</v>
      </c>
      <c r="B24" t="str">
        <f>_xlfn.XLOOKUP(C24,Raw_Data_Transaksi!$A$1:$A$1001,Raw_Data_Transaksi!$C$1:$C$1001,,0)</f>
        <v>SLS-08</v>
      </c>
      <c r="C24" s="6" t="s">
        <v>104</v>
      </c>
      <c r="D24" s="7">
        <v>45882</v>
      </c>
      <c r="E24" s="10" t="str">
        <f>VLOOKUP(B24,Master_Sales!$A$1:$D$9,2,FALSE)</f>
        <v>Hendra Wijaya</v>
      </c>
      <c r="F24" s="10" t="str">
        <f>INDEX(Master_Sales!$D$1:$D$9,MATCH(Lembar_Kerja_Analisis!B24,Master_Sales!$A$1:$A$9,0))</f>
        <v>Tengah</v>
      </c>
      <c r="G24" s="10" t="str">
        <f>INDEX(Master_Sales!$C$1:$C$9,MATCH(Lembar_Kerja_Analisis!B24,Master_Sales!$A$1:$A$9,0))</f>
        <v>Yogyakarta</v>
      </c>
      <c r="H24" s="10" t="str">
        <f>VLOOKUP(A24,Master_Produk!$A$1:$E$16,2,FALSE)</f>
        <v>Set Pisau Dapur Stainless</v>
      </c>
      <c r="I24" s="10" t="str">
        <f>INDEX(Master_Produk!$C$1:$C$16,MATCH(Lembar_Kerja_Analisis!A24,Master_Produk!$A$1:$A$16,0))</f>
        <v>Peralatan Rumah</v>
      </c>
      <c r="J24" s="19">
        <f>_xlfn.XLOOKUP(A24,Master_Produk!$A$1:$A$16,Master_Produk!$D$1:$D$16,,0)</f>
        <v>165000</v>
      </c>
      <c r="K24" s="19">
        <f>INDEX(Master_Produk!$E$1:$E$16,MATCH(Lembar_Kerja_Analisis!A24,Master_Produk!$A$1:$A$16,0))</f>
        <v>105000</v>
      </c>
      <c r="L24" s="8">
        <v>2</v>
      </c>
      <c r="M24" s="19">
        <f t="shared" si="0"/>
        <v>330000</v>
      </c>
      <c r="N24" s="9">
        <v>0.05</v>
      </c>
      <c r="O24" s="19">
        <f t="shared" si="1"/>
        <v>16500</v>
      </c>
      <c r="P24" s="19">
        <f t="shared" si="2"/>
        <v>313500</v>
      </c>
      <c r="Q24" s="19">
        <f t="shared" si="3"/>
        <v>210000</v>
      </c>
      <c r="R24" s="19">
        <f t="shared" si="4"/>
        <v>103500</v>
      </c>
    </row>
    <row r="25" spans="1:18" x14ac:dyDescent="0.25">
      <c r="A25" t="str">
        <f>_xlfn.XLOOKUP(C25,Raw_Data_Transaksi!$A$1:$A$1001,Raw_Data_Transaksi!$D$1:$D$1001,,0)</f>
        <v>PRD-110</v>
      </c>
      <c r="B25" t="str">
        <f>_xlfn.XLOOKUP(C25,Raw_Data_Transaksi!$A$1:$A$1001,Raw_Data_Transaksi!$C$1:$C$1001,,0)</f>
        <v>SLS-04</v>
      </c>
      <c r="C25" s="6" t="s">
        <v>106</v>
      </c>
      <c r="D25" s="7">
        <v>45668</v>
      </c>
      <c r="E25" s="10" t="str">
        <f>VLOOKUP(B25,Master_Sales!$A$1:$D$9,2,FALSE)</f>
        <v>Dewi Anggraini</v>
      </c>
      <c r="F25" s="10" t="str">
        <f>INDEX(Master_Sales!$D$1:$D$9,MATCH(Lembar_Kerja_Analisis!B25,Master_Sales!$A$1:$A$9,0))</f>
        <v>Barat</v>
      </c>
      <c r="G25" s="10" t="str">
        <f>INDEX(Master_Sales!$C$1:$C$9,MATCH(Lembar_Kerja_Analisis!B25,Master_Sales!$A$1:$A$9,0))</f>
        <v>Medan</v>
      </c>
      <c r="H25" s="10" t="str">
        <f>VLOOKUP(A25,Master_Produk!$A$1:$E$16,2,FALSE)</f>
        <v>Minyak Goreng Sawit 2L</v>
      </c>
      <c r="I25" s="10" t="str">
        <f>INDEX(Master_Produk!$C$1:$C$16,MATCH(Lembar_Kerja_Analisis!A25,Master_Produk!$A$1:$A$16,0))</f>
        <v>F&amp;B</v>
      </c>
      <c r="J25" s="19">
        <f>_xlfn.XLOOKUP(A25,Master_Produk!$A$1:$A$16,Master_Produk!$D$1:$D$16,,0)</f>
        <v>36000</v>
      </c>
      <c r="K25" s="19">
        <f>INDEX(Master_Produk!$E$1:$E$16,MATCH(Lembar_Kerja_Analisis!A25,Master_Produk!$A$1:$A$16,0))</f>
        <v>31000</v>
      </c>
      <c r="L25" s="8">
        <v>10</v>
      </c>
      <c r="M25" s="19">
        <f t="shared" si="0"/>
        <v>360000</v>
      </c>
      <c r="N25" s="9">
        <v>0</v>
      </c>
      <c r="O25" s="19">
        <f t="shared" si="1"/>
        <v>0</v>
      </c>
      <c r="P25" s="19">
        <f t="shared" si="2"/>
        <v>360000</v>
      </c>
      <c r="Q25" s="19">
        <f t="shared" si="3"/>
        <v>310000</v>
      </c>
      <c r="R25" s="19">
        <f t="shared" si="4"/>
        <v>50000</v>
      </c>
    </row>
    <row r="26" spans="1:18" x14ac:dyDescent="0.25">
      <c r="A26" t="str">
        <f>_xlfn.XLOOKUP(C26,Raw_Data_Transaksi!$A$1:$A$1001,Raw_Data_Transaksi!$D$1:$D$1001,,0)</f>
        <v>PRD-102</v>
      </c>
      <c r="B26" t="str">
        <f>_xlfn.XLOOKUP(C26,Raw_Data_Transaksi!$A$1:$A$1001,Raw_Data_Transaksi!$C$1:$C$1001,,0)</f>
        <v>SLS-01</v>
      </c>
      <c r="C26" s="6" t="s">
        <v>107</v>
      </c>
      <c r="D26" s="7">
        <v>45775</v>
      </c>
      <c r="E26" s="10" t="str">
        <f>VLOOKUP(B26,Master_Sales!$A$1:$D$9,2,FALSE)</f>
        <v>Andi Pratama</v>
      </c>
      <c r="F26" s="10" t="str">
        <f>INDEX(Master_Sales!$D$1:$D$9,MATCH(Lembar_Kerja_Analisis!B26,Master_Sales!$A$1:$A$9,0))</f>
        <v>Barat</v>
      </c>
      <c r="G26" s="10" t="str">
        <f>INDEX(Master_Sales!$C$1:$C$9,MATCH(Lembar_Kerja_Analisis!B26,Master_Sales!$A$1:$A$9,0))</f>
        <v>Jakarta</v>
      </c>
      <c r="H26" s="10" t="str">
        <f>VLOOKUP(A26,Master_Produk!$A$1:$E$16,2,FALSE)</f>
        <v>Wireless Mouse Ergonomic</v>
      </c>
      <c r="I26" s="10" t="str">
        <f>INDEX(Master_Produk!$C$1:$C$16,MATCH(Lembar_Kerja_Analisis!A26,Master_Produk!$A$1:$A$16,0))</f>
        <v>Elektronik</v>
      </c>
      <c r="J26" s="19">
        <f>_xlfn.XLOOKUP(A26,Master_Produk!$A$1:$A$16,Master_Produk!$D$1:$D$16,,0)</f>
        <v>250000</v>
      </c>
      <c r="K26" s="19">
        <f>INDEX(Master_Produk!$E$1:$E$16,MATCH(Lembar_Kerja_Analisis!A26,Master_Produk!$A$1:$A$16,0))</f>
        <v>160000</v>
      </c>
      <c r="L26" s="8">
        <v>6</v>
      </c>
      <c r="M26" s="19">
        <f t="shared" si="0"/>
        <v>1500000</v>
      </c>
      <c r="N26" s="9">
        <v>0</v>
      </c>
      <c r="O26" s="19">
        <f t="shared" si="1"/>
        <v>0</v>
      </c>
      <c r="P26" s="19">
        <f t="shared" si="2"/>
        <v>1500000</v>
      </c>
      <c r="Q26" s="19">
        <f t="shared" si="3"/>
        <v>960000</v>
      </c>
      <c r="R26" s="19">
        <f t="shared" si="4"/>
        <v>540000</v>
      </c>
    </row>
    <row r="27" spans="1:18" x14ac:dyDescent="0.25">
      <c r="A27" t="str">
        <f>_xlfn.XLOOKUP(C27,Raw_Data_Transaksi!$A$1:$A$1001,Raw_Data_Transaksi!$D$1:$D$1001,,0)</f>
        <v>PRD-109</v>
      </c>
      <c r="B27" t="str">
        <f>_xlfn.XLOOKUP(C27,Raw_Data_Transaksi!$A$1:$A$1001,Raw_Data_Transaksi!$C$1:$C$1001,,0)</f>
        <v>SLS-03</v>
      </c>
      <c r="C27" s="6" t="s">
        <v>108</v>
      </c>
      <c r="D27" s="7">
        <v>45767</v>
      </c>
      <c r="E27" s="10" t="str">
        <f>VLOOKUP(B27,Master_Sales!$A$1:$D$9,2,FALSE)</f>
        <v>Citra Lestari</v>
      </c>
      <c r="F27" s="10" t="str">
        <f>INDEX(Master_Sales!$D$1:$D$9,MATCH(Lembar_Kerja_Analisis!B27,Master_Sales!$A$1:$A$9,0))</f>
        <v>Barat</v>
      </c>
      <c r="G27" s="10" t="str">
        <f>INDEX(Master_Sales!$C$1:$C$9,MATCH(Lembar_Kerja_Analisis!B27,Master_Sales!$A$1:$A$9,0))</f>
        <v>Bandung</v>
      </c>
      <c r="H27" s="10" t="str">
        <f>VLOOKUP(A27,Master_Produk!$A$1:$E$16,2,FALSE)</f>
        <v>Kopi Arabika Gayo 250g</v>
      </c>
      <c r="I27" s="10" t="str">
        <f>INDEX(Master_Produk!$C$1:$C$16,MATCH(Lembar_Kerja_Analisis!A27,Master_Produk!$A$1:$A$16,0))</f>
        <v>F&amp;B</v>
      </c>
      <c r="J27" s="19">
        <f>_xlfn.XLOOKUP(A27,Master_Produk!$A$1:$A$16,Master_Produk!$D$1:$D$16,,0)</f>
        <v>85000</v>
      </c>
      <c r="K27" s="19">
        <f>INDEX(Master_Produk!$E$1:$E$16,MATCH(Lembar_Kerja_Analisis!A27,Master_Produk!$A$1:$A$16,0))</f>
        <v>55000</v>
      </c>
      <c r="L27" s="8">
        <v>21</v>
      </c>
      <c r="M27" s="19">
        <f t="shared" si="0"/>
        <v>1785000</v>
      </c>
      <c r="N27" s="9">
        <v>0.2</v>
      </c>
      <c r="O27" s="19">
        <f t="shared" si="1"/>
        <v>357000</v>
      </c>
      <c r="P27" s="19">
        <f t="shared" si="2"/>
        <v>1428000</v>
      </c>
      <c r="Q27" s="19">
        <f t="shared" si="3"/>
        <v>1155000</v>
      </c>
      <c r="R27" s="19">
        <f t="shared" si="4"/>
        <v>273000</v>
      </c>
    </row>
    <row r="28" spans="1:18" x14ac:dyDescent="0.25">
      <c r="A28" t="str">
        <f>_xlfn.XLOOKUP(C28,Raw_Data_Transaksi!$A$1:$A$1001,Raw_Data_Transaksi!$D$1:$D$1001,,0)</f>
        <v>PRD-104</v>
      </c>
      <c r="B28" t="str">
        <f>_xlfn.XLOOKUP(C28,Raw_Data_Transaksi!$A$1:$A$1001,Raw_Data_Transaksi!$C$1:$C$1001,,0)</f>
        <v>SLS-02</v>
      </c>
      <c r="C28" s="6" t="s">
        <v>109</v>
      </c>
      <c r="D28" s="7">
        <v>45866</v>
      </c>
      <c r="E28" s="10" t="str">
        <f>VLOOKUP(B28,Master_Sales!$A$1:$D$9,2,FALSE)</f>
        <v>Budi Santoso</v>
      </c>
      <c r="F28" s="10" t="str">
        <f>INDEX(Master_Sales!$D$1:$D$9,MATCH(Lembar_Kerja_Analisis!B28,Master_Sales!$A$1:$A$9,0))</f>
        <v>Timur</v>
      </c>
      <c r="G28" s="10" t="str">
        <f>INDEX(Master_Sales!$C$1:$C$9,MATCH(Lembar_Kerja_Analisis!B28,Master_Sales!$A$1:$A$9,0))</f>
        <v>Surabaya</v>
      </c>
      <c r="H28" s="10" t="str">
        <f>VLOOKUP(A28,Master_Produk!$A$1:$E$16,2,FALSE)</f>
        <v>Monitor 24" FHD 144Hz</v>
      </c>
      <c r="I28" s="10" t="str">
        <f>INDEX(Master_Produk!$C$1:$C$16,MATCH(Lembar_Kerja_Analisis!A28,Master_Produk!$A$1:$A$16,0))</f>
        <v>Elektronik</v>
      </c>
      <c r="J28" s="19">
        <f>_xlfn.XLOOKUP(A28,Master_Produk!$A$1:$A$16,Master_Produk!$D$1:$D$16,,0)</f>
        <v>1950000</v>
      </c>
      <c r="K28" s="19">
        <f>INDEX(Master_Produk!$E$1:$E$16,MATCH(Lembar_Kerja_Analisis!A28,Master_Produk!$A$1:$A$16,0))</f>
        <v>1500000</v>
      </c>
      <c r="L28" s="8">
        <v>2</v>
      </c>
      <c r="M28" s="19">
        <f t="shared" si="0"/>
        <v>3900000</v>
      </c>
      <c r="N28" s="9">
        <v>0.15</v>
      </c>
      <c r="O28" s="19">
        <f t="shared" si="1"/>
        <v>585000</v>
      </c>
      <c r="P28" s="19">
        <f t="shared" si="2"/>
        <v>3315000</v>
      </c>
      <c r="Q28" s="19">
        <f t="shared" si="3"/>
        <v>3000000</v>
      </c>
      <c r="R28" s="19">
        <f t="shared" si="4"/>
        <v>315000</v>
      </c>
    </row>
    <row r="29" spans="1:18" x14ac:dyDescent="0.25">
      <c r="A29" t="str">
        <f>_xlfn.XLOOKUP(C29,Raw_Data_Transaksi!$A$1:$A$1001,Raw_Data_Transaksi!$D$1:$D$1001,,0)</f>
        <v>PRD-114</v>
      </c>
      <c r="B29" t="str">
        <f>_xlfn.XLOOKUP(C29,Raw_Data_Transaksi!$A$1:$A$1001,Raw_Data_Transaksi!$C$1:$C$1001,,0)</f>
        <v>SLS-01</v>
      </c>
      <c r="C29" s="6" t="s">
        <v>110</v>
      </c>
      <c r="D29" s="7">
        <v>45897</v>
      </c>
      <c r="E29" s="10" t="str">
        <f>VLOOKUP(B29,Master_Sales!$A$1:$D$9,2,FALSE)</f>
        <v>Andi Pratama</v>
      </c>
      <c r="F29" s="10" t="str">
        <f>INDEX(Master_Sales!$D$1:$D$9,MATCH(Lembar_Kerja_Analisis!B29,Master_Sales!$A$1:$A$9,0))</f>
        <v>Barat</v>
      </c>
      <c r="G29" s="10" t="str">
        <f>INDEX(Master_Sales!$C$1:$C$9,MATCH(Lembar_Kerja_Analisis!B29,Master_Sales!$A$1:$A$9,0))</f>
        <v>Jakarta</v>
      </c>
      <c r="H29" s="10" t="str">
        <f>VLOOKUP(A29,Master_Produk!$A$1:$E$16,2,FALSE)</f>
        <v>Blender Multifungsi 2-in-1</v>
      </c>
      <c r="I29" s="10" t="str">
        <f>INDEX(Master_Produk!$C$1:$C$16,MATCH(Lembar_Kerja_Analisis!A29,Master_Produk!$A$1:$A$16,0))</f>
        <v>Peralatan Rumah</v>
      </c>
      <c r="J29" s="19">
        <f>_xlfn.XLOOKUP(A29,Master_Produk!$A$1:$A$16,Master_Produk!$D$1:$D$16,,0)</f>
        <v>340000</v>
      </c>
      <c r="K29" s="19">
        <f>INDEX(Master_Produk!$E$1:$E$16,MATCH(Lembar_Kerja_Analisis!A29,Master_Produk!$A$1:$A$16,0))</f>
        <v>240000</v>
      </c>
      <c r="L29" s="8">
        <v>11</v>
      </c>
      <c r="M29" s="19">
        <f t="shared" si="0"/>
        <v>3740000</v>
      </c>
      <c r="N29" s="9">
        <v>0</v>
      </c>
      <c r="O29" s="19">
        <f t="shared" si="1"/>
        <v>0</v>
      </c>
      <c r="P29" s="19">
        <f t="shared" si="2"/>
        <v>3740000</v>
      </c>
      <c r="Q29" s="19">
        <f t="shared" si="3"/>
        <v>2640000</v>
      </c>
      <c r="R29" s="19">
        <f t="shared" si="4"/>
        <v>1100000</v>
      </c>
    </row>
    <row r="30" spans="1:18" x14ac:dyDescent="0.25">
      <c r="A30" t="str">
        <f>_xlfn.XLOOKUP(C30,Raw_Data_Transaksi!$A$1:$A$1001,Raw_Data_Transaksi!$D$1:$D$1001,,0)</f>
        <v>PRD-104</v>
      </c>
      <c r="B30" t="str">
        <f>_xlfn.XLOOKUP(C30,Raw_Data_Transaksi!$A$1:$A$1001,Raw_Data_Transaksi!$C$1:$C$1001,,0)</f>
        <v>SLS-04</v>
      </c>
      <c r="C30" s="6" t="s">
        <v>112</v>
      </c>
      <c r="D30" s="7">
        <v>45713</v>
      </c>
      <c r="E30" s="10" t="str">
        <f>VLOOKUP(B30,Master_Sales!$A$1:$D$9,2,FALSE)</f>
        <v>Dewi Anggraini</v>
      </c>
      <c r="F30" s="10" t="str">
        <f>INDEX(Master_Sales!$D$1:$D$9,MATCH(Lembar_Kerja_Analisis!B30,Master_Sales!$A$1:$A$9,0))</f>
        <v>Barat</v>
      </c>
      <c r="G30" s="10" t="str">
        <f>INDEX(Master_Sales!$C$1:$C$9,MATCH(Lembar_Kerja_Analisis!B30,Master_Sales!$A$1:$A$9,0))</f>
        <v>Medan</v>
      </c>
      <c r="H30" s="10" t="str">
        <f>VLOOKUP(A30,Master_Produk!$A$1:$E$16,2,FALSE)</f>
        <v>Monitor 24" FHD 144Hz</v>
      </c>
      <c r="I30" s="10" t="str">
        <f>INDEX(Master_Produk!$C$1:$C$16,MATCH(Lembar_Kerja_Analisis!A30,Master_Produk!$A$1:$A$16,0))</f>
        <v>Elektronik</v>
      </c>
      <c r="J30" s="19">
        <f>_xlfn.XLOOKUP(A30,Master_Produk!$A$1:$A$16,Master_Produk!$D$1:$D$16,,0)</f>
        <v>1950000</v>
      </c>
      <c r="K30" s="19">
        <f>INDEX(Master_Produk!$E$1:$E$16,MATCH(Lembar_Kerja_Analisis!A30,Master_Produk!$A$1:$A$16,0))</f>
        <v>1500000</v>
      </c>
      <c r="L30" s="8">
        <v>4</v>
      </c>
      <c r="M30" s="19">
        <f t="shared" si="0"/>
        <v>7800000</v>
      </c>
      <c r="N30" s="9">
        <v>0.2</v>
      </c>
      <c r="O30" s="19">
        <f t="shared" si="1"/>
        <v>1560000</v>
      </c>
      <c r="P30" s="19">
        <f t="shared" si="2"/>
        <v>6240000</v>
      </c>
      <c r="Q30" s="19">
        <f t="shared" si="3"/>
        <v>6000000</v>
      </c>
      <c r="R30" s="19">
        <f t="shared" si="4"/>
        <v>240000</v>
      </c>
    </row>
    <row r="31" spans="1:18" x14ac:dyDescent="0.25">
      <c r="A31" t="str">
        <f>_xlfn.XLOOKUP(C31,Raw_Data_Transaksi!$A$1:$A$1001,Raw_Data_Transaksi!$D$1:$D$1001,,0)</f>
        <v>PRD-105</v>
      </c>
      <c r="B31" t="str">
        <f>_xlfn.XLOOKUP(C31,Raw_Data_Transaksi!$A$1:$A$1001,Raw_Data_Transaksi!$C$1:$C$1001,,0)</f>
        <v>SLS-08</v>
      </c>
      <c r="C31" s="6" t="s">
        <v>113</v>
      </c>
      <c r="D31" s="7">
        <v>45751</v>
      </c>
      <c r="E31" s="10" t="str">
        <f>VLOOKUP(B31,Master_Sales!$A$1:$D$9,2,FALSE)</f>
        <v>Hendra Wijaya</v>
      </c>
      <c r="F31" s="10" t="str">
        <f>INDEX(Master_Sales!$D$1:$D$9,MATCH(Lembar_Kerja_Analisis!B31,Master_Sales!$A$1:$A$9,0))</f>
        <v>Tengah</v>
      </c>
      <c r="G31" s="10" t="str">
        <f>INDEX(Master_Sales!$C$1:$C$9,MATCH(Lembar_Kerja_Analisis!B31,Master_Sales!$A$1:$A$9,0))</f>
        <v>Yogyakarta</v>
      </c>
      <c r="H31" s="10" t="str">
        <f>VLOOKUP(A31,Master_Produk!$A$1:$E$16,2,FALSE)</f>
        <v>Kemeja Batik Katun Premium</v>
      </c>
      <c r="I31" s="10" t="str">
        <f>INDEX(Master_Produk!$C$1:$C$16,MATCH(Lembar_Kerja_Analisis!A31,Master_Produk!$A$1:$A$16,0))</f>
        <v>Fashion</v>
      </c>
      <c r="J31" s="19">
        <f>_xlfn.XLOOKUP(A31,Master_Produk!$A$1:$A$16,Master_Produk!$D$1:$D$16,,0)</f>
        <v>320000</v>
      </c>
      <c r="K31" s="19">
        <f>INDEX(Master_Produk!$E$1:$E$16,MATCH(Lembar_Kerja_Analisis!A31,Master_Produk!$A$1:$A$16,0))</f>
        <v>190000</v>
      </c>
      <c r="L31" s="8">
        <v>4</v>
      </c>
      <c r="M31" s="19">
        <f t="shared" si="0"/>
        <v>1280000</v>
      </c>
      <c r="N31" s="9">
        <v>0</v>
      </c>
      <c r="O31" s="19">
        <f t="shared" si="1"/>
        <v>0</v>
      </c>
      <c r="P31" s="19">
        <f t="shared" si="2"/>
        <v>1280000</v>
      </c>
      <c r="Q31" s="19">
        <f t="shared" si="3"/>
        <v>760000</v>
      </c>
      <c r="R31" s="19">
        <f t="shared" si="4"/>
        <v>520000</v>
      </c>
    </row>
    <row r="32" spans="1:18" x14ac:dyDescent="0.25">
      <c r="A32" t="str">
        <f>_xlfn.XLOOKUP(C32,Raw_Data_Transaksi!$A$1:$A$1001,Raw_Data_Transaksi!$D$1:$D$1001,,0)</f>
        <v>PRD-111</v>
      </c>
      <c r="B32" t="str">
        <f>_xlfn.XLOOKUP(C32,Raw_Data_Transaksi!$A$1:$A$1001,Raw_Data_Transaksi!$C$1:$C$1001,,0)</f>
        <v>SLS-01</v>
      </c>
      <c r="C32" s="6" t="s">
        <v>114</v>
      </c>
      <c r="D32" s="7">
        <v>45683</v>
      </c>
      <c r="E32" s="10" t="str">
        <f>VLOOKUP(B32,Master_Sales!$A$1:$D$9,2,FALSE)</f>
        <v>Andi Pratama</v>
      </c>
      <c r="F32" s="10" t="str">
        <f>INDEX(Master_Sales!$D$1:$D$9,MATCH(Lembar_Kerja_Analisis!B32,Master_Sales!$A$1:$A$9,0))</f>
        <v>Barat</v>
      </c>
      <c r="G32" s="10" t="str">
        <f>INDEX(Master_Sales!$C$1:$C$9,MATCH(Lembar_Kerja_Analisis!B32,Master_Sales!$A$1:$A$9,0))</f>
        <v>Jakarta</v>
      </c>
      <c r="H32" s="10" t="str">
        <f>VLOOKUP(A32,Master_Produk!$A$1:$E$16,2,FALSE)</f>
        <v>Beras Premium 5kg</v>
      </c>
      <c r="I32" s="10" t="str">
        <f>INDEX(Master_Produk!$C$1:$C$16,MATCH(Lembar_Kerja_Analisis!A32,Master_Produk!$A$1:$A$16,0))</f>
        <v>F&amp;B</v>
      </c>
      <c r="J32" s="19">
        <f>_xlfn.XLOOKUP(A32,Master_Produk!$A$1:$A$16,Master_Produk!$D$1:$D$16,,0)</f>
        <v>74000</v>
      </c>
      <c r="K32" s="19">
        <f>INDEX(Master_Produk!$E$1:$E$16,MATCH(Lembar_Kerja_Analisis!A32,Master_Produk!$A$1:$A$16,0))</f>
        <v>65000</v>
      </c>
      <c r="L32" s="8">
        <v>27</v>
      </c>
      <c r="M32" s="19">
        <f t="shared" si="0"/>
        <v>1998000</v>
      </c>
      <c r="N32" s="9">
        <v>0.05</v>
      </c>
      <c r="O32" s="19">
        <f t="shared" si="1"/>
        <v>99900</v>
      </c>
      <c r="P32" s="19">
        <f t="shared" si="2"/>
        <v>1898100</v>
      </c>
      <c r="Q32" s="19">
        <f t="shared" si="3"/>
        <v>1755000</v>
      </c>
      <c r="R32" s="19">
        <f t="shared" si="4"/>
        <v>143100</v>
      </c>
    </row>
    <row r="33" spans="1:18" x14ac:dyDescent="0.25">
      <c r="A33" t="str">
        <f>_xlfn.XLOOKUP(C33,Raw_Data_Transaksi!$A$1:$A$1001,Raw_Data_Transaksi!$D$1:$D$1001,,0)</f>
        <v>PRD-104</v>
      </c>
      <c r="B33" t="str">
        <f>_xlfn.XLOOKUP(C33,Raw_Data_Transaksi!$A$1:$A$1001,Raw_Data_Transaksi!$C$1:$C$1001,,0)</f>
        <v>SLS-07</v>
      </c>
      <c r="C33" s="6" t="s">
        <v>115</v>
      </c>
      <c r="D33" s="7">
        <v>45904</v>
      </c>
      <c r="E33" s="10" t="str">
        <f>VLOOKUP(B33,Master_Sales!$A$1:$D$9,2,FALSE)</f>
        <v>Gita Permata</v>
      </c>
      <c r="F33" s="10" t="str">
        <f>INDEX(Master_Sales!$D$1:$D$9,MATCH(Lembar_Kerja_Analisis!B33,Master_Sales!$A$1:$A$9,0))</f>
        <v>Tengah</v>
      </c>
      <c r="G33" s="10" t="str">
        <f>INDEX(Master_Sales!$C$1:$C$9,MATCH(Lembar_Kerja_Analisis!B33,Master_Sales!$A$1:$A$9,0))</f>
        <v>Denpasar</v>
      </c>
      <c r="H33" s="10" t="str">
        <f>VLOOKUP(A33,Master_Produk!$A$1:$E$16,2,FALSE)</f>
        <v>Monitor 24" FHD 144Hz</v>
      </c>
      <c r="I33" s="10" t="str">
        <f>INDEX(Master_Produk!$C$1:$C$16,MATCH(Lembar_Kerja_Analisis!A33,Master_Produk!$A$1:$A$16,0))</f>
        <v>Elektronik</v>
      </c>
      <c r="J33" s="19">
        <f>_xlfn.XLOOKUP(A33,Master_Produk!$A$1:$A$16,Master_Produk!$D$1:$D$16,,0)</f>
        <v>1950000</v>
      </c>
      <c r="K33" s="19">
        <f>INDEX(Master_Produk!$E$1:$E$16,MATCH(Lembar_Kerja_Analisis!A33,Master_Produk!$A$1:$A$16,0))</f>
        <v>1500000</v>
      </c>
      <c r="L33" s="8">
        <v>1</v>
      </c>
      <c r="M33" s="19">
        <f t="shared" si="0"/>
        <v>1950000</v>
      </c>
      <c r="N33" s="9">
        <v>0.05</v>
      </c>
      <c r="O33" s="19">
        <f t="shared" si="1"/>
        <v>97500</v>
      </c>
      <c r="P33" s="19">
        <f t="shared" si="2"/>
        <v>1852500</v>
      </c>
      <c r="Q33" s="19">
        <f t="shared" si="3"/>
        <v>1500000</v>
      </c>
      <c r="R33" s="19">
        <f t="shared" si="4"/>
        <v>352500</v>
      </c>
    </row>
    <row r="34" spans="1:18" x14ac:dyDescent="0.25">
      <c r="A34" t="str">
        <f>_xlfn.XLOOKUP(C34,Raw_Data_Transaksi!$A$1:$A$1001,Raw_Data_Transaksi!$D$1:$D$1001,,0)</f>
        <v>PRD-115</v>
      </c>
      <c r="B34" t="str">
        <f>_xlfn.XLOOKUP(C34,Raw_Data_Transaksi!$A$1:$A$1001,Raw_Data_Transaksi!$C$1:$C$1001,,0)</f>
        <v>SLS-08</v>
      </c>
      <c r="C34" s="6" t="s">
        <v>117</v>
      </c>
      <c r="D34" s="7">
        <v>45793</v>
      </c>
      <c r="E34" s="10" t="str">
        <f>VLOOKUP(B34,Master_Sales!$A$1:$D$9,2,FALSE)</f>
        <v>Hendra Wijaya</v>
      </c>
      <c r="F34" s="10" t="str">
        <f>INDEX(Master_Sales!$D$1:$D$9,MATCH(Lembar_Kerja_Analisis!B34,Master_Sales!$A$1:$A$9,0))</f>
        <v>Tengah</v>
      </c>
      <c r="G34" s="10" t="str">
        <f>INDEX(Master_Sales!$C$1:$C$9,MATCH(Lembar_Kerja_Analisis!B34,Master_Sales!$A$1:$A$9,0))</f>
        <v>Yogyakarta</v>
      </c>
      <c r="H34" s="10" t="str">
        <f>VLOOKUP(A34,Master_Produk!$A$1:$E$16,2,FALSE)</f>
        <v>Set Pisau Dapur Stainless</v>
      </c>
      <c r="I34" s="10" t="str">
        <f>INDEX(Master_Produk!$C$1:$C$16,MATCH(Lembar_Kerja_Analisis!A34,Master_Produk!$A$1:$A$16,0))</f>
        <v>Peralatan Rumah</v>
      </c>
      <c r="J34" s="19">
        <f>_xlfn.XLOOKUP(A34,Master_Produk!$A$1:$A$16,Master_Produk!$D$1:$D$16,,0)</f>
        <v>165000</v>
      </c>
      <c r="K34" s="19">
        <f>INDEX(Master_Produk!$E$1:$E$16,MATCH(Lembar_Kerja_Analisis!A34,Master_Produk!$A$1:$A$16,0))</f>
        <v>105000</v>
      </c>
      <c r="L34" s="8">
        <v>5</v>
      </c>
      <c r="M34" s="19">
        <f t="shared" si="0"/>
        <v>825000</v>
      </c>
      <c r="N34" s="9">
        <v>0.15</v>
      </c>
      <c r="O34" s="19">
        <f t="shared" si="1"/>
        <v>123750</v>
      </c>
      <c r="P34" s="19">
        <f t="shared" si="2"/>
        <v>701250</v>
      </c>
      <c r="Q34" s="19">
        <f t="shared" si="3"/>
        <v>525000</v>
      </c>
      <c r="R34" s="19">
        <f t="shared" si="4"/>
        <v>176250</v>
      </c>
    </row>
    <row r="35" spans="1:18" x14ac:dyDescent="0.25">
      <c r="A35" t="str">
        <f>_xlfn.XLOOKUP(C35,Raw_Data_Transaksi!$A$1:$A$1001,Raw_Data_Transaksi!$D$1:$D$1001,,0)</f>
        <v>PRD-104</v>
      </c>
      <c r="B35" t="str">
        <f>_xlfn.XLOOKUP(C35,Raw_Data_Transaksi!$A$1:$A$1001,Raw_Data_Transaksi!$C$1:$C$1001,,0)</f>
        <v>SLS-01</v>
      </c>
      <c r="C35" s="6" t="s">
        <v>118</v>
      </c>
      <c r="D35" s="7">
        <v>45809</v>
      </c>
      <c r="E35" s="10" t="str">
        <f>VLOOKUP(B35,Master_Sales!$A$1:$D$9,2,FALSE)</f>
        <v>Andi Pratama</v>
      </c>
      <c r="F35" s="10" t="str">
        <f>INDEX(Master_Sales!$D$1:$D$9,MATCH(Lembar_Kerja_Analisis!B35,Master_Sales!$A$1:$A$9,0))</f>
        <v>Barat</v>
      </c>
      <c r="G35" s="10" t="str">
        <f>INDEX(Master_Sales!$C$1:$C$9,MATCH(Lembar_Kerja_Analisis!B35,Master_Sales!$A$1:$A$9,0))</f>
        <v>Jakarta</v>
      </c>
      <c r="H35" s="10" t="str">
        <f>VLOOKUP(A35,Master_Produk!$A$1:$E$16,2,FALSE)</f>
        <v>Monitor 24" FHD 144Hz</v>
      </c>
      <c r="I35" s="10" t="str">
        <f>INDEX(Master_Produk!$C$1:$C$16,MATCH(Lembar_Kerja_Analisis!A35,Master_Produk!$A$1:$A$16,0))</f>
        <v>Elektronik</v>
      </c>
      <c r="J35" s="19">
        <f>_xlfn.XLOOKUP(A35,Master_Produk!$A$1:$A$16,Master_Produk!$D$1:$D$16,,0)</f>
        <v>1950000</v>
      </c>
      <c r="K35" s="19">
        <f>INDEX(Master_Produk!$E$1:$E$16,MATCH(Lembar_Kerja_Analisis!A35,Master_Produk!$A$1:$A$16,0))</f>
        <v>1500000</v>
      </c>
      <c r="L35" s="8">
        <v>10</v>
      </c>
      <c r="M35" s="19">
        <f t="shared" si="0"/>
        <v>19500000</v>
      </c>
      <c r="N35" s="9">
        <v>0.2</v>
      </c>
      <c r="O35" s="19">
        <f t="shared" si="1"/>
        <v>3900000</v>
      </c>
      <c r="P35" s="19">
        <f t="shared" si="2"/>
        <v>15600000</v>
      </c>
      <c r="Q35" s="19">
        <f t="shared" si="3"/>
        <v>15000000</v>
      </c>
      <c r="R35" s="19">
        <f t="shared" si="4"/>
        <v>600000</v>
      </c>
    </row>
    <row r="36" spans="1:18" x14ac:dyDescent="0.25">
      <c r="A36" t="str">
        <f>_xlfn.XLOOKUP(C36,Raw_Data_Transaksi!$A$1:$A$1001,Raw_Data_Transaksi!$D$1:$D$1001,,0)</f>
        <v>PRD-101</v>
      </c>
      <c r="B36" t="str">
        <f>_xlfn.XLOOKUP(C36,Raw_Data_Transaksi!$A$1:$A$1001,Raw_Data_Transaksi!$C$1:$C$1001,,0)</f>
        <v>SLS-08</v>
      </c>
      <c r="C36" s="6" t="s">
        <v>119</v>
      </c>
      <c r="D36" s="7">
        <v>45687</v>
      </c>
      <c r="E36" s="10" t="str">
        <f>VLOOKUP(B36,Master_Sales!$A$1:$D$9,2,FALSE)</f>
        <v>Hendra Wijaya</v>
      </c>
      <c r="F36" s="10" t="str">
        <f>INDEX(Master_Sales!$D$1:$D$9,MATCH(Lembar_Kerja_Analisis!B36,Master_Sales!$A$1:$A$9,0))</f>
        <v>Tengah</v>
      </c>
      <c r="G36" s="10" t="str">
        <f>INDEX(Master_Sales!$C$1:$C$9,MATCH(Lembar_Kerja_Analisis!B36,Master_Sales!$A$1:$A$9,0))</f>
        <v>Yogyakarta</v>
      </c>
      <c r="H36" s="10" t="str">
        <f>VLOOKUP(A36,Master_Produk!$A$1:$E$16,2,FALSE)</f>
        <v>Laptop Ultrabook 14"</v>
      </c>
      <c r="I36" s="10" t="str">
        <f>INDEX(Master_Produk!$C$1:$C$16,MATCH(Lembar_Kerja_Analisis!A36,Master_Produk!$A$1:$A$16,0))</f>
        <v>Elektronik</v>
      </c>
      <c r="J36" s="19">
        <f>_xlfn.XLOOKUP(A36,Master_Produk!$A$1:$A$16,Master_Produk!$D$1:$D$16,,0)</f>
        <v>8500000</v>
      </c>
      <c r="K36" s="19">
        <f>INDEX(Master_Produk!$E$1:$E$16,MATCH(Lembar_Kerja_Analisis!A36,Master_Produk!$A$1:$A$16,0))</f>
        <v>7200000</v>
      </c>
      <c r="L36" s="8">
        <v>9</v>
      </c>
      <c r="M36" s="19">
        <f t="shared" si="0"/>
        <v>76500000</v>
      </c>
      <c r="N36" s="9">
        <v>0.2</v>
      </c>
      <c r="O36" s="19">
        <f t="shared" si="1"/>
        <v>15300000</v>
      </c>
      <c r="P36" s="19">
        <f t="shared" si="2"/>
        <v>61200000</v>
      </c>
      <c r="Q36" s="19">
        <f t="shared" si="3"/>
        <v>64800000</v>
      </c>
      <c r="R36" s="19">
        <f t="shared" si="4"/>
        <v>-3600000</v>
      </c>
    </row>
    <row r="37" spans="1:18" x14ac:dyDescent="0.25">
      <c r="A37" t="str">
        <f>_xlfn.XLOOKUP(C37,Raw_Data_Transaksi!$A$1:$A$1001,Raw_Data_Transaksi!$D$1:$D$1001,,0)</f>
        <v>PRD-102</v>
      </c>
      <c r="B37" t="str">
        <f>_xlfn.XLOOKUP(C37,Raw_Data_Transaksi!$A$1:$A$1001,Raw_Data_Transaksi!$C$1:$C$1001,,0)</f>
        <v>SLS-02</v>
      </c>
      <c r="C37" s="6" t="s">
        <v>121</v>
      </c>
      <c r="D37" s="7">
        <v>45753</v>
      </c>
      <c r="E37" s="10" t="str">
        <f>VLOOKUP(B37,Master_Sales!$A$1:$D$9,2,FALSE)</f>
        <v>Budi Santoso</v>
      </c>
      <c r="F37" s="10" t="str">
        <f>INDEX(Master_Sales!$D$1:$D$9,MATCH(Lembar_Kerja_Analisis!B37,Master_Sales!$A$1:$A$9,0))</f>
        <v>Timur</v>
      </c>
      <c r="G37" s="10" t="str">
        <f>INDEX(Master_Sales!$C$1:$C$9,MATCH(Lembar_Kerja_Analisis!B37,Master_Sales!$A$1:$A$9,0))</f>
        <v>Surabaya</v>
      </c>
      <c r="H37" s="10" t="str">
        <f>VLOOKUP(A37,Master_Produk!$A$1:$E$16,2,FALSE)</f>
        <v>Wireless Mouse Ergonomic</v>
      </c>
      <c r="I37" s="10" t="str">
        <f>INDEX(Master_Produk!$C$1:$C$16,MATCH(Lembar_Kerja_Analisis!A37,Master_Produk!$A$1:$A$16,0))</f>
        <v>Elektronik</v>
      </c>
      <c r="J37" s="19">
        <f>_xlfn.XLOOKUP(A37,Master_Produk!$A$1:$A$16,Master_Produk!$D$1:$D$16,,0)</f>
        <v>250000</v>
      </c>
      <c r="K37" s="19">
        <f>INDEX(Master_Produk!$E$1:$E$16,MATCH(Lembar_Kerja_Analisis!A37,Master_Produk!$A$1:$A$16,0))</f>
        <v>160000</v>
      </c>
      <c r="L37" s="8">
        <v>11</v>
      </c>
      <c r="M37" s="19">
        <f t="shared" si="0"/>
        <v>2750000</v>
      </c>
      <c r="N37" s="9">
        <v>0.05</v>
      </c>
      <c r="O37" s="19">
        <f t="shared" si="1"/>
        <v>137500</v>
      </c>
      <c r="P37" s="19">
        <f t="shared" si="2"/>
        <v>2612500</v>
      </c>
      <c r="Q37" s="19">
        <f t="shared" si="3"/>
        <v>1760000</v>
      </c>
      <c r="R37" s="19">
        <f t="shared" si="4"/>
        <v>852500</v>
      </c>
    </row>
    <row r="38" spans="1:18" x14ac:dyDescent="0.25">
      <c r="A38" t="str">
        <f>_xlfn.XLOOKUP(C38,Raw_Data_Transaksi!$A$1:$A$1001,Raw_Data_Transaksi!$D$1:$D$1001,,0)</f>
        <v>PRD-110</v>
      </c>
      <c r="B38" t="str">
        <f>_xlfn.XLOOKUP(C38,Raw_Data_Transaksi!$A$1:$A$1001,Raw_Data_Transaksi!$C$1:$C$1001,,0)</f>
        <v>SLS-01</v>
      </c>
      <c r="C38" s="6" t="s">
        <v>122</v>
      </c>
      <c r="D38" s="7">
        <v>45954</v>
      </c>
      <c r="E38" s="10" t="str">
        <f>VLOOKUP(B38,Master_Sales!$A$1:$D$9,2,FALSE)</f>
        <v>Andi Pratama</v>
      </c>
      <c r="F38" s="10" t="str">
        <f>INDEX(Master_Sales!$D$1:$D$9,MATCH(Lembar_Kerja_Analisis!B38,Master_Sales!$A$1:$A$9,0))</f>
        <v>Barat</v>
      </c>
      <c r="G38" s="10" t="str">
        <f>INDEX(Master_Sales!$C$1:$C$9,MATCH(Lembar_Kerja_Analisis!B38,Master_Sales!$A$1:$A$9,0))</f>
        <v>Jakarta</v>
      </c>
      <c r="H38" s="10" t="str">
        <f>VLOOKUP(A38,Master_Produk!$A$1:$E$16,2,FALSE)</f>
        <v>Minyak Goreng Sawit 2L</v>
      </c>
      <c r="I38" s="10" t="str">
        <f>INDEX(Master_Produk!$C$1:$C$16,MATCH(Lembar_Kerja_Analisis!A38,Master_Produk!$A$1:$A$16,0))</f>
        <v>F&amp;B</v>
      </c>
      <c r="J38" s="19">
        <f>_xlfn.XLOOKUP(A38,Master_Produk!$A$1:$A$16,Master_Produk!$D$1:$D$16,,0)</f>
        <v>36000</v>
      </c>
      <c r="K38" s="19">
        <f>INDEX(Master_Produk!$E$1:$E$16,MATCH(Lembar_Kerja_Analisis!A38,Master_Produk!$A$1:$A$16,0))</f>
        <v>31000</v>
      </c>
      <c r="L38" s="8">
        <v>5</v>
      </c>
      <c r="M38" s="19">
        <f t="shared" si="0"/>
        <v>180000</v>
      </c>
      <c r="N38" s="9">
        <v>0.15</v>
      </c>
      <c r="O38" s="19">
        <f t="shared" si="1"/>
        <v>27000</v>
      </c>
      <c r="P38" s="19">
        <f t="shared" si="2"/>
        <v>153000</v>
      </c>
      <c r="Q38" s="19">
        <f t="shared" si="3"/>
        <v>155000</v>
      </c>
      <c r="R38" s="19">
        <f t="shared" si="4"/>
        <v>-2000</v>
      </c>
    </row>
    <row r="39" spans="1:18" x14ac:dyDescent="0.25">
      <c r="A39" t="str">
        <f>_xlfn.XLOOKUP(C39,Raw_Data_Transaksi!$A$1:$A$1001,Raw_Data_Transaksi!$D$1:$D$1001,,0)</f>
        <v>PRD-112</v>
      </c>
      <c r="B39" t="str">
        <f>_xlfn.XLOOKUP(C39,Raw_Data_Transaksi!$A$1:$A$1001,Raw_Data_Transaksi!$C$1:$C$1001,,0)</f>
        <v>SLS-06</v>
      </c>
      <c r="C39" s="6" t="s">
        <v>123</v>
      </c>
      <c r="D39" s="7">
        <v>46000</v>
      </c>
      <c r="E39" s="10" t="str">
        <f>VLOOKUP(B39,Master_Sales!$A$1:$D$9,2,FALSE)</f>
        <v>Fajar Nugraha</v>
      </c>
      <c r="F39" s="10" t="str">
        <f>INDEX(Master_Sales!$D$1:$D$9,MATCH(Lembar_Kerja_Analisis!B39,Master_Sales!$A$1:$A$9,0))</f>
        <v>Timur</v>
      </c>
      <c r="G39" s="10" t="str">
        <f>INDEX(Master_Sales!$C$1:$C$9,MATCH(Lembar_Kerja_Analisis!B39,Master_Sales!$A$1:$A$9,0))</f>
        <v>Makassar</v>
      </c>
      <c r="H39" s="10" t="str">
        <f>VLOOKUP(A39,Master_Produk!$A$1:$E$16,2,FALSE)</f>
        <v>Susu UHT Full Cream 1L</v>
      </c>
      <c r="I39" s="10" t="str">
        <f>INDEX(Master_Produk!$C$1:$C$16,MATCH(Lembar_Kerja_Analisis!A39,Master_Produk!$A$1:$A$16,0))</f>
        <v>F&amp;B</v>
      </c>
      <c r="J39" s="19">
        <f>_xlfn.XLOOKUP(A39,Master_Produk!$A$1:$A$16,Master_Produk!$D$1:$D$16,,0)</f>
        <v>22000</v>
      </c>
      <c r="K39" s="19">
        <f>INDEX(Master_Produk!$E$1:$E$16,MATCH(Lembar_Kerja_Analisis!A39,Master_Produk!$A$1:$A$16,0))</f>
        <v>18000</v>
      </c>
      <c r="L39" s="8">
        <v>11</v>
      </c>
      <c r="M39" s="19">
        <f t="shared" si="0"/>
        <v>242000</v>
      </c>
      <c r="N39" s="9">
        <v>0.15</v>
      </c>
      <c r="O39" s="19">
        <f t="shared" si="1"/>
        <v>36300</v>
      </c>
      <c r="P39" s="19">
        <f t="shared" si="2"/>
        <v>205700</v>
      </c>
      <c r="Q39" s="19">
        <f t="shared" si="3"/>
        <v>198000</v>
      </c>
      <c r="R39" s="19">
        <f t="shared" si="4"/>
        <v>7700</v>
      </c>
    </row>
    <row r="40" spans="1:18" x14ac:dyDescent="0.25">
      <c r="A40" t="str">
        <f>_xlfn.XLOOKUP(C40,Raw_Data_Transaksi!$A$1:$A$1001,Raw_Data_Transaksi!$D$1:$D$1001,,0)</f>
        <v>PRD-106</v>
      </c>
      <c r="B40" t="str">
        <f>_xlfn.XLOOKUP(C40,Raw_Data_Transaksi!$A$1:$A$1001,Raw_Data_Transaksi!$C$1:$C$1001,,0)</f>
        <v>SLS-02</v>
      </c>
      <c r="C40" s="6" t="s">
        <v>124</v>
      </c>
      <c r="D40" s="7">
        <v>45892</v>
      </c>
      <c r="E40" s="10" t="str">
        <f>VLOOKUP(B40,Master_Sales!$A$1:$D$9,2,FALSE)</f>
        <v>Budi Santoso</v>
      </c>
      <c r="F40" s="10" t="str">
        <f>INDEX(Master_Sales!$D$1:$D$9,MATCH(Lembar_Kerja_Analisis!B40,Master_Sales!$A$1:$A$9,0))</f>
        <v>Timur</v>
      </c>
      <c r="G40" s="10" t="str">
        <f>INDEX(Master_Sales!$C$1:$C$9,MATCH(Lembar_Kerja_Analisis!B40,Master_Sales!$A$1:$A$9,0))</f>
        <v>Surabaya</v>
      </c>
      <c r="H40" s="10" t="str">
        <f>VLOOKUP(A40,Master_Produk!$A$1:$E$16,2,FALSE)</f>
        <v>Celana Chino Slim Fit</v>
      </c>
      <c r="I40" s="10" t="str">
        <f>INDEX(Master_Produk!$C$1:$C$16,MATCH(Lembar_Kerja_Analisis!A40,Master_Produk!$A$1:$A$16,0))</f>
        <v>Fashion</v>
      </c>
      <c r="J40" s="19">
        <f>_xlfn.XLOOKUP(A40,Master_Produk!$A$1:$A$16,Master_Produk!$D$1:$D$16,,0)</f>
        <v>280000</v>
      </c>
      <c r="K40" s="19">
        <f>INDEX(Master_Produk!$E$1:$E$16,MATCH(Lembar_Kerja_Analisis!A40,Master_Produk!$A$1:$A$16,0))</f>
        <v>175000</v>
      </c>
      <c r="L40" s="8">
        <v>1</v>
      </c>
      <c r="M40" s="19">
        <f t="shared" si="0"/>
        <v>280000</v>
      </c>
      <c r="N40" s="9">
        <v>0.15</v>
      </c>
      <c r="O40" s="19">
        <f t="shared" si="1"/>
        <v>42000</v>
      </c>
      <c r="P40" s="19">
        <f t="shared" si="2"/>
        <v>238000</v>
      </c>
      <c r="Q40" s="19">
        <f t="shared" si="3"/>
        <v>175000</v>
      </c>
      <c r="R40" s="19">
        <f t="shared" si="4"/>
        <v>63000</v>
      </c>
    </row>
    <row r="41" spans="1:18" x14ac:dyDescent="0.25">
      <c r="A41" t="str">
        <f>_xlfn.XLOOKUP(C41,Raw_Data_Transaksi!$A$1:$A$1001,Raw_Data_Transaksi!$D$1:$D$1001,,0)</f>
        <v>PRD-105</v>
      </c>
      <c r="B41" t="str">
        <f>_xlfn.XLOOKUP(C41,Raw_Data_Transaksi!$A$1:$A$1001,Raw_Data_Transaksi!$C$1:$C$1001,,0)</f>
        <v>SLS-03</v>
      </c>
      <c r="C41" s="6" t="s">
        <v>125</v>
      </c>
      <c r="D41" s="7">
        <v>45917</v>
      </c>
      <c r="E41" s="10" t="str">
        <f>VLOOKUP(B41,Master_Sales!$A$1:$D$9,2,FALSE)</f>
        <v>Citra Lestari</v>
      </c>
      <c r="F41" s="10" t="str">
        <f>INDEX(Master_Sales!$D$1:$D$9,MATCH(Lembar_Kerja_Analisis!B41,Master_Sales!$A$1:$A$9,0))</f>
        <v>Barat</v>
      </c>
      <c r="G41" s="10" t="str">
        <f>INDEX(Master_Sales!$C$1:$C$9,MATCH(Lembar_Kerja_Analisis!B41,Master_Sales!$A$1:$A$9,0))</f>
        <v>Bandung</v>
      </c>
      <c r="H41" s="10" t="str">
        <f>VLOOKUP(A41,Master_Produk!$A$1:$E$16,2,FALSE)</f>
        <v>Kemeja Batik Katun Premium</v>
      </c>
      <c r="I41" s="10" t="str">
        <f>INDEX(Master_Produk!$C$1:$C$16,MATCH(Lembar_Kerja_Analisis!A41,Master_Produk!$A$1:$A$16,0))</f>
        <v>Fashion</v>
      </c>
      <c r="J41" s="19">
        <f>_xlfn.XLOOKUP(A41,Master_Produk!$A$1:$A$16,Master_Produk!$D$1:$D$16,,0)</f>
        <v>320000</v>
      </c>
      <c r="K41" s="19">
        <f>INDEX(Master_Produk!$E$1:$E$16,MATCH(Lembar_Kerja_Analisis!A41,Master_Produk!$A$1:$A$16,0))</f>
        <v>190000</v>
      </c>
      <c r="L41" s="8">
        <v>6</v>
      </c>
      <c r="M41" s="19">
        <f t="shared" si="0"/>
        <v>1920000</v>
      </c>
      <c r="N41" s="9">
        <v>0</v>
      </c>
      <c r="O41" s="19">
        <f t="shared" si="1"/>
        <v>0</v>
      </c>
      <c r="P41" s="19">
        <f t="shared" si="2"/>
        <v>1920000</v>
      </c>
      <c r="Q41" s="19">
        <f t="shared" si="3"/>
        <v>1140000</v>
      </c>
      <c r="R41" s="19">
        <f t="shared" si="4"/>
        <v>780000</v>
      </c>
    </row>
    <row r="42" spans="1:18" x14ac:dyDescent="0.25">
      <c r="A42" t="str">
        <f>_xlfn.XLOOKUP(C42,Raw_Data_Transaksi!$A$1:$A$1001,Raw_Data_Transaksi!$D$1:$D$1001,,0)</f>
        <v>PRD-108</v>
      </c>
      <c r="B42" t="str">
        <f>_xlfn.XLOOKUP(C42,Raw_Data_Transaksi!$A$1:$A$1001,Raw_Data_Transaksi!$C$1:$C$1001,,0)</f>
        <v>SLS-05</v>
      </c>
      <c r="C42" s="6" t="s">
        <v>126</v>
      </c>
      <c r="D42" s="7">
        <v>45738</v>
      </c>
      <c r="E42" s="10" t="str">
        <f>VLOOKUP(B42,Master_Sales!$A$1:$D$9,2,FALSE)</f>
        <v>Eko Prasetyo</v>
      </c>
      <c r="F42" s="10" t="str">
        <f>INDEX(Master_Sales!$D$1:$D$9,MATCH(Lembar_Kerja_Analisis!B42,Master_Sales!$A$1:$A$9,0))</f>
        <v>Tengah</v>
      </c>
      <c r="G42" s="10" t="str">
        <f>INDEX(Master_Sales!$C$1:$C$9,MATCH(Lembar_Kerja_Analisis!B42,Master_Sales!$A$1:$A$9,0))</f>
        <v>Semarang</v>
      </c>
      <c r="H42" s="10" t="str">
        <f>VLOOKUP(A42,Master_Produk!$A$1:$E$16,2,FALSE)</f>
        <v>Sepatu Sneakers Pria/Wanita</v>
      </c>
      <c r="I42" s="10" t="str">
        <f>INDEX(Master_Produk!$C$1:$C$16,MATCH(Lembar_Kerja_Analisis!A42,Master_Produk!$A$1:$A$16,0))</f>
        <v>Fashion</v>
      </c>
      <c r="J42" s="19">
        <f>_xlfn.XLOOKUP(A42,Master_Produk!$A$1:$A$16,Master_Produk!$D$1:$D$16,,0)</f>
        <v>450000</v>
      </c>
      <c r="K42" s="19">
        <f>INDEX(Master_Produk!$E$1:$E$16,MATCH(Lembar_Kerja_Analisis!A42,Master_Produk!$A$1:$A$16,0))</f>
        <v>290000</v>
      </c>
      <c r="L42" s="8">
        <v>10</v>
      </c>
      <c r="M42" s="19">
        <f t="shared" si="0"/>
        <v>4500000</v>
      </c>
      <c r="N42" s="9">
        <v>0.2</v>
      </c>
      <c r="O42" s="19">
        <f t="shared" si="1"/>
        <v>900000</v>
      </c>
      <c r="P42" s="19">
        <f t="shared" si="2"/>
        <v>3600000</v>
      </c>
      <c r="Q42" s="19">
        <f t="shared" si="3"/>
        <v>2900000</v>
      </c>
      <c r="R42" s="19">
        <f t="shared" si="4"/>
        <v>700000</v>
      </c>
    </row>
    <row r="43" spans="1:18" x14ac:dyDescent="0.25">
      <c r="A43" t="str">
        <f>_xlfn.XLOOKUP(C43,Raw_Data_Transaksi!$A$1:$A$1001,Raw_Data_Transaksi!$D$1:$D$1001,,0)</f>
        <v>PRD-102</v>
      </c>
      <c r="B43" t="str">
        <f>_xlfn.XLOOKUP(C43,Raw_Data_Transaksi!$A$1:$A$1001,Raw_Data_Transaksi!$C$1:$C$1001,,0)</f>
        <v>SLS-03</v>
      </c>
      <c r="C43" s="6" t="s">
        <v>127</v>
      </c>
      <c r="D43" s="7">
        <v>45997</v>
      </c>
      <c r="E43" s="10" t="str">
        <f>VLOOKUP(B43,Master_Sales!$A$1:$D$9,2,FALSE)</f>
        <v>Citra Lestari</v>
      </c>
      <c r="F43" s="10" t="str">
        <f>INDEX(Master_Sales!$D$1:$D$9,MATCH(Lembar_Kerja_Analisis!B43,Master_Sales!$A$1:$A$9,0))</f>
        <v>Barat</v>
      </c>
      <c r="G43" s="10" t="str">
        <f>INDEX(Master_Sales!$C$1:$C$9,MATCH(Lembar_Kerja_Analisis!B43,Master_Sales!$A$1:$A$9,0))</f>
        <v>Bandung</v>
      </c>
      <c r="H43" s="10" t="str">
        <f>VLOOKUP(A43,Master_Produk!$A$1:$E$16,2,FALSE)</f>
        <v>Wireless Mouse Ergonomic</v>
      </c>
      <c r="I43" s="10" t="str">
        <f>INDEX(Master_Produk!$C$1:$C$16,MATCH(Lembar_Kerja_Analisis!A43,Master_Produk!$A$1:$A$16,0))</f>
        <v>Elektronik</v>
      </c>
      <c r="J43" s="19">
        <f>_xlfn.XLOOKUP(A43,Master_Produk!$A$1:$A$16,Master_Produk!$D$1:$D$16,,0)</f>
        <v>250000</v>
      </c>
      <c r="K43" s="19">
        <f>INDEX(Master_Produk!$E$1:$E$16,MATCH(Lembar_Kerja_Analisis!A43,Master_Produk!$A$1:$A$16,0))</f>
        <v>160000</v>
      </c>
      <c r="L43" s="8">
        <v>5</v>
      </c>
      <c r="M43" s="19">
        <f t="shared" si="0"/>
        <v>1250000</v>
      </c>
      <c r="N43" s="9">
        <v>0</v>
      </c>
      <c r="O43" s="19">
        <f t="shared" si="1"/>
        <v>0</v>
      </c>
      <c r="P43" s="19">
        <f t="shared" si="2"/>
        <v>1250000</v>
      </c>
      <c r="Q43" s="19">
        <f t="shared" si="3"/>
        <v>800000</v>
      </c>
      <c r="R43" s="19">
        <f t="shared" si="4"/>
        <v>450000</v>
      </c>
    </row>
    <row r="44" spans="1:18" x14ac:dyDescent="0.25">
      <c r="A44" t="str">
        <f>_xlfn.XLOOKUP(C44,Raw_Data_Transaksi!$A$1:$A$1001,Raw_Data_Transaksi!$D$1:$D$1001,,0)</f>
        <v>PRD-105</v>
      </c>
      <c r="B44" t="str">
        <f>_xlfn.XLOOKUP(C44,Raw_Data_Transaksi!$A$1:$A$1001,Raw_Data_Transaksi!$C$1:$C$1001,,0)</f>
        <v>SLS-04</v>
      </c>
      <c r="C44" s="6" t="s">
        <v>128</v>
      </c>
      <c r="D44" s="7">
        <v>45797</v>
      </c>
      <c r="E44" s="10" t="str">
        <f>VLOOKUP(B44,Master_Sales!$A$1:$D$9,2,FALSE)</f>
        <v>Dewi Anggraini</v>
      </c>
      <c r="F44" s="10" t="str">
        <f>INDEX(Master_Sales!$D$1:$D$9,MATCH(Lembar_Kerja_Analisis!B44,Master_Sales!$A$1:$A$9,0))</f>
        <v>Barat</v>
      </c>
      <c r="G44" s="10" t="str">
        <f>INDEX(Master_Sales!$C$1:$C$9,MATCH(Lembar_Kerja_Analisis!B44,Master_Sales!$A$1:$A$9,0))</f>
        <v>Medan</v>
      </c>
      <c r="H44" s="10" t="str">
        <f>VLOOKUP(A44,Master_Produk!$A$1:$E$16,2,FALSE)</f>
        <v>Kemeja Batik Katun Premium</v>
      </c>
      <c r="I44" s="10" t="str">
        <f>INDEX(Master_Produk!$C$1:$C$16,MATCH(Lembar_Kerja_Analisis!A44,Master_Produk!$A$1:$A$16,0))</f>
        <v>Fashion</v>
      </c>
      <c r="J44" s="19">
        <f>_xlfn.XLOOKUP(A44,Master_Produk!$A$1:$A$16,Master_Produk!$D$1:$D$16,,0)</f>
        <v>320000</v>
      </c>
      <c r="K44" s="19">
        <f>INDEX(Master_Produk!$E$1:$E$16,MATCH(Lembar_Kerja_Analisis!A44,Master_Produk!$A$1:$A$16,0))</f>
        <v>190000</v>
      </c>
      <c r="L44" s="8">
        <v>12</v>
      </c>
      <c r="M44" s="19">
        <f t="shared" si="0"/>
        <v>3840000</v>
      </c>
      <c r="N44" s="9">
        <v>0.1</v>
      </c>
      <c r="O44" s="19">
        <f t="shared" si="1"/>
        <v>384000</v>
      </c>
      <c r="P44" s="19">
        <f t="shared" si="2"/>
        <v>3456000</v>
      </c>
      <c r="Q44" s="19">
        <f t="shared" si="3"/>
        <v>2280000</v>
      </c>
      <c r="R44" s="19">
        <f t="shared" si="4"/>
        <v>1176000</v>
      </c>
    </row>
    <row r="45" spans="1:18" x14ac:dyDescent="0.25">
      <c r="A45" t="str">
        <f>_xlfn.XLOOKUP(C45,Raw_Data_Transaksi!$A$1:$A$1001,Raw_Data_Transaksi!$D$1:$D$1001,,0)</f>
        <v>PRD-108</v>
      </c>
      <c r="B45" t="str">
        <f>_xlfn.XLOOKUP(C45,Raw_Data_Transaksi!$A$1:$A$1001,Raw_Data_Transaksi!$C$1:$C$1001,,0)</f>
        <v>SLS-05</v>
      </c>
      <c r="C45" s="6" t="s">
        <v>129</v>
      </c>
      <c r="D45" s="7">
        <v>45916</v>
      </c>
      <c r="E45" s="10" t="str">
        <f>VLOOKUP(B45,Master_Sales!$A$1:$D$9,2,FALSE)</f>
        <v>Eko Prasetyo</v>
      </c>
      <c r="F45" s="10" t="str">
        <f>INDEX(Master_Sales!$D$1:$D$9,MATCH(Lembar_Kerja_Analisis!B45,Master_Sales!$A$1:$A$9,0))</f>
        <v>Tengah</v>
      </c>
      <c r="G45" s="10" t="str">
        <f>INDEX(Master_Sales!$C$1:$C$9,MATCH(Lembar_Kerja_Analisis!B45,Master_Sales!$A$1:$A$9,0))</f>
        <v>Semarang</v>
      </c>
      <c r="H45" s="10" t="str">
        <f>VLOOKUP(A45,Master_Produk!$A$1:$E$16,2,FALSE)</f>
        <v>Sepatu Sneakers Pria/Wanita</v>
      </c>
      <c r="I45" s="10" t="str">
        <f>INDEX(Master_Produk!$C$1:$C$16,MATCH(Lembar_Kerja_Analisis!A45,Master_Produk!$A$1:$A$16,0))</f>
        <v>Fashion</v>
      </c>
      <c r="J45" s="19">
        <f>_xlfn.XLOOKUP(A45,Master_Produk!$A$1:$A$16,Master_Produk!$D$1:$D$16,,0)</f>
        <v>450000</v>
      </c>
      <c r="K45" s="19">
        <f>INDEX(Master_Produk!$E$1:$E$16,MATCH(Lembar_Kerja_Analisis!A45,Master_Produk!$A$1:$A$16,0))</f>
        <v>290000</v>
      </c>
      <c r="L45" s="8">
        <v>1</v>
      </c>
      <c r="M45" s="19">
        <f t="shared" si="0"/>
        <v>450000</v>
      </c>
      <c r="N45" s="9">
        <v>0</v>
      </c>
      <c r="O45" s="19">
        <f t="shared" si="1"/>
        <v>0</v>
      </c>
      <c r="P45" s="19">
        <f t="shared" si="2"/>
        <v>450000</v>
      </c>
      <c r="Q45" s="19">
        <f t="shared" si="3"/>
        <v>290000</v>
      </c>
      <c r="R45" s="19">
        <f t="shared" si="4"/>
        <v>160000</v>
      </c>
    </row>
    <row r="46" spans="1:18" x14ac:dyDescent="0.25">
      <c r="A46" t="str">
        <f>_xlfn.XLOOKUP(C46,Raw_Data_Transaksi!$A$1:$A$1001,Raw_Data_Transaksi!$D$1:$D$1001,,0)</f>
        <v>PRD-106</v>
      </c>
      <c r="B46" t="str">
        <f>_xlfn.XLOOKUP(C46,Raw_Data_Transaksi!$A$1:$A$1001,Raw_Data_Transaksi!$C$1:$C$1001,,0)</f>
        <v>SLS-03</v>
      </c>
      <c r="C46" s="6" t="s">
        <v>130</v>
      </c>
      <c r="D46" s="7">
        <v>45659</v>
      </c>
      <c r="E46" s="10" t="str">
        <f>VLOOKUP(B46,Master_Sales!$A$1:$D$9,2,FALSE)</f>
        <v>Citra Lestari</v>
      </c>
      <c r="F46" s="10" t="str">
        <f>INDEX(Master_Sales!$D$1:$D$9,MATCH(Lembar_Kerja_Analisis!B46,Master_Sales!$A$1:$A$9,0))</f>
        <v>Barat</v>
      </c>
      <c r="G46" s="10" t="str">
        <f>INDEX(Master_Sales!$C$1:$C$9,MATCH(Lembar_Kerja_Analisis!B46,Master_Sales!$A$1:$A$9,0))</f>
        <v>Bandung</v>
      </c>
      <c r="H46" s="10" t="str">
        <f>VLOOKUP(A46,Master_Produk!$A$1:$E$16,2,FALSE)</f>
        <v>Celana Chino Slim Fit</v>
      </c>
      <c r="I46" s="10" t="str">
        <f>INDEX(Master_Produk!$C$1:$C$16,MATCH(Lembar_Kerja_Analisis!A46,Master_Produk!$A$1:$A$16,0))</f>
        <v>Fashion</v>
      </c>
      <c r="J46" s="19">
        <f>_xlfn.XLOOKUP(A46,Master_Produk!$A$1:$A$16,Master_Produk!$D$1:$D$16,,0)</f>
        <v>280000</v>
      </c>
      <c r="K46" s="19">
        <f>INDEX(Master_Produk!$E$1:$E$16,MATCH(Lembar_Kerja_Analisis!A46,Master_Produk!$A$1:$A$16,0))</f>
        <v>175000</v>
      </c>
      <c r="L46" s="8">
        <v>11</v>
      </c>
      <c r="M46" s="19">
        <f t="shared" si="0"/>
        <v>3080000</v>
      </c>
      <c r="N46" s="9">
        <v>0.1</v>
      </c>
      <c r="O46" s="19">
        <f t="shared" si="1"/>
        <v>308000</v>
      </c>
      <c r="P46" s="19">
        <f t="shared" si="2"/>
        <v>2772000</v>
      </c>
      <c r="Q46" s="19">
        <f t="shared" si="3"/>
        <v>1925000</v>
      </c>
      <c r="R46" s="19">
        <f t="shared" si="4"/>
        <v>847000</v>
      </c>
    </row>
    <row r="47" spans="1:18" x14ac:dyDescent="0.25">
      <c r="A47" t="str">
        <f>_xlfn.XLOOKUP(C47,Raw_Data_Transaksi!$A$1:$A$1001,Raw_Data_Transaksi!$D$1:$D$1001,,0)</f>
        <v>PRD-112</v>
      </c>
      <c r="B47" t="str">
        <f>_xlfn.XLOOKUP(C47,Raw_Data_Transaksi!$A$1:$A$1001,Raw_Data_Transaksi!$C$1:$C$1001,,0)</f>
        <v>SLS-07</v>
      </c>
      <c r="C47" s="6" t="s">
        <v>131</v>
      </c>
      <c r="D47" s="7">
        <v>45940</v>
      </c>
      <c r="E47" s="10" t="str">
        <f>VLOOKUP(B47,Master_Sales!$A$1:$D$9,2,FALSE)</f>
        <v>Gita Permata</v>
      </c>
      <c r="F47" s="10" t="str">
        <f>INDEX(Master_Sales!$D$1:$D$9,MATCH(Lembar_Kerja_Analisis!B47,Master_Sales!$A$1:$A$9,0))</f>
        <v>Tengah</v>
      </c>
      <c r="G47" s="10" t="str">
        <f>INDEX(Master_Sales!$C$1:$C$9,MATCH(Lembar_Kerja_Analisis!B47,Master_Sales!$A$1:$A$9,0))</f>
        <v>Denpasar</v>
      </c>
      <c r="H47" s="10" t="str">
        <f>VLOOKUP(A47,Master_Produk!$A$1:$E$16,2,FALSE)</f>
        <v>Susu UHT Full Cream 1L</v>
      </c>
      <c r="I47" s="10" t="str">
        <f>INDEX(Master_Produk!$C$1:$C$16,MATCH(Lembar_Kerja_Analisis!A47,Master_Produk!$A$1:$A$16,0))</f>
        <v>F&amp;B</v>
      </c>
      <c r="J47" s="19">
        <f>_xlfn.XLOOKUP(A47,Master_Produk!$A$1:$A$16,Master_Produk!$D$1:$D$16,,0)</f>
        <v>22000</v>
      </c>
      <c r="K47" s="19">
        <f>INDEX(Master_Produk!$E$1:$E$16,MATCH(Lembar_Kerja_Analisis!A47,Master_Produk!$A$1:$A$16,0))</f>
        <v>18000</v>
      </c>
      <c r="L47" s="8">
        <v>3</v>
      </c>
      <c r="M47" s="19">
        <f t="shared" si="0"/>
        <v>66000</v>
      </c>
      <c r="N47" s="9">
        <v>0</v>
      </c>
      <c r="O47" s="19">
        <f t="shared" si="1"/>
        <v>0</v>
      </c>
      <c r="P47" s="19">
        <f t="shared" si="2"/>
        <v>66000</v>
      </c>
      <c r="Q47" s="19">
        <f t="shared" si="3"/>
        <v>54000</v>
      </c>
      <c r="R47" s="19">
        <f t="shared" si="4"/>
        <v>12000</v>
      </c>
    </row>
    <row r="48" spans="1:18" x14ac:dyDescent="0.25">
      <c r="A48" t="str">
        <f>_xlfn.XLOOKUP(C48,Raw_Data_Transaksi!$A$1:$A$1001,Raw_Data_Transaksi!$D$1:$D$1001,,0)</f>
        <v>PRD-101</v>
      </c>
      <c r="B48" t="str">
        <f>_xlfn.XLOOKUP(C48,Raw_Data_Transaksi!$A$1:$A$1001,Raw_Data_Transaksi!$C$1:$C$1001,,0)</f>
        <v>SLS-06</v>
      </c>
      <c r="C48" s="6" t="s">
        <v>132</v>
      </c>
      <c r="D48" s="7">
        <v>45937</v>
      </c>
      <c r="E48" s="10" t="str">
        <f>VLOOKUP(B48,Master_Sales!$A$1:$D$9,2,FALSE)</f>
        <v>Fajar Nugraha</v>
      </c>
      <c r="F48" s="10" t="str">
        <f>INDEX(Master_Sales!$D$1:$D$9,MATCH(Lembar_Kerja_Analisis!B48,Master_Sales!$A$1:$A$9,0))</f>
        <v>Timur</v>
      </c>
      <c r="G48" s="10" t="str">
        <f>INDEX(Master_Sales!$C$1:$C$9,MATCH(Lembar_Kerja_Analisis!B48,Master_Sales!$A$1:$A$9,0))</f>
        <v>Makassar</v>
      </c>
      <c r="H48" s="10" t="str">
        <f>VLOOKUP(A48,Master_Produk!$A$1:$E$16,2,FALSE)</f>
        <v>Laptop Ultrabook 14"</v>
      </c>
      <c r="I48" s="10" t="str">
        <f>INDEX(Master_Produk!$C$1:$C$16,MATCH(Lembar_Kerja_Analisis!A48,Master_Produk!$A$1:$A$16,0))</f>
        <v>Elektronik</v>
      </c>
      <c r="J48" s="19">
        <f>_xlfn.XLOOKUP(A48,Master_Produk!$A$1:$A$16,Master_Produk!$D$1:$D$16,,0)</f>
        <v>8500000</v>
      </c>
      <c r="K48" s="19">
        <f>INDEX(Master_Produk!$E$1:$E$16,MATCH(Lembar_Kerja_Analisis!A48,Master_Produk!$A$1:$A$16,0))</f>
        <v>7200000</v>
      </c>
      <c r="L48" s="8">
        <v>10</v>
      </c>
      <c r="M48" s="19">
        <f t="shared" si="0"/>
        <v>85000000</v>
      </c>
      <c r="N48" s="9">
        <v>0.2</v>
      </c>
      <c r="O48" s="19">
        <f t="shared" si="1"/>
        <v>17000000</v>
      </c>
      <c r="P48" s="19">
        <f t="shared" si="2"/>
        <v>68000000</v>
      </c>
      <c r="Q48" s="19">
        <f t="shared" si="3"/>
        <v>72000000</v>
      </c>
      <c r="R48" s="19">
        <f t="shared" si="4"/>
        <v>-4000000</v>
      </c>
    </row>
    <row r="49" spans="1:18" x14ac:dyDescent="0.25">
      <c r="A49" t="str">
        <f>_xlfn.XLOOKUP(C49,Raw_Data_Transaksi!$A$1:$A$1001,Raw_Data_Transaksi!$D$1:$D$1001,,0)</f>
        <v>PRD-105</v>
      </c>
      <c r="B49" t="str">
        <f>_xlfn.XLOOKUP(C49,Raw_Data_Transaksi!$A$1:$A$1001,Raw_Data_Transaksi!$C$1:$C$1001,,0)</f>
        <v>SLS-06</v>
      </c>
      <c r="C49" s="6" t="s">
        <v>133</v>
      </c>
      <c r="D49" s="7">
        <v>45679</v>
      </c>
      <c r="E49" s="10" t="str">
        <f>VLOOKUP(B49,Master_Sales!$A$1:$D$9,2,FALSE)</f>
        <v>Fajar Nugraha</v>
      </c>
      <c r="F49" s="10" t="str">
        <f>INDEX(Master_Sales!$D$1:$D$9,MATCH(Lembar_Kerja_Analisis!B49,Master_Sales!$A$1:$A$9,0))</f>
        <v>Timur</v>
      </c>
      <c r="G49" s="10" t="str">
        <f>INDEX(Master_Sales!$C$1:$C$9,MATCH(Lembar_Kerja_Analisis!B49,Master_Sales!$A$1:$A$9,0))</f>
        <v>Makassar</v>
      </c>
      <c r="H49" s="10" t="str">
        <f>VLOOKUP(A49,Master_Produk!$A$1:$E$16,2,FALSE)</f>
        <v>Kemeja Batik Katun Premium</v>
      </c>
      <c r="I49" s="10" t="str">
        <f>INDEX(Master_Produk!$C$1:$C$16,MATCH(Lembar_Kerja_Analisis!A49,Master_Produk!$A$1:$A$16,0))</f>
        <v>Fashion</v>
      </c>
      <c r="J49" s="19">
        <f>_xlfn.XLOOKUP(A49,Master_Produk!$A$1:$A$16,Master_Produk!$D$1:$D$16,,0)</f>
        <v>320000</v>
      </c>
      <c r="K49" s="19">
        <f>INDEX(Master_Produk!$E$1:$E$16,MATCH(Lembar_Kerja_Analisis!A49,Master_Produk!$A$1:$A$16,0))</f>
        <v>190000</v>
      </c>
      <c r="L49" s="8">
        <v>1</v>
      </c>
      <c r="M49" s="19">
        <f t="shared" si="0"/>
        <v>320000</v>
      </c>
      <c r="N49" s="9">
        <v>0.1</v>
      </c>
      <c r="O49" s="19">
        <f t="shared" si="1"/>
        <v>32000</v>
      </c>
      <c r="P49" s="19">
        <f t="shared" si="2"/>
        <v>288000</v>
      </c>
      <c r="Q49" s="19">
        <f t="shared" si="3"/>
        <v>190000</v>
      </c>
      <c r="R49" s="19">
        <f t="shared" si="4"/>
        <v>98000</v>
      </c>
    </row>
    <row r="50" spans="1:18" x14ac:dyDescent="0.25">
      <c r="A50" t="str">
        <f>_xlfn.XLOOKUP(C50,Raw_Data_Transaksi!$A$1:$A$1001,Raw_Data_Transaksi!$D$1:$D$1001,,0)</f>
        <v>PRD-102</v>
      </c>
      <c r="B50" t="str">
        <f>_xlfn.XLOOKUP(C50,Raw_Data_Transaksi!$A$1:$A$1001,Raw_Data_Transaksi!$C$1:$C$1001,,0)</f>
        <v>SLS-06</v>
      </c>
      <c r="C50" s="6" t="s">
        <v>134</v>
      </c>
      <c r="D50" s="7">
        <v>45999</v>
      </c>
      <c r="E50" s="10" t="str">
        <f>VLOOKUP(B50,Master_Sales!$A$1:$D$9,2,FALSE)</f>
        <v>Fajar Nugraha</v>
      </c>
      <c r="F50" s="10" t="str">
        <f>INDEX(Master_Sales!$D$1:$D$9,MATCH(Lembar_Kerja_Analisis!B50,Master_Sales!$A$1:$A$9,0))</f>
        <v>Timur</v>
      </c>
      <c r="G50" s="10" t="str">
        <f>INDEX(Master_Sales!$C$1:$C$9,MATCH(Lembar_Kerja_Analisis!B50,Master_Sales!$A$1:$A$9,0))</f>
        <v>Makassar</v>
      </c>
      <c r="H50" s="10" t="str">
        <f>VLOOKUP(A50,Master_Produk!$A$1:$E$16,2,FALSE)</f>
        <v>Wireless Mouse Ergonomic</v>
      </c>
      <c r="I50" s="10" t="str">
        <f>INDEX(Master_Produk!$C$1:$C$16,MATCH(Lembar_Kerja_Analisis!A50,Master_Produk!$A$1:$A$16,0))</f>
        <v>Elektronik</v>
      </c>
      <c r="J50" s="19">
        <f>_xlfn.XLOOKUP(A50,Master_Produk!$A$1:$A$16,Master_Produk!$D$1:$D$16,,0)</f>
        <v>250000</v>
      </c>
      <c r="K50" s="19">
        <f>INDEX(Master_Produk!$E$1:$E$16,MATCH(Lembar_Kerja_Analisis!A50,Master_Produk!$A$1:$A$16,0))</f>
        <v>160000</v>
      </c>
      <c r="L50" s="8">
        <v>9</v>
      </c>
      <c r="M50" s="19">
        <f t="shared" si="0"/>
        <v>2250000</v>
      </c>
      <c r="N50" s="9">
        <v>0.15</v>
      </c>
      <c r="O50" s="19">
        <f t="shared" si="1"/>
        <v>337500</v>
      </c>
      <c r="P50" s="19">
        <f t="shared" si="2"/>
        <v>1912500</v>
      </c>
      <c r="Q50" s="19">
        <f t="shared" si="3"/>
        <v>1440000</v>
      </c>
      <c r="R50" s="19">
        <f t="shared" si="4"/>
        <v>472500</v>
      </c>
    </row>
    <row r="51" spans="1:18" x14ac:dyDescent="0.25">
      <c r="A51" t="str">
        <f>_xlfn.XLOOKUP(C51,Raw_Data_Transaksi!$A$1:$A$1001,Raw_Data_Transaksi!$D$1:$D$1001,,0)</f>
        <v>PRD-115</v>
      </c>
      <c r="B51" t="str">
        <f>_xlfn.XLOOKUP(C51,Raw_Data_Transaksi!$A$1:$A$1001,Raw_Data_Transaksi!$C$1:$C$1001,,0)</f>
        <v>SLS-07</v>
      </c>
      <c r="C51" s="6" t="s">
        <v>135</v>
      </c>
      <c r="D51" s="7">
        <v>45748</v>
      </c>
      <c r="E51" s="10" t="str">
        <f>VLOOKUP(B51,Master_Sales!$A$1:$D$9,2,FALSE)</f>
        <v>Gita Permata</v>
      </c>
      <c r="F51" s="10" t="str">
        <f>INDEX(Master_Sales!$D$1:$D$9,MATCH(Lembar_Kerja_Analisis!B51,Master_Sales!$A$1:$A$9,0))</f>
        <v>Tengah</v>
      </c>
      <c r="G51" s="10" t="str">
        <f>INDEX(Master_Sales!$C$1:$C$9,MATCH(Lembar_Kerja_Analisis!B51,Master_Sales!$A$1:$A$9,0))</f>
        <v>Denpasar</v>
      </c>
      <c r="H51" s="10" t="str">
        <f>VLOOKUP(A51,Master_Produk!$A$1:$E$16,2,FALSE)</f>
        <v>Set Pisau Dapur Stainless</v>
      </c>
      <c r="I51" s="10" t="str">
        <f>INDEX(Master_Produk!$C$1:$C$16,MATCH(Lembar_Kerja_Analisis!A51,Master_Produk!$A$1:$A$16,0))</f>
        <v>Peralatan Rumah</v>
      </c>
      <c r="J51" s="19">
        <f>_xlfn.XLOOKUP(A51,Master_Produk!$A$1:$A$16,Master_Produk!$D$1:$D$16,,0)</f>
        <v>165000</v>
      </c>
      <c r="K51" s="19">
        <f>INDEX(Master_Produk!$E$1:$E$16,MATCH(Lembar_Kerja_Analisis!A51,Master_Produk!$A$1:$A$16,0))</f>
        <v>105000</v>
      </c>
      <c r="L51" s="8">
        <v>1</v>
      </c>
      <c r="M51" s="19">
        <f t="shared" si="0"/>
        <v>165000</v>
      </c>
      <c r="N51" s="9">
        <v>0.05</v>
      </c>
      <c r="O51" s="19">
        <f t="shared" si="1"/>
        <v>8250</v>
      </c>
      <c r="P51" s="19">
        <f t="shared" si="2"/>
        <v>156750</v>
      </c>
      <c r="Q51" s="19">
        <f t="shared" si="3"/>
        <v>105000</v>
      </c>
      <c r="R51" s="19">
        <f t="shared" si="4"/>
        <v>51750</v>
      </c>
    </row>
    <row r="52" spans="1:18" x14ac:dyDescent="0.25">
      <c r="A52" t="str">
        <f>_xlfn.XLOOKUP(C52,Raw_Data_Transaksi!$A$1:$A$1001,Raw_Data_Transaksi!$D$1:$D$1001,,0)</f>
        <v>PRD-103</v>
      </c>
      <c r="B52" t="str">
        <f>_xlfn.XLOOKUP(C52,Raw_Data_Transaksi!$A$1:$A$1001,Raw_Data_Transaksi!$C$1:$C$1001,,0)</f>
        <v>SLS-02</v>
      </c>
      <c r="C52" s="6" t="s">
        <v>136</v>
      </c>
      <c r="D52" s="7">
        <v>45794</v>
      </c>
      <c r="E52" s="10" t="str">
        <f>VLOOKUP(B52,Master_Sales!$A$1:$D$9,2,FALSE)</f>
        <v>Budi Santoso</v>
      </c>
      <c r="F52" s="10" t="str">
        <f>INDEX(Master_Sales!$D$1:$D$9,MATCH(Lembar_Kerja_Analisis!B52,Master_Sales!$A$1:$A$9,0))</f>
        <v>Timur</v>
      </c>
      <c r="G52" s="10" t="str">
        <f>INDEX(Master_Sales!$C$1:$C$9,MATCH(Lembar_Kerja_Analisis!B52,Master_Sales!$A$1:$A$9,0))</f>
        <v>Surabaya</v>
      </c>
      <c r="H52" s="10" t="str">
        <f>VLOOKUP(A52,Master_Produk!$A$1:$E$16,2,FALSE)</f>
        <v>Mechanical Keyboard RGB</v>
      </c>
      <c r="I52" s="10" t="str">
        <f>INDEX(Master_Produk!$C$1:$C$16,MATCH(Lembar_Kerja_Analisis!A52,Master_Produk!$A$1:$A$16,0))</f>
        <v>Elektronik</v>
      </c>
      <c r="J52" s="19">
        <f>_xlfn.XLOOKUP(A52,Master_Produk!$A$1:$A$16,Master_Produk!$D$1:$D$16,,0)</f>
        <v>750000</v>
      </c>
      <c r="K52" s="19">
        <f>INDEX(Master_Produk!$E$1:$E$16,MATCH(Lembar_Kerja_Analisis!A52,Master_Produk!$A$1:$A$16,0))</f>
        <v>520000</v>
      </c>
      <c r="L52" s="8">
        <v>7</v>
      </c>
      <c r="M52" s="19">
        <f t="shared" si="0"/>
        <v>5250000</v>
      </c>
      <c r="N52" s="9">
        <v>0</v>
      </c>
      <c r="O52" s="19">
        <f t="shared" si="1"/>
        <v>0</v>
      </c>
      <c r="P52" s="19">
        <f t="shared" si="2"/>
        <v>5250000</v>
      </c>
      <c r="Q52" s="19">
        <f t="shared" si="3"/>
        <v>3640000</v>
      </c>
      <c r="R52" s="19">
        <f t="shared" si="4"/>
        <v>1610000</v>
      </c>
    </row>
    <row r="53" spans="1:18" x14ac:dyDescent="0.25">
      <c r="A53" t="str">
        <f>_xlfn.XLOOKUP(C53,Raw_Data_Transaksi!$A$1:$A$1001,Raw_Data_Transaksi!$D$1:$D$1001,,0)</f>
        <v>PRD-106</v>
      </c>
      <c r="B53" t="str">
        <f>_xlfn.XLOOKUP(C53,Raw_Data_Transaksi!$A$1:$A$1001,Raw_Data_Transaksi!$C$1:$C$1001,,0)</f>
        <v>SLS-05</v>
      </c>
      <c r="C53" s="6" t="s">
        <v>137</v>
      </c>
      <c r="D53" s="7">
        <v>45893</v>
      </c>
      <c r="E53" s="10" t="str">
        <f>VLOOKUP(B53,Master_Sales!$A$1:$D$9,2,FALSE)</f>
        <v>Eko Prasetyo</v>
      </c>
      <c r="F53" s="10" t="str">
        <f>INDEX(Master_Sales!$D$1:$D$9,MATCH(Lembar_Kerja_Analisis!B53,Master_Sales!$A$1:$A$9,0))</f>
        <v>Tengah</v>
      </c>
      <c r="G53" s="10" t="str">
        <f>INDEX(Master_Sales!$C$1:$C$9,MATCH(Lembar_Kerja_Analisis!B53,Master_Sales!$A$1:$A$9,0))</f>
        <v>Semarang</v>
      </c>
      <c r="H53" s="10" t="str">
        <f>VLOOKUP(A53,Master_Produk!$A$1:$E$16,2,FALSE)</f>
        <v>Celana Chino Slim Fit</v>
      </c>
      <c r="I53" s="10" t="str">
        <f>INDEX(Master_Produk!$C$1:$C$16,MATCH(Lembar_Kerja_Analisis!A53,Master_Produk!$A$1:$A$16,0))</f>
        <v>Fashion</v>
      </c>
      <c r="J53" s="19">
        <f>_xlfn.XLOOKUP(A53,Master_Produk!$A$1:$A$16,Master_Produk!$D$1:$D$16,,0)</f>
        <v>280000</v>
      </c>
      <c r="K53" s="19">
        <f>INDEX(Master_Produk!$E$1:$E$16,MATCH(Lembar_Kerja_Analisis!A53,Master_Produk!$A$1:$A$16,0))</f>
        <v>175000</v>
      </c>
      <c r="L53" s="8">
        <v>4</v>
      </c>
      <c r="M53" s="19">
        <f t="shared" si="0"/>
        <v>1120000</v>
      </c>
      <c r="N53" s="9">
        <v>0.05</v>
      </c>
      <c r="O53" s="19">
        <f t="shared" si="1"/>
        <v>56000</v>
      </c>
      <c r="P53" s="19">
        <f t="shared" si="2"/>
        <v>1064000</v>
      </c>
      <c r="Q53" s="19">
        <f t="shared" si="3"/>
        <v>700000</v>
      </c>
      <c r="R53" s="19">
        <f t="shared" si="4"/>
        <v>364000</v>
      </c>
    </row>
    <row r="54" spans="1:18" x14ac:dyDescent="0.25">
      <c r="A54" t="str">
        <f>_xlfn.XLOOKUP(C54,Raw_Data_Transaksi!$A$1:$A$1001,Raw_Data_Transaksi!$D$1:$D$1001,,0)</f>
        <v>PRD-106</v>
      </c>
      <c r="B54" t="str">
        <f>_xlfn.XLOOKUP(C54,Raw_Data_Transaksi!$A$1:$A$1001,Raw_Data_Transaksi!$C$1:$C$1001,,0)</f>
        <v>SLS-05</v>
      </c>
      <c r="C54" s="6" t="s">
        <v>138</v>
      </c>
      <c r="D54" s="7">
        <v>45862</v>
      </c>
      <c r="E54" s="10" t="str">
        <f>VLOOKUP(B54,Master_Sales!$A$1:$D$9,2,FALSE)</f>
        <v>Eko Prasetyo</v>
      </c>
      <c r="F54" s="10" t="str">
        <f>INDEX(Master_Sales!$D$1:$D$9,MATCH(Lembar_Kerja_Analisis!B54,Master_Sales!$A$1:$A$9,0))</f>
        <v>Tengah</v>
      </c>
      <c r="G54" s="10" t="str">
        <f>INDEX(Master_Sales!$C$1:$C$9,MATCH(Lembar_Kerja_Analisis!B54,Master_Sales!$A$1:$A$9,0))</f>
        <v>Semarang</v>
      </c>
      <c r="H54" s="10" t="str">
        <f>VLOOKUP(A54,Master_Produk!$A$1:$E$16,2,FALSE)</f>
        <v>Celana Chino Slim Fit</v>
      </c>
      <c r="I54" s="10" t="str">
        <f>INDEX(Master_Produk!$C$1:$C$16,MATCH(Lembar_Kerja_Analisis!A54,Master_Produk!$A$1:$A$16,0))</f>
        <v>Fashion</v>
      </c>
      <c r="J54" s="19">
        <f>_xlfn.XLOOKUP(A54,Master_Produk!$A$1:$A$16,Master_Produk!$D$1:$D$16,,0)</f>
        <v>280000</v>
      </c>
      <c r="K54" s="19">
        <f>INDEX(Master_Produk!$E$1:$E$16,MATCH(Lembar_Kerja_Analisis!A54,Master_Produk!$A$1:$A$16,0))</f>
        <v>175000</v>
      </c>
      <c r="L54" s="8">
        <v>2</v>
      </c>
      <c r="M54" s="19">
        <f t="shared" si="0"/>
        <v>560000</v>
      </c>
      <c r="N54" s="9">
        <v>0.1</v>
      </c>
      <c r="O54" s="19">
        <f t="shared" si="1"/>
        <v>56000</v>
      </c>
      <c r="P54" s="19">
        <f t="shared" si="2"/>
        <v>504000</v>
      </c>
      <c r="Q54" s="19">
        <f t="shared" si="3"/>
        <v>350000</v>
      </c>
      <c r="R54" s="19">
        <f t="shared" si="4"/>
        <v>154000</v>
      </c>
    </row>
    <row r="55" spans="1:18" x14ac:dyDescent="0.25">
      <c r="A55" t="str">
        <f>_xlfn.XLOOKUP(C55,Raw_Data_Transaksi!$A$1:$A$1001,Raw_Data_Transaksi!$D$1:$D$1001,,0)</f>
        <v>PRD-114</v>
      </c>
      <c r="B55" t="str">
        <f>_xlfn.XLOOKUP(C55,Raw_Data_Transaksi!$A$1:$A$1001,Raw_Data_Transaksi!$C$1:$C$1001,,0)</f>
        <v>SLS-06</v>
      </c>
      <c r="C55" s="6" t="s">
        <v>139</v>
      </c>
      <c r="D55" s="7">
        <v>46005</v>
      </c>
      <c r="E55" s="10" t="str">
        <f>VLOOKUP(B55,Master_Sales!$A$1:$D$9,2,FALSE)</f>
        <v>Fajar Nugraha</v>
      </c>
      <c r="F55" s="10" t="str">
        <f>INDEX(Master_Sales!$D$1:$D$9,MATCH(Lembar_Kerja_Analisis!B55,Master_Sales!$A$1:$A$9,0))</f>
        <v>Timur</v>
      </c>
      <c r="G55" s="10" t="str">
        <f>INDEX(Master_Sales!$C$1:$C$9,MATCH(Lembar_Kerja_Analisis!B55,Master_Sales!$A$1:$A$9,0))</f>
        <v>Makassar</v>
      </c>
      <c r="H55" s="10" t="str">
        <f>VLOOKUP(A55,Master_Produk!$A$1:$E$16,2,FALSE)</f>
        <v>Blender Multifungsi 2-in-1</v>
      </c>
      <c r="I55" s="10" t="str">
        <f>INDEX(Master_Produk!$C$1:$C$16,MATCH(Lembar_Kerja_Analisis!A55,Master_Produk!$A$1:$A$16,0))</f>
        <v>Peralatan Rumah</v>
      </c>
      <c r="J55" s="19">
        <f>_xlfn.XLOOKUP(A55,Master_Produk!$A$1:$A$16,Master_Produk!$D$1:$D$16,,0)</f>
        <v>340000</v>
      </c>
      <c r="K55" s="19">
        <f>INDEX(Master_Produk!$E$1:$E$16,MATCH(Lembar_Kerja_Analisis!A55,Master_Produk!$A$1:$A$16,0))</f>
        <v>240000</v>
      </c>
      <c r="L55" s="8">
        <v>1</v>
      </c>
      <c r="M55" s="19">
        <f t="shared" si="0"/>
        <v>340000</v>
      </c>
      <c r="N55" s="9">
        <v>0</v>
      </c>
      <c r="O55" s="19">
        <f t="shared" si="1"/>
        <v>0</v>
      </c>
      <c r="P55" s="19">
        <f t="shared" si="2"/>
        <v>340000</v>
      </c>
      <c r="Q55" s="19">
        <f t="shared" si="3"/>
        <v>240000</v>
      </c>
      <c r="R55" s="19">
        <f t="shared" si="4"/>
        <v>100000</v>
      </c>
    </row>
    <row r="56" spans="1:18" x14ac:dyDescent="0.25">
      <c r="A56" t="str">
        <f>_xlfn.XLOOKUP(C56,Raw_Data_Transaksi!$A$1:$A$1001,Raw_Data_Transaksi!$D$1:$D$1001,,0)</f>
        <v>PRD-102</v>
      </c>
      <c r="B56" t="str">
        <f>_xlfn.XLOOKUP(C56,Raw_Data_Transaksi!$A$1:$A$1001,Raw_Data_Transaksi!$C$1:$C$1001,,0)</f>
        <v>SLS-07</v>
      </c>
      <c r="C56" s="6" t="s">
        <v>140</v>
      </c>
      <c r="D56" s="7">
        <v>45677</v>
      </c>
      <c r="E56" s="10" t="str">
        <f>VLOOKUP(B56,Master_Sales!$A$1:$D$9,2,FALSE)</f>
        <v>Gita Permata</v>
      </c>
      <c r="F56" s="10" t="str">
        <f>INDEX(Master_Sales!$D$1:$D$9,MATCH(Lembar_Kerja_Analisis!B56,Master_Sales!$A$1:$A$9,0))</f>
        <v>Tengah</v>
      </c>
      <c r="G56" s="10" t="str">
        <f>INDEX(Master_Sales!$C$1:$C$9,MATCH(Lembar_Kerja_Analisis!B56,Master_Sales!$A$1:$A$9,0))</f>
        <v>Denpasar</v>
      </c>
      <c r="H56" s="10" t="str">
        <f>VLOOKUP(A56,Master_Produk!$A$1:$E$16,2,FALSE)</f>
        <v>Wireless Mouse Ergonomic</v>
      </c>
      <c r="I56" s="10" t="str">
        <f>INDEX(Master_Produk!$C$1:$C$16,MATCH(Lembar_Kerja_Analisis!A56,Master_Produk!$A$1:$A$16,0))</f>
        <v>Elektronik</v>
      </c>
      <c r="J56" s="19">
        <f>_xlfn.XLOOKUP(A56,Master_Produk!$A$1:$A$16,Master_Produk!$D$1:$D$16,,0)</f>
        <v>250000</v>
      </c>
      <c r="K56" s="19">
        <f>INDEX(Master_Produk!$E$1:$E$16,MATCH(Lembar_Kerja_Analisis!A56,Master_Produk!$A$1:$A$16,0))</f>
        <v>160000</v>
      </c>
      <c r="L56" s="8">
        <v>6</v>
      </c>
      <c r="M56" s="19">
        <f t="shared" si="0"/>
        <v>1500000</v>
      </c>
      <c r="N56" s="9">
        <v>0.1</v>
      </c>
      <c r="O56" s="19">
        <f t="shared" si="1"/>
        <v>150000</v>
      </c>
      <c r="P56" s="19">
        <f t="shared" si="2"/>
        <v>1350000</v>
      </c>
      <c r="Q56" s="19">
        <f t="shared" si="3"/>
        <v>960000</v>
      </c>
      <c r="R56" s="19">
        <f t="shared" si="4"/>
        <v>390000</v>
      </c>
    </row>
    <row r="57" spans="1:18" x14ac:dyDescent="0.25">
      <c r="A57" t="str">
        <f>_xlfn.XLOOKUP(C57,Raw_Data_Transaksi!$A$1:$A$1001,Raw_Data_Transaksi!$D$1:$D$1001,,0)</f>
        <v>PRD-115</v>
      </c>
      <c r="B57" t="str">
        <f>_xlfn.XLOOKUP(C57,Raw_Data_Transaksi!$A$1:$A$1001,Raw_Data_Transaksi!$C$1:$C$1001,,0)</f>
        <v>SLS-04</v>
      </c>
      <c r="C57" s="6" t="s">
        <v>141</v>
      </c>
      <c r="D57" s="7">
        <v>45855</v>
      </c>
      <c r="E57" s="10" t="str">
        <f>VLOOKUP(B57,Master_Sales!$A$1:$D$9,2,FALSE)</f>
        <v>Dewi Anggraini</v>
      </c>
      <c r="F57" s="10" t="str">
        <f>INDEX(Master_Sales!$D$1:$D$9,MATCH(Lembar_Kerja_Analisis!B57,Master_Sales!$A$1:$A$9,0))</f>
        <v>Barat</v>
      </c>
      <c r="G57" s="10" t="str">
        <f>INDEX(Master_Sales!$C$1:$C$9,MATCH(Lembar_Kerja_Analisis!B57,Master_Sales!$A$1:$A$9,0))</f>
        <v>Medan</v>
      </c>
      <c r="H57" s="10" t="str">
        <f>VLOOKUP(A57,Master_Produk!$A$1:$E$16,2,FALSE)</f>
        <v>Set Pisau Dapur Stainless</v>
      </c>
      <c r="I57" s="10" t="str">
        <f>INDEX(Master_Produk!$C$1:$C$16,MATCH(Lembar_Kerja_Analisis!A57,Master_Produk!$A$1:$A$16,0))</f>
        <v>Peralatan Rumah</v>
      </c>
      <c r="J57" s="19">
        <f>_xlfn.XLOOKUP(A57,Master_Produk!$A$1:$A$16,Master_Produk!$D$1:$D$16,,0)</f>
        <v>165000</v>
      </c>
      <c r="K57" s="19">
        <f>INDEX(Master_Produk!$E$1:$E$16,MATCH(Lembar_Kerja_Analisis!A57,Master_Produk!$A$1:$A$16,0))</f>
        <v>105000</v>
      </c>
      <c r="L57" s="8">
        <v>5</v>
      </c>
      <c r="M57" s="19">
        <f t="shared" si="0"/>
        <v>825000</v>
      </c>
      <c r="N57" s="9">
        <v>0</v>
      </c>
      <c r="O57" s="19">
        <f t="shared" si="1"/>
        <v>0</v>
      </c>
      <c r="P57" s="19">
        <f t="shared" si="2"/>
        <v>825000</v>
      </c>
      <c r="Q57" s="19">
        <f t="shared" si="3"/>
        <v>525000</v>
      </c>
      <c r="R57" s="19">
        <f t="shared" si="4"/>
        <v>300000</v>
      </c>
    </row>
    <row r="58" spans="1:18" x14ac:dyDescent="0.25">
      <c r="A58" t="str">
        <f>_xlfn.XLOOKUP(C58,Raw_Data_Transaksi!$A$1:$A$1001,Raw_Data_Transaksi!$D$1:$D$1001,,0)</f>
        <v>PRD-107</v>
      </c>
      <c r="B58" t="str">
        <f>_xlfn.XLOOKUP(C58,Raw_Data_Transaksi!$A$1:$A$1001,Raw_Data_Transaksi!$C$1:$C$1001,,0)</f>
        <v>SLS-02</v>
      </c>
      <c r="C58" s="6" t="s">
        <v>142</v>
      </c>
      <c r="D58" s="7">
        <v>45844</v>
      </c>
      <c r="E58" s="10" t="str">
        <f>VLOOKUP(B58,Master_Sales!$A$1:$D$9,2,FALSE)</f>
        <v>Budi Santoso</v>
      </c>
      <c r="F58" s="10" t="str">
        <f>INDEX(Master_Sales!$D$1:$D$9,MATCH(Lembar_Kerja_Analisis!B58,Master_Sales!$A$1:$A$9,0))</f>
        <v>Timur</v>
      </c>
      <c r="G58" s="10" t="str">
        <f>INDEX(Master_Sales!$C$1:$C$9,MATCH(Lembar_Kerja_Analisis!B58,Master_Sales!$A$1:$A$9,0))</f>
        <v>Surabaya</v>
      </c>
      <c r="H58" s="10" t="str">
        <f>VLOOKUP(A58,Master_Produk!$A$1:$E$16,2,FALSE)</f>
        <v>Jaket Hoodie Casual</v>
      </c>
      <c r="I58" s="10" t="str">
        <f>INDEX(Master_Produk!$C$1:$C$16,MATCH(Lembar_Kerja_Analisis!A58,Master_Produk!$A$1:$A$16,0))</f>
        <v>Fashion</v>
      </c>
      <c r="J58" s="19">
        <f>_xlfn.XLOOKUP(A58,Master_Produk!$A$1:$A$16,Master_Produk!$D$1:$D$16,,0)</f>
        <v>350000</v>
      </c>
      <c r="K58" s="19">
        <f>INDEX(Master_Produk!$E$1:$E$16,MATCH(Lembar_Kerja_Analisis!A58,Master_Produk!$A$1:$A$16,0))</f>
        <v>220000</v>
      </c>
      <c r="L58" s="8">
        <v>11</v>
      </c>
      <c r="M58" s="19">
        <f t="shared" si="0"/>
        <v>3850000</v>
      </c>
      <c r="N58" s="9">
        <v>0.1</v>
      </c>
      <c r="O58" s="19">
        <f t="shared" si="1"/>
        <v>385000</v>
      </c>
      <c r="P58" s="19">
        <f t="shared" si="2"/>
        <v>3465000</v>
      </c>
      <c r="Q58" s="19">
        <f t="shared" si="3"/>
        <v>2420000</v>
      </c>
      <c r="R58" s="19">
        <f t="shared" si="4"/>
        <v>1045000</v>
      </c>
    </row>
    <row r="59" spans="1:18" x14ac:dyDescent="0.25">
      <c r="A59" t="str">
        <f>_xlfn.XLOOKUP(C59,Raw_Data_Transaksi!$A$1:$A$1001,Raw_Data_Transaksi!$D$1:$D$1001,,0)</f>
        <v>PRD-109</v>
      </c>
      <c r="B59" t="str">
        <f>_xlfn.XLOOKUP(C59,Raw_Data_Transaksi!$A$1:$A$1001,Raw_Data_Transaksi!$C$1:$C$1001,,0)</f>
        <v>SLS-05</v>
      </c>
      <c r="C59" s="6" t="s">
        <v>143</v>
      </c>
      <c r="D59" s="7">
        <v>45811</v>
      </c>
      <c r="E59" s="10" t="str">
        <f>VLOOKUP(B59,Master_Sales!$A$1:$D$9,2,FALSE)</f>
        <v>Eko Prasetyo</v>
      </c>
      <c r="F59" s="10" t="str">
        <f>INDEX(Master_Sales!$D$1:$D$9,MATCH(Lembar_Kerja_Analisis!B59,Master_Sales!$A$1:$A$9,0))</f>
        <v>Tengah</v>
      </c>
      <c r="G59" s="10" t="str">
        <f>INDEX(Master_Sales!$C$1:$C$9,MATCH(Lembar_Kerja_Analisis!B59,Master_Sales!$A$1:$A$9,0))</f>
        <v>Semarang</v>
      </c>
      <c r="H59" s="10" t="str">
        <f>VLOOKUP(A59,Master_Produk!$A$1:$E$16,2,FALSE)</f>
        <v>Kopi Arabika Gayo 250g</v>
      </c>
      <c r="I59" s="10" t="str">
        <f>INDEX(Master_Produk!$C$1:$C$16,MATCH(Lembar_Kerja_Analisis!A59,Master_Produk!$A$1:$A$16,0))</f>
        <v>F&amp;B</v>
      </c>
      <c r="J59" s="19">
        <f>_xlfn.XLOOKUP(A59,Master_Produk!$A$1:$A$16,Master_Produk!$D$1:$D$16,,0)</f>
        <v>85000</v>
      </c>
      <c r="K59" s="19">
        <f>INDEX(Master_Produk!$E$1:$E$16,MATCH(Lembar_Kerja_Analisis!A59,Master_Produk!$A$1:$A$16,0))</f>
        <v>55000</v>
      </c>
      <c r="L59" s="8">
        <v>16</v>
      </c>
      <c r="M59" s="19">
        <f t="shared" si="0"/>
        <v>1360000</v>
      </c>
      <c r="N59" s="9">
        <v>0.1</v>
      </c>
      <c r="O59" s="19">
        <f t="shared" si="1"/>
        <v>136000</v>
      </c>
      <c r="P59" s="19">
        <f t="shared" si="2"/>
        <v>1224000</v>
      </c>
      <c r="Q59" s="19">
        <f t="shared" si="3"/>
        <v>880000</v>
      </c>
      <c r="R59" s="19">
        <f t="shared" si="4"/>
        <v>344000</v>
      </c>
    </row>
    <row r="60" spans="1:18" x14ac:dyDescent="0.25">
      <c r="A60" t="str">
        <f>_xlfn.XLOOKUP(C60,Raw_Data_Transaksi!$A$1:$A$1001,Raw_Data_Transaksi!$D$1:$D$1001,,0)</f>
        <v>PRD-103</v>
      </c>
      <c r="B60" t="str">
        <f>_xlfn.XLOOKUP(C60,Raw_Data_Transaksi!$A$1:$A$1001,Raw_Data_Transaksi!$C$1:$C$1001,,0)</f>
        <v>SLS-04</v>
      </c>
      <c r="C60" s="6" t="s">
        <v>144</v>
      </c>
      <c r="D60" s="7">
        <v>45941</v>
      </c>
      <c r="E60" s="10" t="str">
        <f>VLOOKUP(B60,Master_Sales!$A$1:$D$9,2,FALSE)</f>
        <v>Dewi Anggraini</v>
      </c>
      <c r="F60" s="10" t="str">
        <f>INDEX(Master_Sales!$D$1:$D$9,MATCH(Lembar_Kerja_Analisis!B60,Master_Sales!$A$1:$A$9,0))</f>
        <v>Barat</v>
      </c>
      <c r="G60" s="10" t="str">
        <f>INDEX(Master_Sales!$C$1:$C$9,MATCH(Lembar_Kerja_Analisis!B60,Master_Sales!$A$1:$A$9,0))</f>
        <v>Medan</v>
      </c>
      <c r="H60" s="10" t="str">
        <f>VLOOKUP(A60,Master_Produk!$A$1:$E$16,2,FALSE)</f>
        <v>Mechanical Keyboard RGB</v>
      </c>
      <c r="I60" s="10" t="str">
        <f>INDEX(Master_Produk!$C$1:$C$16,MATCH(Lembar_Kerja_Analisis!A60,Master_Produk!$A$1:$A$16,0))</f>
        <v>Elektronik</v>
      </c>
      <c r="J60" s="19">
        <f>_xlfn.XLOOKUP(A60,Master_Produk!$A$1:$A$16,Master_Produk!$D$1:$D$16,,0)</f>
        <v>750000</v>
      </c>
      <c r="K60" s="19">
        <f>INDEX(Master_Produk!$E$1:$E$16,MATCH(Lembar_Kerja_Analisis!A60,Master_Produk!$A$1:$A$16,0))</f>
        <v>520000</v>
      </c>
      <c r="L60" s="8">
        <v>7</v>
      </c>
      <c r="M60" s="19">
        <f t="shared" si="0"/>
        <v>5250000</v>
      </c>
      <c r="N60" s="9">
        <v>0.15</v>
      </c>
      <c r="O60" s="19">
        <f t="shared" si="1"/>
        <v>787500</v>
      </c>
      <c r="P60" s="19">
        <f t="shared" si="2"/>
        <v>4462500</v>
      </c>
      <c r="Q60" s="19">
        <f t="shared" si="3"/>
        <v>3640000</v>
      </c>
      <c r="R60" s="19">
        <f t="shared" si="4"/>
        <v>822500</v>
      </c>
    </row>
    <row r="61" spans="1:18" x14ac:dyDescent="0.25">
      <c r="A61" t="str">
        <f>_xlfn.XLOOKUP(C61,Raw_Data_Transaksi!$A$1:$A$1001,Raw_Data_Transaksi!$D$1:$D$1001,,0)</f>
        <v>PRD-109</v>
      </c>
      <c r="B61" t="str">
        <f>_xlfn.XLOOKUP(C61,Raw_Data_Transaksi!$A$1:$A$1001,Raw_Data_Transaksi!$C$1:$C$1001,,0)</f>
        <v>SLS-01</v>
      </c>
      <c r="C61" s="6" t="s">
        <v>145</v>
      </c>
      <c r="D61" s="7">
        <v>45865</v>
      </c>
      <c r="E61" s="10" t="str">
        <f>VLOOKUP(B61,Master_Sales!$A$1:$D$9,2,FALSE)</f>
        <v>Andi Pratama</v>
      </c>
      <c r="F61" s="10" t="str">
        <f>INDEX(Master_Sales!$D$1:$D$9,MATCH(Lembar_Kerja_Analisis!B61,Master_Sales!$A$1:$A$9,0))</f>
        <v>Barat</v>
      </c>
      <c r="G61" s="10" t="str">
        <f>INDEX(Master_Sales!$C$1:$C$9,MATCH(Lembar_Kerja_Analisis!B61,Master_Sales!$A$1:$A$9,0))</f>
        <v>Jakarta</v>
      </c>
      <c r="H61" s="10" t="str">
        <f>VLOOKUP(A61,Master_Produk!$A$1:$E$16,2,FALSE)</f>
        <v>Kopi Arabika Gayo 250g</v>
      </c>
      <c r="I61" s="10" t="str">
        <f>INDEX(Master_Produk!$C$1:$C$16,MATCH(Lembar_Kerja_Analisis!A61,Master_Produk!$A$1:$A$16,0))</f>
        <v>F&amp;B</v>
      </c>
      <c r="J61" s="19">
        <f>_xlfn.XLOOKUP(A61,Master_Produk!$A$1:$A$16,Master_Produk!$D$1:$D$16,,0)</f>
        <v>85000</v>
      </c>
      <c r="K61" s="19">
        <f>INDEX(Master_Produk!$E$1:$E$16,MATCH(Lembar_Kerja_Analisis!A61,Master_Produk!$A$1:$A$16,0))</f>
        <v>55000</v>
      </c>
      <c r="L61" s="8">
        <v>12</v>
      </c>
      <c r="M61" s="19">
        <f t="shared" si="0"/>
        <v>1020000</v>
      </c>
      <c r="N61" s="9">
        <v>0.05</v>
      </c>
      <c r="O61" s="19">
        <f t="shared" si="1"/>
        <v>51000</v>
      </c>
      <c r="P61" s="19">
        <f t="shared" si="2"/>
        <v>969000</v>
      </c>
      <c r="Q61" s="19">
        <f t="shared" si="3"/>
        <v>660000</v>
      </c>
      <c r="R61" s="19">
        <f t="shared" si="4"/>
        <v>309000</v>
      </c>
    </row>
    <row r="62" spans="1:18" x14ac:dyDescent="0.25">
      <c r="A62" t="str">
        <f>_xlfn.XLOOKUP(C62,Raw_Data_Transaksi!$A$1:$A$1001,Raw_Data_Transaksi!$D$1:$D$1001,,0)</f>
        <v>PRD-108</v>
      </c>
      <c r="B62" t="str">
        <f>_xlfn.XLOOKUP(C62,Raw_Data_Transaksi!$A$1:$A$1001,Raw_Data_Transaksi!$C$1:$C$1001,,0)</f>
        <v>SLS-08</v>
      </c>
      <c r="C62" s="6" t="s">
        <v>146</v>
      </c>
      <c r="D62" s="7">
        <v>45896</v>
      </c>
      <c r="E62" s="10" t="str">
        <f>VLOOKUP(B62,Master_Sales!$A$1:$D$9,2,FALSE)</f>
        <v>Hendra Wijaya</v>
      </c>
      <c r="F62" s="10" t="str">
        <f>INDEX(Master_Sales!$D$1:$D$9,MATCH(Lembar_Kerja_Analisis!B62,Master_Sales!$A$1:$A$9,0))</f>
        <v>Tengah</v>
      </c>
      <c r="G62" s="10" t="str">
        <f>INDEX(Master_Sales!$C$1:$C$9,MATCH(Lembar_Kerja_Analisis!B62,Master_Sales!$A$1:$A$9,0))</f>
        <v>Yogyakarta</v>
      </c>
      <c r="H62" s="10" t="str">
        <f>VLOOKUP(A62,Master_Produk!$A$1:$E$16,2,FALSE)</f>
        <v>Sepatu Sneakers Pria/Wanita</v>
      </c>
      <c r="I62" s="10" t="str">
        <f>INDEX(Master_Produk!$C$1:$C$16,MATCH(Lembar_Kerja_Analisis!A62,Master_Produk!$A$1:$A$16,0))</f>
        <v>Fashion</v>
      </c>
      <c r="J62" s="19">
        <f>_xlfn.XLOOKUP(A62,Master_Produk!$A$1:$A$16,Master_Produk!$D$1:$D$16,,0)</f>
        <v>450000</v>
      </c>
      <c r="K62" s="19">
        <f>INDEX(Master_Produk!$E$1:$E$16,MATCH(Lembar_Kerja_Analisis!A62,Master_Produk!$A$1:$A$16,0))</f>
        <v>290000</v>
      </c>
      <c r="L62" s="8">
        <v>11</v>
      </c>
      <c r="M62" s="19">
        <f t="shared" si="0"/>
        <v>4950000</v>
      </c>
      <c r="N62" s="9">
        <v>0.05</v>
      </c>
      <c r="O62" s="19">
        <f t="shared" si="1"/>
        <v>247500</v>
      </c>
      <c r="P62" s="19">
        <f t="shared" si="2"/>
        <v>4702500</v>
      </c>
      <c r="Q62" s="19">
        <f t="shared" si="3"/>
        <v>3190000</v>
      </c>
      <c r="R62" s="19">
        <f t="shared" si="4"/>
        <v>1512500</v>
      </c>
    </row>
    <row r="63" spans="1:18" x14ac:dyDescent="0.25">
      <c r="A63" t="str">
        <f>_xlfn.XLOOKUP(C63,Raw_Data_Transaksi!$A$1:$A$1001,Raw_Data_Transaksi!$D$1:$D$1001,,0)</f>
        <v>PRD-102</v>
      </c>
      <c r="B63" t="str">
        <f>_xlfn.XLOOKUP(C63,Raw_Data_Transaksi!$A$1:$A$1001,Raw_Data_Transaksi!$C$1:$C$1001,,0)</f>
        <v>SLS-05</v>
      </c>
      <c r="C63" s="6" t="s">
        <v>147</v>
      </c>
      <c r="D63" s="7">
        <v>45995</v>
      </c>
      <c r="E63" s="10" t="str">
        <f>VLOOKUP(B63,Master_Sales!$A$1:$D$9,2,FALSE)</f>
        <v>Eko Prasetyo</v>
      </c>
      <c r="F63" s="10" t="str">
        <f>INDEX(Master_Sales!$D$1:$D$9,MATCH(Lembar_Kerja_Analisis!B63,Master_Sales!$A$1:$A$9,0))</f>
        <v>Tengah</v>
      </c>
      <c r="G63" s="10" t="str">
        <f>INDEX(Master_Sales!$C$1:$C$9,MATCH(Lembar_Kerja_Analisis!B63,Master_Sales!$A$1:$A$9,0))</f>
        <v>Semarang</v>
      </c>
      <c r="H63" s="10" t="str">
        <f>VLOOKUP(A63,Master_Produk!$A$1:$E$16,2,FALSE)</f>
        <v>Wireless Mouse Ergonomic</v>
      </c>
      <c r="I63" s="10" t="str">
        <f>INDEX(Master_Produk!$C$1:$C$16,MATCH(Lembar_Kerja_Analisis!A63,Master_Produk!$A$1:$A$16,0))</f>
        <v>Elektronik</v>
      </c>
      <c r="J63" s="19">
        <f>_xlfn.XLOOKUP(A63,Master_Produk!$A$1:$A$16,Master_Produk!$D$1:$D$16,,0)</f>
        <v>250000</v>
      </c>
      <c r="K63" s="19">
        <f>INDEX(Master_Produk!$E$1:$E$16,MATCH(Lembar_Kerja_Analisis!A63,Master_Produk!$A$1:$A$16,0))</f>
        <v>160000</v>
      </c>
      <c r="L63" s="8">
        <v>9</v>
      </c>
      <c r="M63" s="19">
        <f t="shared" si="0"/>
        <v>2250000</v>
      </c>
      <c r="N63" s="9">
        <v>0.2</v>
      </c>
      <c r="O63" s="19">
        <f t="shared" si="1"/>
        <v>450000</v>
      </c>
      <c r="P63" s="19">
        <f t="shared" si="2"/>
        <v>1800000</v>
      </c>
      <c r="Q63" s="19">
        <f t="shared" si="3"/>
        <v>1440000</v>
      </c>
      <c r="R63" s="19">
        <f t="shared" si="4"/>
        <v>360000</v>
      </c>
    </row>
    <row r="64" spans="1:18" x14ac:dyDescent="0.25">
      <c r="A64" t="str">
        <f>_xlfn.XLOOKUP(C64,Raw_Data_Transaksi!$A$1:$A$1001,Raw_Data_Transaksi!$D$1:$D$1001,,0)</f>
        <v>PRD-105</v>
      </c>
      <c r="B64" t="str">
        <f>_xlfn.XLOOKUP(C64,Raw_Data_Transaksi!$A$1:$A$1001,Raw_Data_Transaksi!$C$1:$C$1001,,0)</f>
        <v>SLS-04</v>
      </c>
      <c r="C64" s="6" t="s">
        <v>148</v>
      </c>
      <c r="D64" s="7">
        <v>46002</v>
      </c>
      <c r="E64" s="10" t="str">
        <f>VLOOKUP(B64,Master_Sales!$A$1:$D$9,2,FALSE)</f>
        <v>Dewi Anggraini</v>
      </c>
      <c r="F64" s="10" t="str">
        <f>INDEX(Master_Sales!$D$1:$D$9,MATCH(Lembar_Kerja_Analisis!B64,Master_Sales!$A$1:$A$9,0))</f>
        <v>Barat</v>
      </c>
      <c r="G64" s="10" t="str">
        <f>INDEX(Master_Sales!$C$1:$C$9,MATCH(Lembar_Kerja_Analisis!B64,Master_Sales!$A$1:$A$9,0))</f>
        <v>Medan</v>
      </c>
      <c r="H64" s="10" t="str">
        <f>VLOOKUP(A64,Master_Produk!$A$1:$E$16,2,FALSE)</f>
        <v>Kemeja Batik Katun Premium</v>
      </c>
      <c r="I64" s="10" t="str">
        <f>INDEX(Master_Produk!$C$1:$C$16,MATCH(Lembar_Kerja_Analisis!A64,Master_Produk!$A$1:$A$16,0))</f>
        <v>Fashion</v>
      </c>
      <c r="J64" s="19">
        <f>_xlfn.XLOOKUP(A64,Master_Produk!$A$1:$A$16,Master_Produk!$D$1:$D$16,,0)</f>
        <v>320000</v>
      </c>
      <c r="K64" s="19">
        <f>INDEX(Master_Produk!$E$1:$E$16,MATCH(Lembar_Kerja_Analisis!A64,Master_Produk!$A$1:$A$16,0))</f>
        <v>190000</v>
      </c>
      <c r="L64" s="8">
        <v>4</v>
      </c>
      <c r="M64" s="19">
        <f t="shared" si="0"/>
        <v>1280000</v>
      </c>
      <c r="N64" s="9">
        <v>0.05</v>
      </c>
      <c r="O64" s="19">
        <f t="shared" si="1"/>
        <v>64000</v>
      </c>
      <c r="P64" s="19">
        <f t="shared" si="2"/>
        <v>1216000</v>
      </c>
      <c r="Q64" s="19">
        <f t="shared" si="3"/>
        <v>760000</v>
      </c>
      <c r="R64" s="19">
        <f t="shared" si="4"/>
        <v>456000</v>
      </c>
    </row>
    <row r="65" spans="1:18" x14ac:dyDescent="0.25">
      <c r="A65" t="str">
        <f>_xlfn.XLOOKUP(C65,Raw_Data_Transaksi!$A$1:$A$1001,Raw_Data_Transaksi!$D$1:$D$1001,,0)</f>
        <v>PRD-110</v>
      </c>
      <c r="B65" t="str">
        <f>_xlfn.XLOOKUP(C65,Raw_Data_Transaksi!$A$1:$A$1001,Raw_Data_Transaksi!$C$1:$C$1001,,0)</f>
        <v>SLS-02</v>
      </c>
      <c r="C65" s="6" t="s">
        <v>149</v>
      </c>
      <c r="D65" s="7">
        <v>45901</v>
      </c>
      <c r="E65" s="10" t="str">
        <f>VLOOKUP(B65,Master_Sales!$A$1:$D$9,2,FALSE)</f>
        <v>Budi Santoso</v>
      </c>
      <c r="F65" s="10" t="str">
        <f>INDEX(Master_Sales!$D$1:$D$9,MATCH(Lembar_Kerja_Analisis!B65,Master_Sales!$A$1:$A$9,0))</f>
        <v>Timur</v>
      </c>
      <c r="G65" s="10" t="str">
        <f>INDEX(Master_Sales!$C$1:$C$9,MATCH(Lembar_Kerja_Analisis!B65,Master_Sales!$A$1:$A$9,0))</f>
        <v>Surabaya</v>
      </c>
      <c r="H65" s="10" t="str">
        <f>VLOOKUP(A65,Master_Produk!$A$1:$E$16,2,FALSE)</f>
        <v>Minyak Goreng Sawit 2L</v>
      </c>
      <c r="I65" s="10" t="str">
        <f>INDEX(Master_Produk!$C$1:$C$16,MATCH(Lembar_Kerja_Analisis!A65,Master_Produk!$A$1:$A$16,0))</f>
        <v>F&amp;B</v>
      </c>
      <c r="J65" s="19">
        <f>_xlfn.XLOOKUP(A65,Master_Produk!$A$1:$A$16,Master_Produk!$D$1:$D$16,,0)</f>
        <v>36000</v>
      </c>
      <c r="K65" s="19">
        <f>INDEX(Master_Produk!$E$1:$E$16,MATCH(Lembar_Kerja_Analisis!A65,Master_Produk!$A$1:$A$16,0))</f>
        <v>31000</v>
      </c>
      <c r="L65" s="8">
        <v>16</v>
      </c>
      <c r="M65" s="19">
        <f t="shared" si="0"/>
        <v>576000</v>
      </c>
      <c r="N65" s="9">
        <v>0.2</v>
      </c>
      <c r="O65" s="19">
        <f t="shared" si="1"/>
        <v>115200</v>
      </c>
      <c r="P65" s="19">
        <f t="shared" si="2"/>
        <v>460800</v>
      </c>
      <c r="Q65" s="19">
        <f t="shared" si="3"/>
        <v>496000</v>
      </c>
      <c r="R65" s="19">
        <f t="shared" si="4"/>
        <v>-35200</v>
      </c>
    </row>
    <row r="66" spans="1:18" x14ac:dyDescent="0.25">
      <c r="A66" t="str">
        <f>_xlfn.XLOOKUP(C66,Raw_Data_Transaksi!$A$1:$A$1001,Raw_Data_Transaksi!$D$1:$D$1001,,0)</f>
        <v>PRD-107</v>
      </c>
      <c r="B66" t="str">
        <f>_xlfn.XLOOKUP(C66,Raw_Data_Transaksi!$A$1:$A$1001,Raw_Data_Transaksi!$C$1:$C$1001,,0)</f>
        <v>SLS-04</v>
      </c>
      <c r="C66" s="6" t="s">
        <v>150</v>
      </c>
      <c r="D66" s="7">
        <v>45911</v>
      </c>
      <c r="E66" s="10" t="str">
        <f>VLOOKUP(B66,Master_Sales!$A$1:$D$9,2,FALSE)</f>
        <v>Dewi Anggraini</v>
      </c>
      <c r="F66" s="10" t="str">
        <f>INDEX(Master_Sales!$D$1:$D$9,MATCH(Lembar_Kerja_Analisis!B66,Master_Sales!$A$1:$A$9,0))</f>
        <v>Barat</v>
      </c>
      <c r="G66" s="10" t="str">
        <f>INDEX(Master_Sales!$C$1:$C$9,MATCH(Lembar_Kerja_Analisis!B66,Master_Sales!$A$1:$A$9,0))</f>
        <v>Medan</v>
      </c>
      <c r="H66" s="10" t="str">
        <f>VLOOKUP(A66,Master_Produk!$A$1:$E$16,2,FALSE)</f>
        <v>Jaket Hoodie Casual</v>
      </c>
      <c r="I66" s="10" t="str">
        <f>INDEX(Master_Produk!$C$1:$C$16,MATCH(Lembar_Kerja_Analisis!A66,Master_Produk!$A$1:$A$16,0))</f>
        <v>Fashion</v>
      </c>
      <c r="J66" s="19">
        <f>_xlfn.XLOOKUP(A66,Master_Produk!$A$1:$A$16,Master_Produk!$D$1:$D$16,,0)</f>
        <v>350000</v>
      </c>
      <c r="K66" s="19">
        <f>INDEX(Master_Produk!$E$1:$E$16,MATCH(Lembar_Kerja_Analisis!A66,Master_Produk!$A$1:$A$16,0))</f>
        <v>220000</v>
      </c>
      <c r="L66" s="8">
        <v>3</v>
      </c>
      <c r="M66" s="19">
        <f t="shared" si="0"/>
        <v>1050000</v>
      </c>
      <c r="N66" s="9">
        <v>0</v>
      </c>
      <c r="O66" s="19">
        <f t="shared" si="1"/>
        <v>0</v>
      </c>
      <c r="P66" s="19">
        <f t="shared" si="2"/>
        <v>1050000</v>
      </c>
      <c r="Q66" s="19">
        <f t="shared" si="3"/>
        <v>660000</v>
      </c>
      <c r="R66" s="19">
        <f t="shared" si="4"/>
        <v>390000</v>
      </c>
    </row>
    <row r="67" spans="1:18" x14ac:dyDescent="0.25">
      <c r="A67" t="str">
        <f>_xlfn.XLOOKUP(C67,Raw_Data_Transaksi!$A$1:$A$1001,Raw_Data_Transaksi!$D$1:$D$1001,,0)</f>
        <v>PRD-113</v>
      </c>
      <c r="B67" t="str">
        <f>_xlfn.XLOOKUP(C67,Raw_Data_Transaksi!$A$1:$A$1001,Raw_Data_Transaksi!$C$1:$C$1001,,0)</f>
        <v>SLS-08</v>
      </c>
      <c r="C67" s="6" t="s">
        <v>151</v>
      </c>
      <c r="D67" s="7">
        <v>45748</v>
      </c>
      <c r="E67" s="10" t="str">
        <f>VLOOKUP(B67,Master_Sales!$A$1:$D$9,2,FALSE)</f>
        <v>Hendra Wijaya</v>
      </c>
      <c r="F67" s="10" t="str">
        <f>INDEX(Master_Sales!$D$1:$D$9,MATCH(Lembar_Kerja_Analisis!B67,Master_Sales!$A$1:$A$9,0))</f>
        <v>Tengah</v>
      </c>
      <c r="G67" s="10" t="str">
        <f>INDEX(Master_Sales!$C$1:$C$9,MATCH(Lembar_Kerja_Analisis!B67,Master_Sales!$A$1:$A$9,0))</f>
        <v>Yogyakarta</v>
      </c>
      <c r="H67" s="10" t="str">
        <f>VLOOKUP(A67,Master_Produk!$A$1:$E$16,2,FALSE)</f>
        <v>Wajan Anti Lengket 28cm</v>
      </c>
      <c r="I67" s="10" t="str">
        <f>INDEX(Master_Produk!$C$1:$C$16,MATCH(Lembar_Kerja_Analisis!A67,Master_Produk!$A$1:$A$16,0))</f>
        <v>Peralatan Rumah</v>
      </c>
      <c r="J67" s="19">
        <f>_xlfn.XLOOKUP(A67,Master_Produk!$A$1:$A$16,Master_Produk!$D$1:$D$16,,0)</f>
        <v>210000</v>
      </c>
      <c r="K67" s="19">
        <f>INDEX(Master_Produk!$E$1:$E$16,MATCH(Lembar_Kerja_Analisis!A67,Master_Produk!$A$1:$A$16,0))</f>
        <v>140000</v>
      </c>
      <c r="L67" s="8">
        <v>1</v>
      </c>
      <c r="M67" s="19">
        <f t="shared" ref="M67:M130" si="5">L67*J67</f>
        <v>210000</v>
      </c>
      <c r="N67" s="9">
        <v>0.2</v>
      </c>
      <c r="O67" s="19">
        <f t="shared" ref="O67:O130" si="6">M67*N67</f>
        <v>42000</v>
      </c>
      <c r="P67" s="19">
        <f t="shared" ref="P67:P130" si="7">M67-O67</f>
        <v>168000</v>
      </c>
      <c r="Q67" s="19">
        <f t="shared" ref="Q67:Q130" si="8">L67*K67</f>
        <v>140000</v>
      </c>
      <c r="R67" s="19">
        <f t="shared" ref="R67:R130" si="9">P67-Q67</f>
        <v>28000</v>
      </c>
    </row>
    <row r="68" spans="1:18" x14ac:dyDescent="0.25">
      <c r="A68" t="str">
        <f>_xlfn.XLOOKUP(C68,Raw_Data_Transaksi!$A$1:$A$1001,Raw_Data_Transaksi!$D$1:$D$1001,,0)</f>
        <v>PRD-113</v>
      </c>
      <c r="B68" t="str">
        <f>_xlfn.XLOOKUP(C68,Raw_Data_Transaksi!$A$1:$A$1001,Raw_Data_Transaksi!$C$1:$C$1001,,0)</f>
        <v>SLS-08</v>
      </c>
      <c r="C68" s="6" t="s">
        <v>152</v>
      </c>
      <c r="D68" s="7">
        <v>45726</v>
      </c>
      <c r="E68" s="10" t="str">
        <f>VLOOKUP(B68,Master_Sales!$A$1:$D$9,2,FALSE)</f>
        <v>Hendra Wijaya</v>
      </c>
      <c r="F68" s="10" t="str">
        <f>INDEX(Master_Sales!$D$1:$D$9,MATCH(Lembar_Kerja_Analisis!B68,Master_Sales!$A$1:$A$9,0))</f>
        <v>Tengah</v>
      </c>
      <c r="G68" s="10" t="str">
        <f>INDEX(Master_Sales!$C$1:$C$9,MATCH(Lembar_Kerja_Analisis!B68,Master_Sales!$A$1:$A$9,0))</f>
        <v>Yogyakarta</v>
      </c>
      <c r="H68" s="10" t="str">
        <f>VLOOKUP(A68,Master_Produk!$A$1:$E$16,2,FALSE)</f>
        <v>Wajan Anti Lengket 28cm</v>
      </c>
      <c r="I68" s="10" t="str">
        <f>INDEX(Master_Produk!$C$1:$C$16,MATCH(Lembar_Kerja_Analisis!A68,Master_Produk!$A$1:$A$16,0))</f>
        <v>Peralatan Rumah</v>
      </c>
      <c r="J68" s="19">
        <f>_xlfn.XLOOKUP(A68,Master_Produk!$A$1:$A$16,Master_Produk!$D$1:$D$16,,0)</f>
        <v>210000</v>
      </c>
      <c r="K68" s="19">
        <f>INDEX(Master_Produk!$E$1:$E$16,MATCH(Lembar_Kerja_Analisis!A68,Master_Produk!$A$1:$A$16,0))</f>
        <v>140000</v>
      </c>
      <c r="L68" s="8">
        <v>11</v>
      </c>
      <c r="M68" s="19">
        <f t="shared" si="5"/>
        <v>2310000</v>
      </c>
      <c r="N68" s="9">
        <v>0.2</v>
      </c>
      <c r="O68" s="19">
        <f t="shared" si="6"/>
        <v>462000</v>
      </c>
      <c r="P68" s="19">
        <f t="shared" si="7"/>
        <v>1848000</v>
      </c>
      <c r="Q68" s="19">
        <f t="shared" si="8"/>
        <v>1540000</v>
      </c>
      <c r="R68" s="19">
        <f t="shared" si="9"/>
        <v>308000</v>
      </c>
    </row>
    <row r="69" spans="1:18" x14ac:dyDescent="0.25">
      <c r="A69" t="str">
        <f>_xlfn.XLOOKUP(C69,Raw_Data_Transaksi!$A$1:$A$1001,Raw_Data_Transaksi!$D$1:$D$1001,,0)</f>
        <v>PRD-108</v>
      </c>
      <c r="B69" t="str">
        <f>_xlfn.XLOOKUP(C69,Raw_Data_Transaksi!$A$1:$A$1001,Raw_Data_Transaksi!$C$1:$C$1001,,0)</f>
        <v>SLS-03</v>
      </c>
      <c r="C69" s="6" t="s">
        <v>153</v>
      </c>
      <c r="D69" s="7">
        <v>45938</v>
      </c>
      <c r="E69" s="10" t="str">
        <f>VLOOKUP(B69,Master_Sales!$A$1:$D$9,2,FALSE)</f>
        <v>Citra Lestari</v>
      </c>
      <c r="F69" s="10" t="str">
        <f>INDEX(Master_Sales!$D$1:$D$9,MATCH(Lembar_Kerja_Analisis!B69,Master_Sales!$A$1:$A$9,0))</f>
        <v>Barat</v>
      </c>
      <c r="G69" s="10" t="str">
        <f>INDEX(Master_Sales!$C$1:$C$9,MATCH(Lembar_Kerja_Analisis!B69,Master_Sales!$A$1:$A$9,0))</f>
        <v>Bandung</v>
      </c>
      <c r="H69" s="10" t="str">
        <f>VLOOKUP(A69,Master_Produk!$A$1:$E$16,2,FALSE)</f>
        <v>Sepatu Sneakers Pria/Wanita</v>
      </c>
      <c r="I69" s="10" t="str">
        <f>INDEX(Master_Produk!$C$1:$C$16,MATCH(Lembar_Kerja_Analisis!A69,Master_Produk!$A$1:$A$16,0))</f>
        <v>Fashion</v>
      </c>
      <c r="J69" s="19">
        <f>_xlfn.XLOOKUP(A69,Master_Produk!$A$1:$A$16,Master_Produk!$D$1:$D$16,,0)</f>
        <v>450000</v>
      </c>
      <c r="K69" s="19">
        <f>INDEX(Master_Produk!$E$1:$E$16,MATCH(Lembar_Kerja_Analisis!A69,Master_Produk!$A$1:$A$16,0))</f>
        <v>290000</v>
      </c>
      <c r="L69" s="8">
        <v>12</v>
      </c>
      <c r="M69" s="19">
        <f t="shared" si="5"/>
        <v>5400000</v>
      </c>
      <c r="N69" s="9">
        <v>0.15</v>
      </c>
      <c r="O69" s="19">
        <f t="shared" si="6"/>
        <v>810000</v>
      </c>
      <c r="P69" s="19">
        <f t="shared" si="7"/>
        <v>4590000</v>
      </c>
      <c r="Q69" s="19">
        <f t="shared" si="8"/>
        <v>3480000</v>
      </c>
      <c r="R69" s="19">
        <f t="shared" si="9"/>
        <v>1110000</v>
      </c>
    </row>
    <row r="70" spans="1:18" x14ac:dyDescent="0.25">
      <c r="A70" t="str">
        <f>_xlfn.XLOOKUP(C70,Raw_Data_Transaksi!$A$1:$A$1001,Raw_Data_Transaksi!$D$1:$D$1001,,0)</f>
        <v>PRD-105</v>
      </c>
      <c r="B70" t="str">
        <f>_xlfn.XLOOKUP(C70,Raw_Data_Transaksi!$A$1:$A$1001,Raw_Data_Transaksi!$C$1:$C$1001,,0)</f>
        <v>SLS-08</v>
      </c>
      <c r="C70" s="6" t="s">
        <v>154</v>
      </c>
      <c r="D70" s="7">
        <v>45984</v>
      </c>
      <c r="E70" s="10" t="str">
        <f>VLOOKUP(B70,Master_Sales!$A$1:$D$9,2,FALSE)</f>
        <v>Hendra Wijaya</v>
      </c>
      <c r="F70" s="10" t="str">
        <f>INDEX(Master_Sales!$D$1:$D$9,MATCH(Lembar_Kerja_Analisis!B70,Master_Sales!$A$1:$A$9,0))</f>
        <v>Tengah</v>
      </c>
      <c r="G70" s="10" t="str">
        <f>INDEX(Master_Sales!$C$1:$C$9,MATCH(Lembar_Kerja_Analisis!B70,Master_Sales!$A$1:$A$9,0))</f>
        <v>Yogyakarta</v>
      </c>
      <c r="H70" s="10" t="str">
        <f>VLOOKUP(A70,Master_Produk!$A$1:$E$16,2,FALSE)</f>
        <v>Kemeja Batik Katun Premium</v>
      </c>
      <c r="I70" s="10" t="str">
        <f>INDEX(Master_Produk!$C$1:$C$16,MATCH(Lembar_Kerja_Analisis!A70,Master_Produk!$A$1:$A$16,0))</f>
        <v>Fashion</v>
      </c>
      <c r="J70" s="19">
        <f>_xlfn.XLOOKUP(A70,Master_Produk!$A$1:$A$16,Master_Produk!$D$1:$D$16,,0)</f>
        <v>320000</v>
      </c>
      <c r="K70" s="19">
        <f>INDEX(Master_Produk!$E$1:$E$16,MATCH(Lembar_Kerja_Analisis!A70,Master_Produk!$A$1:$A$16,0))</f>
        <v>190000</v>
      </c>
      <c r="L70" s="8">
        <v>11</v>
      </c>
      <c r="M70" s="19">
        <f t="shared" si="5"/>
        <v>3520000</v>
      </c>
      <c r="N70" s="9">
        <v>0.05</v>
      </c>
      <c r="O70" s="19">
        <f t="shared" si="6"/>
        <v>176000</v>
      </c>
      <c r="P70" s="19">
        <f t="shared" si="7"/>
        <v>3344000</v>
      </c>
      <c r="Q70" s="19">
        <f t="shared" si="8"/>
        <v>2090000</v>
      </c>
      <c r="R70" s="19">
        <f t="shared" si="9"/>
        <v>1254000</v>
      </c>
    </row>
    <row r="71" spans="1:18" x14ac:dyDescent="0.25">
      <c r="A71" t="str">
        <f>_xlfn.XLOOKUP(C71,Raw_Data_Transaksi!$A$1:$A$1001,Raw_Data_Transaksi!$D$1:$D$1001,,0)</f>
        <v>PRD-104</v>
      </c>
      <c r="B71" t="str">
        <f>_xlfn.XLOOKUP(C71,Raw_Data_Transaksi!$A$1:$A$1001,Raw_Data_Transaksi!$C$1:$C$1001,,0)</f>
        <v>SLS-05</v>
      </c>
      <c r="C71" s="6" t="s">
        <v>155</v>
      </c>
      <c r="D71" s="7">
        <v>45804</v>
      </c>
      <c r="E71" s="10" t="str">
        <f>VLOOKUP(B71,Master_Sales!$A$1:$D$9,2,FALSE)</f>
        <v>Eko Prasetyo</v>
      </c>
      <c r="F71" s="10" t="str">
        <f>INDEX(Master_Sales!$D$1:$D$9,MATCH(Lembar_Kerja_Analisis!B71,Master_Sales!$A$1:$A$9,0))</f>
        <v>Tengah</v>
      </c>
      <c r="G71" s="10" t="str">
        <f>INDEX(Master_Sales!$C$1:$C$9,MATCH(Lembar_Kerja_Analisis!B71,Master_Sales!$A$1:$A$9,0))</f>
        <v>Semarang</v>
      </c>
      <c r="H71" s="10" t="str">
        <f>VLOOKUP(A71,Master_Produk!$A$1:$E$16,2,FALSE)</f>
        <v>Monitor 24" FHD 144Hz</v>
      </c>
      <c r="I71" s="10" t="str">
        <f>INDEX(Master_Produk!$C$1:$C$16,MATCH(Lembar_Kerja_Analisis!A71,Master_Produk!$A$1:$A$16,0))</f>
        <v>Elektronik</v>
      </c>
      <c r="J71" s="19">
        <f>_xlfn.XLOOKUP(A71,Master_Produk!$A$1:$A$16,Master_Produk!$D$1:$D$16,,0)</f>
        <v>1950000</v>
      </c>
      <c r="K71" s="19">
        <f>INDEX(Master_Produk!$E$1:$E$16,MATCH(Lembar_Kerja_Analisis!A71,Master_Produk!$A$1:$A$16,0))</f>
        <v>1500000</v>
      </c>
      <c r="L71" s="8">
        <v>6</v>
      </c>
      <c r="M71" s="19">
        <f t="shared" si="5"/>
        <v>11700000</v>
      </c>
      <c r="N71" s="9">
        <v>0.1</v>
      </c>
      <c r="O71" s="19">
        <f t="shared" si="6"/>
        <v>1170000</v>
      </c>
      <c r="P71" s="19">
        <f t="shared" si="7"/>
        <v>10530000</v>
      </c>
      <c r="Q71" s="19">
        <f t="shared" si="8"/>
        <v>9000000</v>
      </c>
      <c r="R71" s="19">
        <f t="shared" si="9"/>
        <v>1530000</v>
      </c>
    </row>
    <row r="72" spans="1:18" x14ac:dyDescent="0.25">
      <c r="A72" t="str">
        <f>_xlfn.XLOOKUP(C72,Raw_Data_Transaksi!$A$1:$A$1001,Raw_Data_Transaksi!$D$1:$D$1001,,0)</f>
        <v>PRD-107</v>
      </c>
      <c r="B72" t="str">
        <f>_xlfn.XLOOKUP(C72,Raw_Data_Transaksi!$A$1:$A$1001,Raw_Data_Transaksi!$C$1:$C$1001,,0)</f>
        <v>SLS-03</v>
      </c>
      <c r="C72" s="6" t="s">
        <v>156</v>
      </c>
      <c r="D72" s="7">
        <v>45776</v>
      </c>
      <c r="E72" s="10" t="str">
        <f>VLOOKUP(B72,Master_Sales!$A$1:$D$9,2,FALSE)</f>
        <v>Citra Lestari</v>
      </c>
      <c r="F72" s="10" t="str">
        <f>INDEX(Master_Sales!$D$1:$D$9,MATCH(Lembar_Kerja_Analisis!B72,Master_Sales!$A$1:$A$9,0))</f>
        <v>Barat</v>
      </c>
      <c r="G72" s="10" t="str">
        <f>INDEX(Master_Sales!$C$1:$C$9,MATCH(Lembar_Kerja_Analisis!B72,Master_Sales!$A$1:$A$9,0))</f>
        <v>Bandung</v>
      </c>
      <c r="H72" s="10" t="str">
        <f>VLOOKUP(A72,Master_Produk!$A$1:$E$16,2,FALSE)</f>
        <v>Jaket Hoodie Casual</v>
      </c>
      <c r="I72" s="10" t="str">
        <f>INDEX(Master_Produk!$C$1:$C$16,MATCH(Lembar_Kerja_Analisis!A72,Master_Produk!$A$1:$A$16,0))</f>
        <v>Fashion</v>
      </c>
      <c r="J72" s="19">
        <f>_xlfn.XLOOKUP(A72,Master_Produk!$A$1:$A$16,Master_Produk!$D$1:$D$16,,0)</f>
        <v>350000</v>
      </c>
      <c r="K72" s="19">
        <f>INDEX(Master_Produk!$E$1:$E$16,MATCH(Lembar_Kerja_Analisis!A72,Master_Produk!$A$1:$A$16,0))</f>
        <v>220000</v>
      </c>
      <c r="L72" s="8">
        <v>12</v>
      </c>
      <c r="M72" s="19">
        <f t="shared" si="5"/>
        <v>4200000</v>
      </c>
      <c r="N72" s="9">
        <v>0.05</v>
      </c>
      <c r="O72" s="19">
        <f t="shared" si="6"/>
        <v>210000</v>
      </c>
      <c r="P72" s="19">
        <f t="shared" si="7"/>
        <v>3990000</v>
      </c>
      <c r="Q72" s="19">
        <f t="shared" si="8"/>
        <v>2640000</v>
      </c>
      <c r="R72" s="19">
        <f t="shared" si="9"/>
        <v>1350000</v>
      </c>
    </row>
    <row r="73" spans="1:18" x14ac:dyDescent="0.25">
      <c r="A73" t="str">
        <f>_xlfn.XLOOKUP(C73,Raw_Data_Transaksi!$A$1:$A$1001,Raw_Data_Transaksi!$D$1:$D$1001,,0)</f>
        <v>PRD-109</v>
      </c>
      <c r="B73" t="str">
        <f>_xlfn.XLOOKUP(C73,Raw_Data_Transaksi!$A$1:$A$1001,Raw_Data_Transaksi!$C$1:$C$1001,,0)</f>
        <v>SLS-08</v>
      </c>
      <c r="C73" s="6" t="s">
        <v>157</v>
      </c>
      <c r="D73" s="7">
        <v>45827</v>
      </c>
      <c r="E73" s="10" t="str">
        <f>VLOOKUP(B73,Master_Sales!$A$1:$D$9,2,FALSE)</f>
        <v>Hendra Wijaya</v>
      </c>
      <c r="F73" s="10" t="str">
        <f>INDEX(Master_Sales!$D$1:$D$9,MATCH(Lembar_Kerja_Analisis!B73,Master_Sales!$A$1:$A$9,0))</f>
        <v>Tengah</v>
      </c>
      <c r="G73" s="10" t="str">
        <f>INDEX(Master_Sales!$C$1:$C$9,MATCH(Lembar_Kerja_Analisis!B73,Master_Sales!$A$1:$A$9,0))</f>
        <v>Yogyakarta</v>
      </c>
      <c r="H73" s="10" t="str">
        <f>VLOOKUP(A73,Master_Produk!$A$1:$E$16,2,FALSE)</f>
        <v>Kopi Arabika Gayo 250g</v>
      </c>
      <c r="I73" s="10" t="str">
        <f>INDEX(Master_Produk!$C$1:$C$16,MATCH(Lembar_Kerja_Analisis!A73,Master_Produk!$A$1:$A$16,0))</f>
        <v>F&amp;B</v>
      </c>
      <c r="J73" s="19">
        <f>_xlfn.XLOOKUP(A73,Master_Produk!$A$1:$A$16,Master_Produk!$D$1:$D$16,,0)</f>
        <v>85000</v>
      </c>
      <c r="K73" s="19">
        <f>INDEX(Master_Produk!$E$1:$E$16,MATCH(Lembar_Kerja_Analisis!A73,Master_Produk!$A$1:$A$16,0))</f>
        <v>55000</v>
      </c>
      <c r="L73" s="8">
        <v>4</v>
      </c>
      <c r="M73" s="19">
        <f t="shared" si="5"/>
        <v>340000</v>
      </c>
      <c r="N73" s="9">
        <v>0.05</v>
      </c>
      <c r="O73" s="19">
        <f t="shared" si="6"/>
        <v>17000</v>
      </c>
      <c r="P73" s="19">
        <f t="shared" si="7"/>
        <v>323000</v>
      </c>
      <c r="Q73" s="19">
        <f t="shared" si="8"/>
        <v>220000</v>
      </c>
      <c r="R73" s="19">
        <f t="shared" si="9"/>
        <v>103000</v>
      </c>
    </row>
    <row r="74" spans="1:18" x14ac:dyDescent="0.25">
      <c r="A74" t="str">
        <f>_xlfn.XLOOKUP(C74,Raw_Data_Transaksi!$A$1:$A$1001,Raw_Data_Transaksi!$D$1:$D$1001,,0)</f>
        <v>PRD-107</v>
      </c>
      <c r="B74" t="str">
        <f>_xlfn.XLOOKUP(C74,Raw_Data_Transaksi!$A$1:$A$1001,Raw_Data_Transaksi!$C$1:$C$1001,,0)</f>
        <v>SLS-08</v>
      </c>
      <c r="C74" s="6" t="s">
        <v>158</v>
      </c>
      <c r="D74" s="7">
        <v>45952</v>
      </c>
      <c r="E74" s="10" t="str">
        <f>VLOOKUP(B74,Master_Sales!$A$1:$D$9,2,FALSE)</f>
        <v>Hendra Wijaya</v>
      </c>
      <c r="F74" s="10" t="str">
        <f>INDEX(Master_Sales!$D$1:$D$9,MATCH(Lembar_Kerja_Analisis!B74,Master_Sales!$A$1:$A$9,0))</f>
        <v>Tengah</v>
      </c>
      <c r="G74" s="10" t="str">
        <f>INDEX(Master_Sales!$C$1:$C$9,MATCH(Lembar_Kerja_Analisis!B74,Master_Sales!$A$1:$A$9,0))</f>
        <v>Yogyakarta</v>
      </c>
      <c r="H74" s="10" t="str">
        <f>VLOOKUP(A74,Master_Produk!$A$1:$E$16,2,FALSE)</f>
        <v>Jaket Hoodie Casual</v>
      </c>
      <c r="I74" s="10" t="str">
        <f>INDEX(Master_Produk!$C$1:$C$16,MATCH(Lembar_Kerja_Analisis!A74,Master_Produk!$A$1:$A$16,0))</f>
        <v>Fashion</v>
      </c>
      <c r="J74" s="19">
        <f>_xlfn.XLOOKUP(A74,Master_Produk!$A$1:$A$16,Master_Produk!$D$1:$D$16,,0)</f>
        <v>350000</v>
      </c>
      <c r="K74" s="19">
        <f>INDEX(Master_Produk!$E$1:$E$16,MATCH(Lembar_Kerja_Analisis!A74,Master_Produk!$A$1:$A$16,0))</f>
        <v>220000</v>
      </c>
      <c r="L74" s="8">
        <v>1</v>
      </c>
      <c r="M74" s="19">
        <f t="shared" si="5"/>
        <v>350000</v>
      </c>
      <c r="N74" s="9">
        <v>0.1</v>
      </c>
      <c r="O74" s="19">
        <f t="shared" si="6"/>
        <v>35000</v>
      </c>
      <c r="P74" s="19">
        <f t="shared" si="7"/>
        <v>315000</v>
      </c>
      <c r="Q74" s="19">
        <f t="shared" si="8"/>
        <v>220000</v>
      </c>
      <c r="R74" s="19">
        <f t="shared" si="9"/>
        <v>95000</v>
      </c>
    </row>
    <row r="75" spans="1:18" x14ac:dyDescent="0.25">
      <c r="A75" t="str">
        <f>_xlfn.XLOOKUP(C75,Raw_Data_Transaksi!$A$1:$A$1001,Raw_Data_Transaksi!$D$1:$D$1001,,0)</f>
        <v>PRD-112</v>
      </c>
      <c r="B75" t="str">
        <f>_xlfn.XLOOKUP(C75,Raw_Data_Transaksi!$A$1:$A$1001,Raw_Data_Transaksi!$C$1:$C$1001,,0)</f>
        <v>SLS-04</v>
      </c>
      <c r="C75" s="6" t="s">
        <v>159</v>
      </c>
      <c r="D75" s="7">
        <v>45933</v>
      </c>
      <c r="E75" s="10" t="str">
        <f>VLOOKUP(B75,Master_Sales!$A$1:$D$9,2,FALSE)</f>
        <v>Dewi Anggraini</v>
      </c>
      <c r="F75" s="10" t="str">
        <f>INDEX(Master_Sales!$D$1:$D$9,MATCH(Lembar_Kerja_Analisis!B75,Master_Sales!$A$1:$A$9,0))</f>
        <v>Barat</v>
      </c>
      <c r="G75" s="10" t="str">
        <f>INDEX(Master_Sales!$C$1:$C$9,MATCH(Lembar_Kerja_Analisis!B75,Master_Sales!$A$1:$A$9,0))</f>
        <v>Medan</v>
      </c>
      <c r="H75" s="10" t="str">
        <f>VLOOKUP(A75,Master_Produk!$A$1:$E$16,2,FALSE)</f>
        <v>Susu UHT Full Cream 1L</v>
      </c>
      <c r="I75" s="10" t="str">
        <f>INDEX(Master_Produk!$C$1:$C$16,MATCH(Lembar_Kerja_Analisis!A75,Master_Produk!$A$1:$A$16,0))</f>
        <v>F&amp;B</v>
      </c>
      <c r="J75" s="19">
        <f>_xlfn.XLOOKUP(A75,Master_Produk!$A$1:$A$16,Master_Produk!$D$1:$D$16,,0)</f>
        <v>22000</v>
      </c>
      <c r="K75" s="19">
        <f>INDEX(Master_Produk!$E$1:$E$16,MATCH(Lembar_Kerja_Analisis!A75,Master_Produk!$A$1:$A$16,0))</f>
        <v>18000</v>
      </c>
      <c r="L75" s="8">
        <v>10</v>
      </c>
      <c r="M75" s="19">
        <f t="shared" si="5"/>
        <v>220000</v>
      </c>
      <c r="N75" s="9">
        <v>0.1</v>
      </c>
      <c r="O75" s="19">
        <f t="shared" si="6"/>
        <v>22000</v>
      </c>
      <c r="P75" s="19">
        <f t="shared" si="7"/>
        <v>198000</v>
      </c>
      <c r="Q75" s="19">
        <f t="shared" si="8"/>
        <v>180000</v>
      </c>
      <c r="R75" s="19">
        <f t="shared" si="9"/>
        <v>18000</v>
      </c>
    </row>
    <row r="76" spans="1:18" x14ac:dyDescent="0.25">
      <c r="A76" t="str">
        <f>_xlfn.XLOOKUP(C76,Raw_Data_Transaksi!$A$1:$A$1001,Raw_Data_Transaksi!$D$1:$D$1001,,0)</f>
        <v>PRD-106</v>
      </c>
      <c r="B76" t="str">
        <f>_xlfn.XLOOKUP(C76,Raw_Data_Transaksi!$A$1:$A$1001,Raw_Data_Transaksi!$C$1:$C$1001,,0)</f>
        <v>SLS-07</v>
      </c>
      <c r="C76" s="6" t="s">
        <v>160</v>
      </c>
      <c r="D76" s="7">
        <v>45857</v>
      </c>
      <c r="E76" s="10" t="str">
        <f>VLOOKUP(B76,Master_Sales!$A$1:$D$9,2,FALSE)</f>
        <v>Gita Permata</v>
      </c>
      <c r="F76" s="10" t="str">
        <f>INDEX(Master_Sales!$D$1:$D$9,MATCH(Lembar_Kerja_Analisis!B76,Master_Sales!$A$1:$A$9,0))</f>
        <v>Tengah</v>
      </c>
      <c r="G76" s="10" t="str">
        <f>INDEX(Master_Sales!$C$1:$C$9,MATCH(Lembar_Kerja_Analisis!B76,Master_Sales!$A$1:$A$9,0))</f>
        <v>Denpasar</v>
      </c>
      <c r="H76" s="10" t="str">
        <f>VLOOKUP(A76,Master_Produk!$A$1:$E$16,2,FALSE)</f>
        <v>Celana Chino Slim Fit</v>
      </c>
      <c r="I76" s="10" t="str">
        <f>INDEX(Master_Produk!$C$1:$C$16,MATCH(Lembar_Kerja_Analisis!A76,Master_Produk!$A$1:$A$16,0))</f>
        <v>Fashion</v>
      </c>
      <c r="J76" s="19">
        <f>_xlfn.XLOOKUP(A76,Master_Produk!$A$1:$A$16,Master_Produk!$D$1:$D$16,,0)</f>
        <v>280000</v>
      </c>
      <c r="K76" s="19">
        <f>INDEX(Master_Produk!$E$1:$E$16,MATCH(Lembar_Kerja_Analisis!A76,Master_Produk!$A$1:$A$16,0))</f>
        <v>175000</v>
      </c>
      <c r="L76" s="8">
        <v>12</v>
      </c>
      <c r="M76" s="19">
        <f t="shared" si="5"/>
        <v>3360000</v>
      </c>
      <c r="N76" s="9">
        <v>0.05</v>
      </c>
      <c r="O76" s="19">
        <f t="shared" si="6"/>
        <v>168000</v>
      </c>
      <c r="P76" s="19">
        <f t="shared" si="7"/>
        <v>3192000</v>
      </c>
      <c r="Q76" s="19">
        <f t="shared" si="8"/>
        <v>2100000</v>
      </c>
      <c r="R76" s="19">
        <f t="shared" si="9"/>
        <v>1092000</v>
      </c>
    </row>
    <row r="77" spans="1:18" x14ac:dyDescent="0.25">
      <c r="A77" t="str">
        <f>_xlfn.XLOOKUP(C77,Raw_Data_Transaksi!$A$1:$A$1001,Raw_Data_Transaksi!$D$1:$D$1001,,0)</f>
        <v>PRD-110</v>
      </c>
      <c r="B77" t="str">
        <f>_xlfn.XLOOKUP(C77,Raw_Data_Transaksi!$A$1:$A$1001,Raw_Data_Transaksi!$C$1:$C$1001,,0)</f>
        <v>SLS-01</v>
      </c>
      <c r="C77" s="6" t="s">
        <v>161</v>
      </c>
      <c r="D77" s="7">
        <v>45859</v>
      </c>
      <c r="E77" s="10" t="str">
        <f>VLOOKUP(B77,Master_Sales!$A$1:$D$9,2,FALSE)</f>
        <v>Andi Pratama</v>
      </c>
      <c r="F77" s="10" t="str">
        <f>INDEX(Master_Sales!$D$1:$D$9,MATCH(Lembar_Kerja_Analisis!B77,Master_Sales!$A$1:$A$9,0))</f>
        <v>Barat</v>
      </c>
      <c r="G77" s="10" t="str">
        <f>INDEX(Master_Sales!$C$1:$C$9,MATCH(Lembar_Kerja_Analisis!B77,Master_Sales!$A$1:$A$9,0))</f>
        <v>Jakarta</v>
      </c>
      <c r="H77" s="10" t="str">
        <f>VLOOKUP(A77,Master_Produk!$A$1:$E$16,2,FALSE)</f>
        <v>Minyak Goreng Sawit 2L</v>
      </c>
      <c r="I77" s="10" t="str">
        <f>INDEX(Master_Produk!$C$1:$C$16,MATCH(Lembar_Kerja_Analisis!A77,Master_Produk!$A$1:$A$16,0))</f>
        <v>F&amp;B</v>
      </c>
      <c r="J77" s="19">
        <f>_xlfn.XLOOKUP(A77,Master_Produk!$A$1:$A$16,Master_Produk!$D$1:$D$16,,0)</f>
        <v>36000</v>
      </c>
      <c r="K77" s="19">
        <f>INDEX(Master_Produk!$E$1:$E$16,MATCH(Lembar_Kerja_Analisis!A77,Master_Produk!$A$1:$A$16,0))</f>
        <v>31000</v>
      </c>
      <c r="L77" s="8">
        <v>23</v>
      </c>
      <c r="M77" s="19">
        <f t="shared" si="5"/>
        <v>828000</v>
      </c>
      <c r="N77" s="9">
        <v>0.15</v>
      </c>
      <c r="O77" s="19">
        <f t="shared" si="6"/>
        <v>124200</v>
      </c>
      <c r="P77" s="19">
        <f t="shared" si="7"/>
        <v>703800</v>
      </c>
      <c r="Q77" s="19">
        <f t="shared" si="8"/>
        <v>713000</v>
      </c>
      <c r="R77" s="19">
        <f t="shared" si="9"/>
        <v>-9200</v>
      </c>
    </row>
    <row r="78" spans="1:18" x14ac:dyDescent="0.25">
      <c r="A78" t="str">
        <f>_xlfn.XLOOKUP(C78,Raw_Data_Transaksi!$A$1:$A$1001,Raw_Data_Transaksi!$D$1:$D$1001,,0)</f>
        <v>PRD-105</v>
      </c>
      <c r="B78" t="str">
        <f>_xlfn.XLOOKUP(C78,Raw_Data_Transaksi!$A$1:$A$1001,Raw_Data_Transaksi!$C$1:$C$1001,,0)</f>
        <v>SLS-07</v>
      </c>
      <c r="C78" s="6" t="s">
        <v>162</v>
      </c>
      <c r="D78" s="7">
        <v>45683</v>
      </c>
      <c r="E78" s="10" t="str">
        <f>VLOOKUP(B78,Master_Sales!$A$1:$D$9,2,FALSE)</f>
        <v>Gita Permata</v>
      </c>
      <c r="F78" s="10" t="str">
        <f>INDEX(Master_Sales!$D$1:$D$9,MATCH(Lembar_Kerja_Analisis!B78,Master_Sales!$A$1:$A$9,0))</f>
        <v>Tengah</v>
      </c>
      <c r="G78" s="10" t="str">
        <f>INDEX(Master_Sales!$C$1:$C$9,MATCH(Lembar_Kerja_Analisis!B78,Master_Sales!$A$1:$A$9,0))</f>
        <v>Denpasar</v>
      </c>
      <c r="H78" s="10" t="str">
        <f>VLOOKUP(A78,Master_Produk!$A$1:$E$16,2,FALSE)</f>
        <v>Kemeja Batik Katun Premium</v>
      </c>
      <c r="I78" s="10" t="str">
        <f>INDEX(Master_Produk!$C$1:$C$16,MATCH(Lembar_Kerja_Analisis!A78,Master_Produk!$A$1:$A$16,0))</f>
        <v>Fashion</v>
      </c>
      <c r="J78" s="19">
        <f>_xlfn.XLOOKUP(A78,Master_Produk!$A$1:$A$16,Master_Produk!$D$1:$D$16,,0)</f>
        <v>320000</v>
      </c>
      <c r="K78" s="19">
        <f>INDEX(Master_Produk!$E$1:$E$16,MATCH(Lembar_Kerja_Analisis!A78,Master_Produk!$A$1:$A$16,0))</f>
        <v>190000</v>
      </c>
      <c r="L78" s="8">
        <v>6</v>
      </c>
      <c r="M78" s="19">
        <f t="shared" si="5"/>
        <v>1920000</v>
      </c>
      <c r="N78" s="9">
        <v>0.05</v>
      </c>
      <c r="O78" s="19">
        <f t="shared" si="6"/>
        <v>96000</v>
      </c>
      <c r="P78" s="19">
        <f t="shared" si="7"/>
        <v>1824000</v>
      </c>
      <c r="Q78" s="19">
        <f t="shared" si="8"/>
        <v>1140000</v>
      </c>
      <c r="R78" s="19">
        <f t="shared" si="9"/>
        <v>684000</v>
      </c>
    </row>
    <row r="79" spans="1:18" x14ac:dyDescent="0.25">
      <c r="A79" t="str">
        <f>_xlfn.XLOOKUP(C79,Raw_Data_Transaksi!$A$1:$A$1001,Raw_Data_Transaksi!$D$1:$D$1001,,0)</f>
        <v>PRD-105</v>
      </c>
      <c r="B79" t="str">
        <f>_xlfn.XLOOKUP(C79,Raw_Data_Transaksi!$A$1:$A$1001,Raw_Data_Transaksi!$C$1:$C$1001,,0)</f>
        <v>SLS-07</v>
      </c>
      <c r="C79" s="6" t="s">
        <v>163</v>
      </c>
      <c r="D79" s="7">
        <v>45852</v>
      </c>
      <c r="E79" s="10" t="str">
        <f>VLOOKUP(B79,Master_Sales!$A$1:$D$9,2,FALSE)</f>
        <v>Gita Permata</v>
      </c>
      <c r="F79" s="10" t="str">
        <f>INDEX(Master_Sales!$D$1:$D$9,MATCH(Lembar_Kerja_Analisis!B79,Master_Sales!$A$1:$A$9,0))</f>
        <v>Tengah</v>
      </c>
      <c r="G79" s="10" t="str">
        <f>INDEX(Master_Sales!$C$1:$C$9,MATCH(Lembar_Kerja_Analisis!B79,Master_Sales!$A$1:$A$9,0))</f>
        <v>Denpasar</v>
      </c>
      <c r="H79" s="10" t="str">
        <f>VLOOKUP(A79,Master_Produk!$A$1:$E$16,2,FALSE)</f>
        <v>Kemeja Batik Katun Premium</v>
      </c>
      <c r="I79" s="10" t="str">
        <f>INDEX(Master_Produk!$C$1:$C$16,MATCH(Lembar_Kerja_Analisis!A79,Master_Produk!$A$1:$A$16,0))</f>
        <v>Fashion</v>
      </c>
      <c r="J79" s="19">
        <f>_xlfn.XLOOKUP(A79,Master_Produk!$A$1:$A$16,Master_Produk!$D$1:$D$16,,0)</f>
        <v>320000</v>
      </c>
      <c r="K79" s="19">
        <f>INDEX(Master_Produk!$E$1:$E$16,MATCH(Lembar_Kerja_Analisis!A79,Master_Produk!$A$1:$A$16,0))</f>
        <v>190000</v>
      </c>
      <c r="L79" s="8">
        <v>5</v>
      </c>
      <c r="M79" s="19">
        <f t="shared" si="5"/>
        <v>1600000</v>
      </c>
      <c r="N79" s="9">
        <v>0</v>
      </c>
      <c r="O79" s="19">
        <f t="shared" si="6"/>
        <v>0</v>
      </c>
      <c r="P79" s="19">
        <f t="shared" si="7"/>
        <v>1600000</v>
      </c>
      <c r="Q79" s="19">
        <f t="shared" si="8"/>
        <v>950000</v>
      </c>
      <c r="R79" s="19">
        <f t="shared" si="9"/>
        <v>650000</v>
      </c>
    </row>
    <row r="80" spans="1:18" x14ac:dyDescent="0.25">
      <c r="A80" t="str">
        <f>_xlfn.XLOOKUP(C80,Raw_Data_Transaksi!$A$1:$A$1001,Raw_Data_Transaksi!$D$1:$D$1001,,0)</f>
        <v>PRD-104</v>
      </c>
      <c r="B80" t="str">
        <f>_xlfn.XLOOKUP(C80,Raw_Data_Transaksi!$A$1:$A$1001,Raw_Data_Transaksi!$C$1:$C$1001,,0)</f>
        <v>SLS-02</v>
      </c>
      <c r="C80" s="6" t="s">
        <v>164</v>
      </c>
      <c r="D80" s="7">
        <v>45837</v>
      </c>
      <c r="E80" s="10" t="str">
        <f>VLOOKUP(B80,Master_Sales!$A$1:$D$9,2,FALSE)</f>
        <v>Budi Santoso</v>
      </c>
      <c r="F80" s="10" t="str">
        <f>INDEX(Master_Sales!$D$1:$D$9,MATCH(Lembar_Kerja_Analisis!B80,Master_Sales!$A$1:$A$9,0))</f>
        <v>Timur</v>
      </c>
      <c r="G80" s="10" t="str">
        <f>INDEX(Master_Sales!$C$1:$C$9,MATCH(Lembar_Kerja_Analisis!B80,Master_Sales!$A$1:$A$9,0))</f>
        <v>Surabaya</v>
      </c>
      <c r="H80" s="10" t="str">
        <f>VLOOKUP(A80,Master_Produk!$A$1:$E$16,2,FALSE)</f>
        <v>Monitor 24" FHD 144Hz</v>
      </c>
      <c r="I80" s="10" t="str">
        <f>INDEX(Master_Produk!$C$1:$C$16,MATCH(Lembar_Kerja_Analisis!A80,Master_Produk!$A$1:$A$16,0))</f>
        <v>Elektronik</v>
      </c>
      <c r="J80" s="19">
        <f>_xlfn.XLOOKUP(A80,Master_Produk!$A$1:$A$16,Master_Produk!$D$1:$D$16,,0)</f>
        <v>1950000</v>
      </c>
      <c r="K80" s="19">
        <f>INDEX(Master_Produk!$E$1:$E$16,MATCH(Lembar_Kerja_Analisis!A80,Master_Produk!$A$1:$A$16,0))</f>
        <v>1500000</v>
      </c>
      <c r="L80" s="8">
        <v>11</v>
      </c>
      <c r="M80" s="19">
        <f t="shared" si="5"/>
        <v>21450000</v>
      </c>
      <c r="N80" s="9">
        <v>0</v>
      </c>
      <c r="O80" s="19">
        <f t="shared" si="6"/>
        <v>0</v>
      </c>
      <c r="P80" s="19">
        <f t="shared" si="7"/>
        <v>21450000</v>
      </c>
      <c r="Q80" s="19">
        <f t="shared" si="8"/>
        <v>16500000</v>
      </c>
      <c r="R80" s="19">
        <f t="shared" si="9"/>
        <v>4950000</v>
      </c>
    </row>
    <row r="81" spans="1:18" x14ac:dyDescent="0.25">
      <c r="A81" t="str">
        <f>_xlfn.XLOOKUP(C81,Raw_Data_Transaksi!$A$1:$A$1001,Raw_Data_Transaksi!$D$1:$D$1001,,0)</f>
        <v>PRD-110</v>
      </c>
      <c r="B81" t="str">
        <f>_xlfn.XLOOKUP(C81,Raw_Data_Transaksi!$A$1:$A$1001,Raw_Data_Transaksi!$C$1:$C$1001,,0)</f>
        <v>SLS-03</v>
      </c>
      <c r="C81" s="6" t="s">
        <v>165</v>
      </c>
      <c r="D81" s="7">
        <v>45668</v>
      </c>
      <c r="E81" s="10" t="str">
        <f>VLOOKUP(B81,Master_Sales!$A$1:$D$9,2,FALSE)</f>
        <v>Citra Lestari</v>
      </c>
      <c r="F81" s="10" t="str">
        <f>INDEX(Master_Sales!$D$1:$D$9,MATCH(Lembar_Kerja_Analisis!B81,Master_Sales!$A$1:$A$9,0))</f>
        <v>Barat</v>
      </c>
      <c r="G81" s="10" t="str">
        <f>INDEX(Master_Sales!$C$1:$C$9,MATCH(Lembar_Kerja_Analisis!B81,Master_Sales!$A$1:$A$9,0))</f>
        <v>Bandung</v>
      </c>
      <c r="H81" s="10" t="str">
        <f>VLOOKUP(A81,Master_Produk!$A$1:$E$16,2,FALSE)</f>
        <v>Minyak Goreng Sawit 2L</v>
      </c>
      <c r="I81" s="10" t="str">
        <f>INDEX(Master_Produk!$C$1:$C$16,MATCH(Lembar_Kerja_Analisis!A81,Master_Produk!$A$1:$A$16,0))</f>
        <v>F&amp;B</v>
      </c>
      <c r="J81" s="19">
        <f>_xlfn.XLOOKUP(A81,Master_Produk!$A$1:$A$16,Master_Produk!$D$1:$D$16,,0)</f>
        <v>36000</v>
      </c>
      <c r="K81" s="19">
        <f>INDEX(Master_Produk!$E$1:$E$16,MATCH(Lembar_Kerja_Analisis!A81,Master_Produk!$A$1:$A$16,0))</f>
        <v>31000</v>
      </c>
      <c r="L81" s="8">
        <v>7</v>
      </c>
      <c r="M81" s="19">
        <f t="shared" si="5"/>
        <v>252000</v>
      </c>
      <c r="N81" s="9">
        <v>0.15</v>
      </c>
      <c r="O81" s="19">
        <f t="shared" si="6"/>
        <v>37800</v>
      </c>
      <c r="P81" s="19">
        <f t="shared" si="7"/>
        <v>214200</v>
      </c>
      <c r="Q81" s="19">
        <f t="shared" si="8"/>
        <v>217000</v>
      </c>
      <c r="R81" s="19">
        <f t="shared" si="9"/>
        <v>-2800</v>
      </c>
    </row>
    <row r="82" spans="1:18" x14ac:dyDescent="0.25">
      <c r="A82" t="str">
        <f>_xlfn.XLOOKUP(C82,Raw_Data_Transaksi!$A$1:$A$1001,Raw_Data_Transaksi!$D$1:$D$1001,,0)</f>
        <v>PRD-112</v>
      </c>
      <c r="B82" t="str">
        <f>_xlfn.XLOOKUP(C82,Raw_Data_Transaksi!$A$1:$A$1001,Raw_Data_Transaksi!$C$1:$C$1001,,0)</f>
        <v>SLS-05</v>
      </c>
      <c r="C82" s="6" t="s">
        <v>166</v>
      </c>
      <c r="D82" s="7">
        <v>45896</v>
      </c>
      <c r="E82" s="10" t="str">
        <f>VLOOKUP(B82,Master_Sales!$A$1:$D$9,2,FALSE)</f>
        <v>Eko Prasetyo</v>
      </c>
      <c r="F82" s="10" t="str">
        <f>INDEX(Master_Sales!$D$1:$D$9,MATCH(Lembar_Kerja_Analisis!B82,Master_Sales!$A$1:$A$9,0))</f>
        <v>Tengah</v>
      </c>
      <c r="G82" s="10" t="str">
        <f>INDEX(Master_Sales!$C$1:$C$9,MATCH(Lembar_Kerja_Analisis!B82,Master_Sales!$A$1:$A$9,0))</f>
        <v>Semarang</v>
      </c>
      <c r="H82" s="10" t="str">
        <f>VLOOKUP(A82,Master_Produk!$A$1:$E$16,2,FALSE)</f>
        <v>Susu UHT Full Cream 1L</v>
      </c>
      <c r="I82" s="10" t="str">
        <f>INDEX(Master_Produk!$C$1:$C$16,MATCH(Lembar_Kerja_Analisis!A82,Master_Produk!$A$1:$A$16,0))</f>
        <v>F&amp;B</v>
      </c>
      <c r="J82" s="19">
        <f>_xlfn.XLOOKUP(A82,Master_Produk!$A$1:$A$16,Master_Produk!$D$1:$D$16,,0)</f>
        <v>22000</v>
      </c>
      <c r="K82" s="19">
        <f>INDEX(Master_Produk!$E$1:$E$16,MATCH(Lembar_Kerja_Analisis!A82,Master_Produk!$A$1:$A$16,0))</f>
        <v>18000</v>
      </c>
      <c r="L82" s="8">
        <v>8</v>
      </c>
      <c r="M82" s="19">
        <f t="shared" si="5"/>
        <v>176000</v>
      </c>
      <c r="N82" s="9">
        <v>0.2</v>
      </c>
      <c r="O82" s="19">
        <f t="shared" si="6"/>
        <v>35200</v>
      </c>
      <c r="P82" s="19">
        <f t="shared" si="7"/>
        <v>140800</v>
      </c>
      <c r="Q82" s="19">
        <f t="shared" si="8"/>
        <v>144000</v>
      </c>
      <c r="R82" s="19">
        <f t="shared" si="9"/>
        <v>-3200</v>
      </c>
    </row>
    <row r="83" spans="1:18" x14ac:dyDescent="0.25">
      <c r="A83" t="str">
        <f>_xlfn.XLOOKUP(C83,Raw_Data_Transaksi!$A$1:$A$1001,Raw_Data_Transaksi!$D$1:$D$1001,,0)</f>
        <v>PRD-110</v>
      </c>
      <c r="B83" t="str">
        <f>_xlfn.XLOOKUP(C83,Raw_Data_Transaksi!$A$1:$A$1001,Raw_Data_Transaksi!$C$1:$C$1001,,0)</f>
        <v>SLS-01</v>
      </c>
      <c r="C83" s="6" t="s">
        <v>167</v>
      </c>
      <c r="D83" s="7">
        <v>45713</v>
      </c>
      <c r="E83" s="10" t="str">
        <f>VLOOKUP(B83,Master_Sales!$A$1:$D$9,2,FALSE)</f>
        <v>Andi Pratama</v>
      </c>
      <c r="F83" s="10" t="str">
        <f>INDEX(Master_Sales!$D$1:$D$9,MATCH(Lembar_Kerja_Analisis!B83,Master_Sales!$A$1:$A$9,0))</f>
        <v>Barat</v>
      </c>
      <c r="G83" s="10" t="str">
        <f>INDEX(Master_Sales!$C$1:$C$9,MATCH(Lembar_Kerja_Analisis!B83,Master_Sales!$A$1:$A$9,0))</f>
        <v>Jakarta</v>
      </c>
      <c r="H83" s="10" t="str">
        <f>VLOOKUP(A83,Master_Produk!$A$1:$E$16,2,FALSE)</f>
        <v>Minyak Goreng Sawit 2L</v>
      </c>
      <c r="I83" s="10" t="str">
        <f>INDEX(Master_Produk!$C$1:$C$16,MATCH(Lembar_Kerja_Analisis!A83,Master_Produk!$A$1:$A$16,0))</f>
        <v>F&amp;B</v>
      </c>
      <c r="J83" s="19">
        <f>_xlfn.XLOOKUP(A83,Master_Produk!$A$1:$A$16,Master_Produk!$D$1:$D$16,,0)</f>
        <v>36000</v>
      </c>
      <c r="K83" s="19">
        <f>INDEX(Master_Produk!$E$1:$E$16,MATCH(Lembar_Kerja_Analisis!A83,Master_Produk!$A$1:$A$16,0))</f>
        <v>31000</v>
      </c>
      <c r="L83" s="8">
        <v>21</v>
      </c>
      <c r="M83" s="19">
        <f t="shared" si="5"/>
        <v>756000</v>
      </c>
      <c r="N83" s="9">
        <v>0.15</v>
      </c>
      <c r="O83" s="19">
        <f t="shared" si="6"/>
        <v>113400</v>
      </c>
      <c r="P83" s="19">
        <f t="shared" si="7"/>
        <v>642600</v>
      </c>
      <c r="Q83" s="19">
        <f t="shared" si="8"/>
        <v>651000</v>
      </c>
      <c r="R83" s="19">
        <f t="shared" si="9"/>
        <v>-8400</v>
      </c>
    </row>
    <row r="84" spans="1:18" x14ac:dyDescent="0.25">
      <c r="A84" t="str">
        <f>_xlfn.XLOOKUP(C84,Raw_Data_Transaksi!$A$1:$A$1001,Raw_Data_Transaksi!$D$1:$D$1001,,0)</f>
        <v>PRD-110</v>
      </c>
      <c r="B84" t="str">
        <f>_xlfn.XLOOKUP(C84,Raw_Data_Transaksi!$A$1:$A$1001,Raw_Data_Transaksi!$C$1:$C$1001,,0)</f>
        <v>SLS-04</v>
      </c>
      <c r="C84" s="6" t="s">
        <v>168</v>
      </c>
      <c r="D84" s="7">
        <v>45696</v>
      </c>
      <c r="E84" s="10" t="str">
        <f>VLOOKUP(B84,Master_Sales!$A$1:$D$9,2,FALSE)</f>
        <v>Dewi Anggraini</v>
      </c>
      <c r="F84" s="10" t="str">
        <f>INDEX(Master_Sales!$D$1:$D$9,MATCH(Lembar_Kerja_Analisis!B84,Master_Sales!$A$1:$A$9,0))</f>
        <v>Barat</v>
      </c>
      <c r="G84" s="10" t="str">
        <f>INDEX(Master_Sales!$C$1:$C$9,MATCH(Lembar_Kerja_Analisis!B84,Master_Sales!$A$1:$A$9,0))</f>
        <v>Medan</v>
      </c>
      <c r="H84" s="10" t="str">
        <f>VLOOKUP(A84,Master_Produk!$A$1:$E$16,2,FALSE)</f>
        <v>Minyak Goreng Sawit 2L</v>
      </c>
      <c r="I84" s="10" t="str">
        <f>INDEX(Master_Produk!$C$1:$C$16,MATCH(Lembar_Kerja_Analisis!A84,Master_Produk!$A$1:$A$16,0))</f>
        <v>F&amp;B</v>
      </c>
      <c r="J84" s="19">
        <f>_xlfn.XLOOKUP(A84,Master_Produk!$A$1:$A$16,Master_Produk!$D$1:$D$16,,0)</f>
        <v>36000</v>
      </c>
      <c r="K84" s="19">
        <f>INDEX(Master_Produk!$E$1:$E$16,MATCH(Lembar_Kerja_Analisis!A84,Master_Produk!$A$1:$A$16,0))</f>
        <v>31000</v>
      </c>
      <c r="L84" s="8">
        <v>25</v>
      </c>
      <c r="M84" s="19">
        <f t="shared" si="5"/>
        <v>900000</v>
      </c>
      <c r="N84" s="9">
        <v>0.1</v>
      </c>
      <c r="O84" s="19">
        <f t="shared" si="6"/>
        <v>90000</v>
      </c>
      <c r="P84" s="19">
        <f t="shared" si="7"/>
        <v>810000</v>
      </c>
      <c r="Q84" s="19">
        <f t="shared" si="8"/>
        <v>775000</v>
      </c>
      <c r="R84" s="19">
        <f t="shared" si="9"/>
        <v>35000</v>
      </c>
    </row>
    <row r="85" spans="1:18" x14ac:dyDescent="0.25">
      <c r="A85" t="str">
        <f>_xlfn.XLOOKUP(C85,Raw_Data_Transaksi!$A$1:$A$1001,Raw_Data_Transaksi!$D$1:$D$1001,,0)</f>
        <v>PRD-109</v>
      </c>
      <c r="B85" t="str">
        <f>_xlfn.XLOOKUP(C85,Raw_Data_Transaksi!$A$1:$A$1001,Raw_Data_Transaksi!$C$1:$C$1001,,0)</f>
        <v>SLS-07</v>
      </c>
      <c r="C85" s="6" t="s">
        <v>169</v>
      </c>
      <c r="D85" s="7">
        <v>45835</v>
      </c>
      <c r="E85" s="10" t="str">
        <f>VLOOKUP(B85,Master_Sales!$A$1:$D$9,2,FALSE)</f>
        <v>Gita Permata</v>
      </c>
      <c r="F85" s="10" t="str">
        <f>INDEX(Master_Sales!$D$1:$D$9,MATCH(Lembar_Kerja_Analisis!B85,Master_Sales!$A$1:$A$9,0))</f>
        <v>Tengah</v>
      </c>
      <c r="G85" s="10" t="str">
        <f>INDEX(Master_Sales!$C$1:$C$9,MATCH(Lembar_Kerja_Analisis!B85,Master_Sales!$A$1:$A$9,0))</f>
        <v>Denpasar</v>
      </c>
      <c r="H85" s="10" t="str">
        <f>VLOOKUP(A85,Master_Produk!$A$1:$E$16,2,FALSE)</f>
        <v>Kopi Arabika Gayo 250g</v>
      </c>
      <c r="I85" s="10" t="str">
        <f>INDEX(Master_Produk!$C$1:$C$16,MATCH(Lembar_Kerja_Analisis!A85,Master_Produk!$A$1:$A$16,0))</f>
        <v>F&amp;B</v>
      </c>
      <c r="J85" s="19">
        <f>_xlfn.XLOOKUP(A85,Master_Produk!$A$1:$A$16,Master_Produk!$D$1:$D$16,,0)</f>
        <v>85000</v>
      </c>
      <c r="K85" s="19">
        <f>INDEX(Master_Produk!$E$1:$E$16,MATCH(Lembar_Kerja_Analisis!A85,Master_Produk!$A$1:$A$16,0))</f>
        <v>55000</v>
      </c>
      <c r="L85" s="8">
        <v>14</v>
      </c>
      <c r="M85" s="19">
        <f t="shared" si="5"/>
        <v>1190000</v>
      </c>
      <c r="N85" s="9">
        <v>0</v>
      </c>
      <c r="O85" s="19">
        <f t="shared" si="6"/>
        <v>0</v>
      </c>
      <c r="P85" s="19">
        <f t="shared" si="7"/>
        <v>1190000</v>
      </c>
      <c r="Q85" s="19">
        <f t="shared" si="8"/>
        <v>770000</v>
      </c>
      <c r="R85" s="19">
        <f t="shared" si="9"/>
        <v>420000</v>
      </c>
    </row>
    <row r="86" spans="1:18" x14ac:dyDescent="0.25">
      <c r="A86" t="str">
        <f>_xlfn.XLOOKUP(C86,Raw_Data_Transaksi!$A$1:$A$1001,Raw_Data_Transaksi!$D$1:$D$1001,,0)</f>
        <v>PRD-102</v>
      </c>
      <c r="B86" t="str">
        <f>_xlfn.XLOOKUP(C86,Raw_Data_Transaksi!$A$1:$A$1001,Raw_Data_Transaksi!$C$1:$C$1001,,0)</f>
        <v>SLS-07</v>
      </c>
      <c r="C86" s="6" t="s">
        <v>170</v>
      </c>
      <c r="D86" s="7">
        <v>45908</v>
      </c>
      <c r="E86" s="10" t="str">
        <f>VLOOKUP(B86,Master_Sales!$A$1:$D$9,2,FALSE)</f>
        <v>Gita Permata</v>
      </c>
      <c r="F86" s="10" t="str">
        <f>INDEX(Master_Sales!$D$1:$D$9,MATCH(Lembar_Kerja_Analisis!B86,Master_Sales!$A$1:$A$9,0))</f>
        <v>Tengah</v>
      </c>
      <c r="G86" s="10" t="str">
        <f>INDEX(Master_Sales!$C$1:$C$9,MATCH(Lembar_Kerja_Analisis!B86,Master_Sales!$A$1:$A$9,0))</f>
        <v>Denpasar</v>
      </c>
      <c r="H86" s="10" t="str">
        <f>VLOOKUP(A86,Master_Produk!$A$1:$E$16,2,FALSE)</f>
        <v>Wireless Mouse Ergonomic</v>
      </c>
      <c r="I86" s="10" t="str">
        <f>INDEX(Master_Produk!$C$1:$C$16,MATCH(Lembar_Kerja_Analisis!A86,Master_Produk!$A$1:$A$16,0))</f>
        <v>Elektronik</v>
      </c>
      <c r="J86" s="19">
        <f>_xlfn.XLOOKUP(A86,Master_Produk!$A$1:$A$16,Master_Produk!$D$1:$D$16,,0)</f>
        <v>250000</v>
      </c>
      <c r="K86" s="19">
        <f>INDEX(Master_Produk!$E$1:$E$16,MATCH(Lembar_Kerja_Analisis!A86,Master_Produk!$A$1:$A$16,0))</f>
        <v>160000</v>
      </c>
      <c r="L86" s="8">
        <v>6</v>
      </c>
      <c r="M86" s="19">
        <f t="shared" si="5"/>
        <v>1500000</v>
      </c>
      <c r="N86" s="9">
        <v>0.15</v>
      </c>
      <c r="O86" s="19">
        <f t="shared" si="6"/>
        <v>225000</v>
      </c>
      <c r="P86" s="19">
        <f t="shared" si="7"/>
        <v>1275000</v>
      </c>
      <c r="Q86" s="19">
        <f t="shared" si="8"/>
        <v>960000</v>
      </c>
      <c r="R86" s="19">
        <f t="shared" si="9"/>
        <v>315000</v>
      </c>
    </row>
    <row r="87" spans="1:18" x14ac:dyDescent="0.25">
      <c r="A87" t="str">
        <f>_xlfn.XLOOKUP(C87,Raw_Data_Transaksi!$A$1:$A$1001,Raw_Data_Transaksi!$D$1:$D$1001,,0)</f>
        <v>PRD-111</v>
      </c>
      <c r="B87" t="str">
        <f>_xlfn.XLOOKUP(C87,Raw_Data_Transaksi!$A$1:$A$1001,Raw_Data_Transaksi!$C$1:$C$1001,,0)</f>
        <v>SLS-05</v>
      </c>
      <c r="C87" s="6" t="s">
        <v>171</v>
      </c>
      <c r="D87" s="7">
        <v>45925</v>
      </c>
      <c r="E87" s="10" t="str">
        <f>VLOOKUP(B87,Master_Sales!$A$1:$D$9,2,FALSE)</f>
        <v>Eko Prasetyo</v>
      </c>
      <c r="F87" s="10" t="str">
        <f>INDEX(Master_Sales!$D$1:$D$9,MATCH(Lembar_Kerja_Analisis!B87,Master_Sales!$A$1:$A$9,0))</f>
        <v>Tengah</v>
      </c>
      <c r="G87" s="10" t="str">
        <f>INDEX(Master_Sales!$C$1:$C$9,MATCH(Lembar_Kerja_Analisis!B87,Master_Sales!$A$1:$A$9,0))</f>
        <v>Semarang</v>
      </c>
      <c r="H87" s="10" t="str">
        <f>VLOOKUP(A87,Master_Produk!$A$1:$E$16,2,FALSE)</f>
        <v>Beras Premium 5kg</v>
      </c>
      <c r="I87" s="10" t="str">
        <f>INDEX(Master_Produk!$C$1:$C$16,MATCH(Lembar_Kerja_Analisis!A87,Master_Produk!$A$1:$A$16,0))</f>
        <v>F&amp;B</v>
      </c>
      <c r="J87" s="19">
        <f>_xlfn.XLOOKUP(A87,Master_Produk!$A$1:$A$16,Master_Produk!$D$1:$D$16,,0)</f>
        <v>74000</v>
      </c>
      <c r="K87" s="19">
        <f>INDEX(Master_Produk!$E$1:$E$16,MATCH(Lembar_Kerja_Analisis!A87,Master_Produk!$A$1:$A$16,0))</f>
        <v>65000</v>
      </c>
      <c r="L87" s="8">
        <v>28</v>
      </c>
      <c r="M87" s="19">
        <f t="shared" si="5"/>
        <v>2072000</v>
      </c>
      <c r="N87" s="9">
        <v>0.2</v>
      </c>
      <c r="O87" s="19">
        <f t="shared" si="6"/>
        <v>414400</v>
      </c>
      <c r="P87" s="19">
        <f t="shared" si="7"/>
        <v>1657600</v>
      </c>
      <c r="Q87" s="19">
        <f t="shared" si="8"/>
        <v>1820000</v>
      </c>
      <c r="R87" s="19">
        <f t="shared" si="9"/>
        <v>-162400</v>
      </c>
    </row>
    <row r="88" spans="1:18" x14ac:dyDescent="0.25">
      <c r="A88" t="str">
        <f>_xlfn.XLOOKUP(C88,Raw_Data_Transaksi!$A$1:$A$1001,Raw_Data_Transaksi!$D$1:$D$1001,,0)</f>
        <v>PRD-105</v>
      </c>
      <c r="B88" t="str">
        <f>_xlfn.XLOOKUP(C88,Raw_Data_Transaksi!$A$1:$A$1001,Raw_Data_Transaksi!$C$1:$C$1001,,0)</f>
        <v>SLS-06</v>
      </c>
      <c r="C88" s="6" t="s">
        <v>172</v>
      </c>
      <c r="D88" s="7">
        <v>45961</v>
      </c>
      <c r="E88" s="10" t="str">
        <f>VLOOKUP(B88,Master_Sales!$A$1:$D$9,2,FALSE)</f>
        <v>Fajar Nugraha</v>
      </c>
      <c r="F88" s="10" t="str">
        <f>INDEX(Master_Sales!$D$1:$D$9,MATCH(Lembar_Kerja_Analisis!B88,Master_Sales!$A$1:$A$9,0))</f>
        <v>Timur</v>
      </c>
      <c r="G88" s="10" t="str">
        <f>INDEX(Master_Sales!$C$1:$C$9,MATCH(Lembar_Kerja_Analisis!B88,Master_Sales!$A$1:$A$9,0))</f>
        <v>Makassar</v>
      </c>
      <c r="H88" s="10" t="str">
        <f>VLOOKUP(A88,Master_Produk!$A$1:$E$16,2,FALSE)</f>
        <v>Kemeja Batik Katun Premium</v>
      </c>
      <c r="I88" s="10" t="str">
        <f>INDEX(Master_Produk!$C$1:$C$16,MATCH(Lembar_Kerja_Analisis!A88,Master_Produk!$A$1:$A$16,0))</f>
        <v>Fashion</v>
      </c>
      <c r="J88" s="19">
        <f>_xlfn.XLOOKUP(A88,Master_Produk!$A$1:$A$16,Master_Produk!$D$1:$D$16,,0)</f>
        <v>320000</v>
      </c>
      <c r="K88" s="19">
        <f>INDEX(Master_Produk!$E$1:$E$16,MATCH(Lembar_Kerja_Analisis!A88,Master_Produk!$A$1:$A$16,0))</f>
        <v>190000</v>
      </c>
      <c r="L88" s="8">
        <v>4</v>
      </c>
      <c r="M88" s="19">
        <f t="shared" si="5"/>
        <v>1280000</v>
      </c>
      <c r="N88" s="9">
        <v>0</v>
      </c>
      <c r="O88" s="19">
        <f t="shared" si="6"/>
        <v>0</v>
      </c>
      <c r="P88" s="19">
        <f t="shared" si="7"/>
        <v>1280000</v>
      </c>
      <c r="Q88" s="19">
        <f t="shared" si="8"/>
        <v>760000</v>
      </c>
      <c r="R88" s="19">
        <f t="shared" si="9"/>
        <v>520000</v>
      </c>
    </row>
    <row r="89" spans="1:18" x14ac:dyDescent="0.25">
      <c r="A89" t="str">
        <f>_xlfn.XLOOKUP(C89,Raw_Data_Transaksi!$A$1:$A$1001,Raw_Data_Transaksi!$D$1:$D$1001,,0)</f>
        <v>PRD-110</v>
      </c>
      <c r="B89" t="str">
        <f>_xlfn.XLOOKUP(C89,Raw_Data_Transaksi!$A$1:$A$1001,Raw_Data_Transaksi!$C$1:$C$1001,,0)</f>
        <v>SLS-07</v>
      </c>
      <c r="C89" s="6" t="s">
        <v>173</v>
      </c>
      <c r="D89" s="7">
        <v>45895</v>
      </c>
      <c r="E89" s="10" t="str">
        <f>VLOOKUP(B89,Master_Sales!$A$1:$D$9,2,FALSE)</f>
        <v>Gita Permata</v>
      </c>
      <c r="F89" s="10" t="str">
        <f>INDEX(Master_Sales!$D$1:$D$9,MATCH(Lembar_Kerja_Analisis!B89,Master_Sales!$A$1:$A$9,0))</f>
        <v>Tengah</v>
      </c>
      <c r="G89" s="10" t="str">
        <f>INDEX(Master_Sales!$C$1:$C$9,MATCH(Lembar_Kerja_Analisis!B89,Master_Sales!$A$1:$A$9,0))</f>
        <v>Denpasar</v>
      </c>
      <c r="H89" s="10" t="str">
        <f>VLOOKUP(A89,Master_Produk!$A$1:$E$16,2,FALSE)</f>
        <v>Minyak Goreng Sawit 2L</v>
      </c>
      <c r="I89" s="10" t="str">
        <f>INDEX(Master_Produk!$C$1:$C$16,MATCH(Lembar_Kerja_Analisis!A89,Master_Produk!$A$1:$A$16,0))</f>
        <v>F&amp;B</v>
      </c>
      <c r="J89" s="19">
        <f>_xlfn.XLOOKUP(A89,Master_Produk!$A$1:$A$16,Master_Produk!$D$1:$D$16,,0)</f>
        <v>36000</v>
      </c>
      <c r="K89" s="19">
        <f>INDEX(Master_Produk!$E$1:$E$16,MATCH(Lembar_Kerja_Analisis!A89,Master_Produk!$A$1:$A$16,0))</f>
        <v>31000</v>
      </c>
      <c r="L89" s="8">
        <v>3</v>
      </c>
      <c r="M89" s="19">
        <f t="shared" si="5"/>
        <v>108000</v>
      </c>
      <c r="N89" s="9">
        <v>0.15</v>
      </c>
      <c r="O89" s="19">
        <f t="shared" si="6"/>
        <v>16200</v>
      </c>
      <c r="P89" s="19">
        <f t="shared" si="7"/>
        <v>91800</v>
      </c>
      <c r="Q89" s="19">
        <f t="shared" si="8"/>
        <v>93000</v>
      </c>
      <c r="R89" s="19">
        <f t="shared" si="9"/>
        <v>-1200</v>
      </c>
    </row>
    <row r="90" spans="1:18" x14ac:dyDescent="0.25">
      <c r="A90" t="str">
        <f>_xlfn.XLOOKUP(C90,Raw_Data_Transaksi!$A$1:$A$1001,Raw_Data_Transaksi!$D$1:$D$1001,,0)</f>
        <v>PRD-106</v>
      </c>
      <c r="B90" t="str">
        <f>_xlfn.XLOOKUP(C90,Raw_Data_Transaksi!$A$1:$A$1001,Raw_Data_Transaksi!$C$1:$C$1001,,0)</f>
        <v>SLS-05</v>
      </c>
      <c r="C90" s="6" t="s">
        <v>174</v>
      </c>
      <c r="D90" s="7">
        <v>45766</v>
      </c>
      <c r="E90" s="10" t="str">
        <f>VLOOKUP(B90,Master_Sales!$A$1:$D$9,2,FALSE)</f>
        <v>Eko Prasetyo</v>
      </c>
      <c r="F90" s="10" t="str">
        <f>INDEX(Master_Sales!$D$1:$D$9,MATCH(Lembar_Kerja_Analisis!B90,Master_Sales!$A$1:$A$9,0))</f>
        <v>Tengah</v>
      </c>
      <c r="G90" s="10" t="str">
        <f>INDEX(Master_Sales!$C$1:$C$9,MATCH(Lembar_Kerja_Analisis!B90,Master_Sales!$A$1:$A$9,0))</f>
        <v>Semarang</v>
      </c>
      <c r="H90" s="10" t="str">
        <f>VLOOKUP(A90,Master_Produk!$A$1:$E$16,2,FALSE)</f>
        <v>Celana Chino Slim Fit</v>
      </c>
      <c r="I90" s="10" t="str">
        <f>INDEX(Master_Produk!$C$1:$C$16,MATCH(Lembar_Kerja_Analisis!A90,Master_Produk!$A$1:$A$16,0))</f>
        <v>Fashion</v>
      </c>
      <c r="J90" s="19">
        <f>_xlfn.XLOOKUP(A90,Master_Produk!$A$1:$A$16,Master_Produk!$D$1:$D$16,,0)</f>
        <v>280000</v>
      </c>
      <c r="K90" s="19">
        <f>INDEX(Master_Produk!$E$1:$E$16,MATCH(Lembar_Kerja_Analisis!A90,Master_Produk!$A$1:$A$16,0))</f>
        <v>175000</v>
      </c>
      <c r="L90" s="8">
        <v>6</v>
      </c>
      <c r="M90" s="19">
        <f t="shared" si="5"/>
        <v>1680000</v>
      </c>
      <c r="N90" s="9">
        <v>0.1</v>
      </c>
      <c r="O90" s="19">
        <f t="shared" si="6"/>
        <v>168000</v>
      </c>
      <c r="P90" s="19">
        <f t="shared" si="7"/>
        <v>1512000</v>
      </c>
      <c r="Q90" s="19">
        <f t="shared" si="8"/>
        <v>1050000</v>
      </c>
      <c r="R90" s="19">
        <f t="shared" si="9"/>
        <v>462000</v>
      </c>
    </row>
    <row r="91" spans="1:18" x14ac:dyDescent="0.25">
      <c r="A91" t="str">
        <f>_xlfn.XLOOKUP(C91,Raw_Data_Transaksi!$A$1:$A$1001,Raw_Data_Transaksi!$D$1:$D$1001,,0)</f>
        <v>PRD-104</v>
      </c>
      <c r="B91" t="str">
        <f>_xlfn.XLOOKUP(C91,Raw_Data_Transaksi!$A$1:$A$1001,Raw_Data_Transaksi!$C$1:$C$1001,,0)</f>
        <v>SLS-02</v>
      </c>
      <c r="C91" s="6" t="s">
        <v>175</v>
      </c>
      <c r="D91" s="7">
        <v>45922</v>
      </c>
      <c r="E91" s="10" t="str">
        <f>VLOOKUP(B91,Master_Sales!$A$1:$D$9,2,FALSE)</f>
        <v>Budi Santoso</v>
      </c>
      <c r="F91" s="10" t="str">
        <f>INDEX(Master_Sales!$D$1:$D$9,MATCH(Lembar_Kerja_Analisis!B91,Master_Sales!$A$1:$A$9,0))</f>
        <v>Timur</v>
      </c>
      <c r="G91" s="10" t="str">
        <f>INDEX(Master_Sales!$C$1:$C$9,MATCH(Lembar_Kerja_Analisis!B91,Master_Sales!$A$1:$A$9,0))</f>
        <v>Surabaya</v>
      </c>
      <c r="H91" s="10" t="str">
        <f>VLOOKUP(A91,Master_Produk!$A$1:$E$16,2,FALSE)</f>
        <v>Monitor 24" FHD 144Hz</v>
      </c>
      <c r="I91" s="10" t="str">
        <f>INDEX(Master_Produk!$C$1:$C$16,MATCH(Lembar_Kerja_Analisis!A91,Master_Produk!$A$1:$A$16,0))</f>
        <v>Elektronik</v>
      </c>
      <c r="J91" s="19">
        <f>_xlfn.XLOOKUP(A91,Master_Produk!$A$1:$A$16,Master_Produk!$D$1:$D$16,,0)</f>
        <v>1950000</v>
      </c>
      <c r="K91" s="19">
        <f>INDEX(Master_Produk!$E$1:$E$16,MATCH(Lembar_Kerja_Analisis!A91,Master_Produk!$A$1:$A$16,0))</f>
        <v>1500000</v>
      </c>
      <c r="L91" s="8">
        <v>4</v>
      </c>
      <c r="M91" s="19">
        <f t="shared" si="5"/>
        <v>7800000</v>
      </c>
      <c r="N91" s="9">
        <v>0.15</v>
      </c>
      <c r="O91" s="19">
        <f t="shared" si="6"/>
        <v>1170000</v>
      </c>
      <c r="P91" s="19">
        <f t="shared" si="7"/>
        <v>6630000</v>
      </c>
      <c r="Q91" s="19">
        <f t="shared" si="8"/>
        <v>6000000</v>
      </c>
      <c r="R91" s="19">
        <f t="shared" si="9"/>
        <v>630000</v>
      </c>
    </row>
    <row r="92" spans="1:18" x14ac:dyDescent="0.25">
      <c r="A92" t="str">
        <f>_xlfn.XLOOKUP(C92,Raw_Data_Transaksi!$A$1:$A$1001,Raw_Data_Transaksi!$D$1:$D$1001,,0)</f>
        <v>PRD-108</v>
      </c>
      <c r="B92" t="str">
        <f>_xlfn.XLOOKUP(C92,Raw_Data_Transaksi!$A$1:$A$1001,Raw_Data_Transaksi!$C$1:$C$1001,,0)</f>
        <v>SLS-08</v>
      </c>
      <c r="C92" s="6" t="s">
        <v>176</v>
      </c>
      <c r="D92" s="7">
        <v>46011</v>
      </c>
      <c r="E92" s="10" t="str">
        <f>VLOOKUP(B92,Master_Sales!$A$1:$D$9,2,FALSE)</f>
        <v>Hendra Wijaya</v>
      </c>
      <c r="F92" s="10" t="str">
        <f>INDEX(Master_Sales!$D$1:$D$9,MATCH(Lembar_Kerja_Analisis!B92,Master_Sales!$A$1:$A$9,0))</f>
        <v>Tengah</v>
      </c>
      <c r="G92" s="10" t="str">
        <f>INDEX(Master_Sales!$C$1:$C$9,MATCH(Lembar_Kerja_Analisis!B92,Master_Sales!$A$1:$A$9,0))</f>
        <v>Yogyakarta</v>
      </c>
      <c r="H92" s="10" t="str">
        <f>VLOOKUP(A92,Master_Produk!$A$1:$E$16,2,FALSE)</f>
        <v>Sepatu Sneakers Pria/Wanita</v>
      </c>
      <c r="I92" s="10" t="str">
        <f>INDEX(Master_Produk!$C$1:$C$16,MATCH(Lembar_Kerja_Analisis!A92,Master_Produk!$A$1:$A$16,0))</f>
        <v>Fashion</v>
      </c>
      <c r="J92" s="19">
        <f>_xlfn.XLOOKUP(A92,Master_Produk!$A$1:$A$16,Master_Produk!$D$1:$D$16,,0)</f>
        <v>450000</v>
      </c>
      <c r="K92" s="19">
        <f>INDEX(Master_Produk!$E$1:$E$16,MATCH(Lembar_Kerja_Analisis!A92,Master_Produk!$A$1:$A$16,0))</f>
        <v>290000</v>
      </c>
      <c r="L92" s="8">
        <v>8</v>
      </c>
      <c r="M92" s="19">
        <f t="shared" si="5"/>
        <v>3600000</v>
      </c>
      <c r="N92" s="9">
        <v>0</v>
      </c>
      <c r="O92" s="19">
        <f t="shared" si="6"/>
        <v>0</v>
      </c>
      <c r="P92" s="19">
        <f t="shared" si="7"/>
        <v>3600000</v>
      </c>
      <c r="Q92" s="19">
        <f t="shared" si="8"/>
        <v>2320000</v>
      </c>
      <c r="R92" s="19">
        <f t="shared" si="9"/>
        <v>1280000</v>
      </c>
    </row>
    <row r="93" spans="1:18" x14ac:dyDescent="0.25">
      <c r="A93" t="str">
        <f>_xlfn.XLOOKUP(C93,Raw_Data_Transaksi!$A$1:$A$1001,Raw_Data_Transaksi!$D$1:$D$1001,,0)</f>
        <v>PRD-112</v>
      </c>
      <c r="B93" t="str">
        <f>_xlfn.XLOOKUP(C93,Raw_Data_Transaksi!$A$1:$A$1001,Raw_Data_Transaksi!$C$1:$C$1001,,0)</f>
        <v>SLS-04</v>
      </c>
      <c r="C93" s="6" t="s">
        <v>177</v>
      </c>
      <c r="D93" s="7">
        <v>45865</v>
      </c>
      <c r="E93" s="10" t="str">
        <f>VLOOKUP(B93,Master_Sales!$A$1:$D$9,2,FALSE)</f>
        <v>Dewi Anggraini</v>
      </c>
      <c r="F93" s="10" t="str">
        <f>INDEX(Master_Sales!$D$1:$D$9,MATCH(Lembar_Kerja_Analisis!B93,Master_Sales!$A$1:$A$9,0))</f>
        <v>Barat</v>
      </c>
      <c r="G93" s="10" t="str">
        <f>INDEX(Master_Sales!$C$1:$C$9,MATCH(Lembar_Kerja_Analisis!B93,Master_Sales!$A$1:$A$9,0))</f>
        <v>Medan</v>
      </c>
      <c r="H93" s="10" t="str">
        <f>VLOOKUP(A93,Master_Produk!$A$1:$E$16,2,FALSE)</f>
        <v>Susu UHT Full Cream 1L</v>
      </c>
      <c r="I93" s="10" t="str">
        <f>INDEX(Master_Produk!$C$1:$C$16,MATCH(Lembar_Kerja_Analisis!A93,Master_Produk!$A$1:$A$16,0))</f>
        <v>F&amp;B</v>
      </c>
      <c r="J93" s="19">
        <f>_xlfn.XLOOKUP(A93,Master_Produk!$A$1:$A$16,Master_Produk!$D$1:$D$16,,0)</f>
        <v>22000</v>
      </c>
      <c r="K93" s="19">
        <f>INDEX(Master_Produk!$E$1:$E$16,MATCH(Lembar_Kerja_Analisis!A93,Master_Produk!$A$1:$A$16,0))</f>
        <v>18000</v>
      </c>
      <c r="L93" s="8">
        <v>24</v>
      </c>
      <c r="M93" s="19">
        <f t="shared" si="5"/>
        <v>528000</v>
      </c>
      <c r="N93" s="9">
        <v>0.2</v>
      </c>
      <c r="O93" s="19">
        <f t="shared" si="6"/>
        <v>105600</v>
      </c>
      <c r="P93" s="19">
        <f t="shared" si="7"/>
        <v>422400</v>
      </c>
      <c r="Q93" s="19">
        <f t="shared" si="8"/>
        <v>432000</v>
      </c>
      <c r="R93" s="19">
        <f t="shared" si="9"/>
        <v>-9600</v>
      </c>
    </row>
    <row r="94" spans="1:18" x14ac:dyDescent="0.25">
      <c r="A94" t="str">
        <f>_xlfn.XLOOKUP(C94,Raw_Data_Transaksi!$A$1:$A$1001,Raw_Data_Transaksi!$D$1:$D$1001,,0)</f>
        <v>PRD-112</v>
      </c>
      <c r="B94" t="str">
        <f>_xlfn.XLOOKUP(C94,Raw_Data_Transaksi!$A$1:$A$1001,Raw_Data_Transaksi!$C$1:$C$1001,,0)</f>
        <v>SLS-06</v>
      </c>
      <c r="C94" s="6" t="s">
        <v>178</v>
      </c>
      <c r="D94" s="7">
        <v>45875</v>
      </c>
      <c r="E94" s="10" t="str">
        <f>VLOOKUP(B94,Master_Sales!$A$1:$D$9,2,FALSE)</f>
        <v>Fajar Nugraha</v>
      </c>
      <c r="F94" s="10" t="str">
        <f>INDEX(Master_Sales!$D$1:$D$9,MATCH(Lembar_Kerja_Analisis!B94,Master_Sales!$A$1:$A$9,0))</f>
        <v>Timur</v>
      </c>
      <c r="G94" s="10" t="str">
        <f>INDEX(Master_Sales!$C$1:$C$9,MATCH(Lembar_Kerja_Analisis!B94,Master_Sales!$A$1:$A$9,0))</f>
        <v>Makassar</v>
      </c>
      <c r="H94" s="10" t="str">
        <f>VLOOKUP(A94,Master_Produk!$A$1:$E$16,2,FALSE)</f>
        <v>Susu UHT Full Cream 1L</v>
      </c>
      <c r="I94" s="10" t="str">
        <f>INDEX(Master_Produk!$C$1:$C$16,MATCH(Lembar_Kerja_Analisis!A94,Master_Produk!$A$1:$A$16,0))</f>
        <v>F&amp;B</v>
      </c>
      <c r="J94" s="19">
        <f>_xlfn.XLOOKUP(A94,Master_Produk!$A$1:$A$16,Master_Produk!$D$1:$D$16,,0)</f>
        <v>22000</v>
      </c>
      <c r="K94" s="19">
        <f>INDEX(Master_Produk!$E$1:$E$16,MATCH(Lembar_Kerja_Analisis!A94,Master_Produk!$A$1:$A$16,0))</f>
        <v>18000</v>
      </c>
      <c r="L94" s="8">
        <v>25</v>
      </c>
      <c r="M94" s="19">
        <f t="shared" si="5"/>
        <v>550000</v>
      </c>
      <c r="N94" s="9">
        <v>0.15</v>
      </c>
      <c r="O94" s="19">
        <f t="shared" si="6"/>
        <v>82500</v>
      </c>
      <c r="P94" s="19">
        <f t="shared" si="7"/>
        <v>467500</v>
      </c>
      <c r="Q94" s="19">
        <f t="shared" si="8"/>
        <v>450000</v>
      </c>
      <c r="R94" s="19">
        <f t="shared" si="9"/>
        <v>17500</v>
      </c>
    </row>
    <row r="95" spans="1:18" x14ac:dyDescent="0.25">
      <c r="A95" t="str">
        <f>_xlfn.XLOOKUP(C95,Raw_Data_Transaksi!$A$1:$A$1001,Raw_Data_Transaksi!$D$1:$D$1001,,0)</f>
        <v>PRD-102</v>
      </c>
      <c r="B95" t="str">
        <f>_xlfn.XLOOKUP(C95,Raw_Data_Transaksi!$A$1:$A$1001,Raw_Data_Transaksi!$C$1:$C$1001,,0)</f>
        <v>SLS-04</v>
      </c>
      <c r="C95" s="6" t="s">
        <v>179</v>
      </c>
      <c r="D95" s="7">
        <v>45776</v>
      </c>
      <c r="E95" s="10" t="str">
        <f>VLOOKUP(B95,Master_Sales!$A$1:$D$9,2,FALSE)</f>
        <v>Dewi Anggraini</v>
      </c>
      <c r="F95" s="10" t="str">
        <f>INDEX(Master_Sales!$D$1:$D$9,MATCH(Lembar_Kerja_Analisis!B95,Master_Sales!$A$1:$A$9,0))</f>
        <v>Barat</v>
      </c>
      <c r="G95" s="10" t="str">
        <f>INDEX(Master_Sales!$C$1:$C$9,MATCH(Lembar_Kerja_Analisis!B95,Master_Sales!$A$1:$A$9,0))</f>
        <v>Medan</v>
      </c>
      <c r="H95" s="10" t="str">
        <f>VLOOKUP(A95,Master_Produk!$A$1:$E$16,2,FALSE)</f>
        <v>Wireless Mouse Ergonomic</v>
      </c>
      <c r="I95" s="10" t="str">
        <f>INDEX(Master_Produk!$C$1:$C$16,MATCH(Lembar_Kerja_Analisis!A95,Master_Produk!$A$1:$A$16,0))</f>
        <v>Elektronik</v>
      </c>
      <c r="J95" s="19">
        <f>_xlfn.XLOOKUP(A95,Master_Produk!$A$1:$A$16,Master_Produk!$D$1:$D$16,,0)</f>
        <v>250000</v>
      </c>
      <c r="K95" s="19">
        <f>INDEX(Master_Produk!$E$1:$E$16,MATCH(Lembar_Kerja_Analisis!A95,Master_Produk!$A$1:$A$16,0))</f>
        <v>160000</v>
      </c>
      <c r="L95" s="8">
        <v>6</v>
      </c>
      <c r="M95" s="19">
        <f t="shared" si="5"/>
        <v>1500000</v>
      </c>
      <c r="N95" s="9">
        <v>0</v>
      </c>
      <c r="O95" s="19">
        <f t="shared" si="6"/>
        <v>0</v>
      </c>
      <c r="P95" s="19">
        <f t="shared" si="7"/>
        <v>1500000</v>
      </c>
      <c r="Q95" s="19">
        <f t="shared" si="8"/>
        <v>960000</v>
      </c>
      <c r="R95" s="19">
        <f t="shared" si="9"/>
        <v>540000</v>
      </c>
    </row>
    <row r="96" spans="1:18" x14ac:dyDescent="0.25">
      <c r="A96" t="str">
        <f>_xlfn.XLOOKUP(C96,Raw_Data_Transaksi!$A$1:$A$1001,Raw_Data_Transaksi!$D$1:$D$1001,,0)</f>
        <v>PRD-105</v>
      </c>
      <c r="B96" t="str">
        <f>_xlfn.XLOOKUP(C96,Raw_Data_Transaksi!$A$1:$A$1001,Raw_Data_Transaksi!$C$1:$C$1001,,0)</f>
        <v>SLS-05</v>
      </c>
      <c r="C96" s="6" t="s">
        <v>180</v>
      </c>
      <c r="D96" s="7">
        <v>45905</v>
      </c>
      <c r="E96" s="10" t="str">
        <f>VLOOKUP(B96,Master_Sales!$A$1:$D$9,2,FALSE)</f>
        <v>Eko Prasetyo</v>
      </c>
      <c r="F96" s="10" t="str">
        <f>INDEX(Master_Sales!$D$1:$D$9,MATCH(Lembar_Kerja_Analisis!B96,Master_Sales!$A$1:$A$9,0))</f>
        <v>Tengah</v>
      </c>
      <c r="G96" s="10" t="str">
        <f>INDEX(Master_Sales!$C$1:$C$9,MATCH(Lembar_Kerja_Analisis!B96,Master_Sales!$A$1:$A$9,0))</f>
        <v>Semarang</v>
      </c>
      <c r="H96" s="10" t="str">
        <f>VLOOKUP(A96,Master_Produk!$A$1:$E$16,2,FALSE)</f>
        <v>Kemeja Batik Katun Premium</v>
      </c>
      <c r="I96" s="10" t="str">
        <f>INDEX(Master_Produk!$C$1:$C$16,MATCH(Lembar_Kerja_Analisis!A96,Master_Produk!$A$1:$A$16,0))</f>
        <v>Fashion</v>
      </c>
      <c r="J96" s="19">
        <f>_xlfn.XLOOKUP(A96,Master_Produk!$A$1:$A$16,Master_Produk!$D$1:$D$16,,0)</f>
        <v>320000</v>
      </c>
      <c r="K96" s="19">
        <f>INDEX(Master_Produk!$E$1:$E$16,MATCH(Lembar_Kerja_Analisis!A96,Master_Produk!$A$1:$A$16,0))</f>
        <v>190000</v>
      </c>
      <c r="L96" s="8">
        <v>2</v>
      </c>
      <c r="M96" s="19">
        <f t="shared" si="5"/>
        <v>640000</v>
      </c>
      <c r="N96" s="9">
        <v>0.05</v>
      </c>
      <c r="O96" s="19">
        <f t="shared" si="6"/>
        <v>32000</v>
      </c>
      <c r="P96" s="19">
        <f t="shared" si="7"/>
        <v>608000</v>
      </c>
      <c r="Q96" s="19">
        <f t="shared" si="8"/>
        <v>380000</v>
      </c>
      <c r="R96" s="19">
        <f t="shared" si="9"/>
        <v>228000</v>
      </c>
    </row>
    <row r="97" spans="1:18" x14ac:dyDescent="0.25">
      <c r="A97" t="str">
        <f>_xlfn.XLOOKUP(C97,Raw_Data_Transaksi!$A$1:$A$1001,Raw_Data_Transaksi!$D$1:$D$1001,,0)</f>
        <v>PRD-105</v>
      </c>
      <c r="B97" t="str">
        <f>_xlfn.XLOOKUP(C97,Raw_Data_Transaksi!$A$1:$A$1001,Raw_Data_Transaksi!$C$1:$C$1001,,0)</f>
        <v>SLS-01</v>
      </c>
      <c r="C97" s="6" t="s">
        <v>181</v>
      </c>
      <c r="D97" s="7">
        <v>45749</v>
      </c>
      <c r="E97" s="10" t="str">
        <f>VLOOKUP(B97,Master_Sales!$A$1:$D$9,2,FALSE)</f>
        <v>Andi Pratama</v>
      </c>
      <c r="F97" s="10" t="str">
        <f>INDEX(Master_Sales!$D$1:$D$9,MATCH(Lembar_Kerja_Analisis!B97,Master_Sales!$A$1:$A$9,0))</f>
        <v>Barat</v>
      </c>
      <c r="G97" s="10" t="str">
        <f>INDEX(Master_Sales!$C$1:$C$9,MATCH(Lembar_Kerja_Analisis!B97,Master_Sales!$A$1:$A$9,0))</f>
        <v>Jakarta</v>
      </c>
      <c r="H97" s="10" t="str">
        <f>VLOOKUP(A97,Master_Produk!$A$1:$E$16,2,FALSE)</f>
        <v>Kemeja Batik Katun Premium</v>
      </c>
      <c r="I97" s="10" t="str">
        <f>INDEX(Master_Produk!$C$1:$C$16,MATCH(Lembar_Kerja_Analisis!A97,Master_Produk!$A$1:$A$16,0))</f>
        <v>Fashion</v>
      </c>
      <c r="J97" s="19">
        <f>_xlfn.XLOOKUP(A97,Master_Produk!$A$1:$A$16,Master_Produk!$D$1:$D$16,,0)</f>
        <v>320000</v>
      </c>
      <c r="K97" s="19">
        <f>INDEX(Master_Produk!$E$1:$E$16,MATCH(Lembar_Kerja_Analisis!A97,Master_Produk!$A$1:$A$16,0))</f>
        <v>190000</v>
      </c>
      <c r="L97" s="8">
        <v>12</v>
      </c>
      <c r="M97" s="19">
        <f t="shared" si="5"/>
        <v>3840000</v>
      </c>
      <c r="N97" s="9">
        <v>0.2</v>
      </c>
      <c r="O97" s="19">
        <f t="shared" si="6"/>
        <v>768000</v>
      </c>
      <c r="P97" s="19">
        <f t="shared" si="7"/>
        <v>3072000</v>
      </c>
      <c r="Q97" s="19">
        <f t="shared" si="8"/>
        <v>2280000</v>
      </c>
      <c r="R97" s="19">
        <f t="shared" si="9"/>
        <v>792000</v>
      </c>
    </row>
    <row r="98" spans="1:18" x14ac:dyDescent="0.25">
      <c r="A98" t="str">
        <f>_xlfn.XLOOKUP(C98,Raw_Data_Transaksi!$A$1:$A$1001,Raw_Data_Transaksi!$D$1:$D$1001,,0)</f>
        <v>PRD-109</v>
      </c>
      <c r="B98" t="str">
        <f>_xlfn.XLOOKUP(C98,Raw_Data_Transaksi!$A$1:$A$1001,Raw_Data_Transaksi!$C$1:$C$1001,,0)</f>
        <v>SLS-05</v>
      </c>
      <c r="C98" s="6" t="s">
        <v>182</v>
      </c>
      <c r="D98" s="7">
        <v>45685</v>
      </c>
      <c r="E98" s="10" t="str">
        <f>VLOOKUP(B98,Master_Sales!$A$1:$D$9,2,FALSE)</f>
        <v>Eko Prasetyo</v>
      </c>
      <c r="F98" s="10" t="str">
        <f>INDEX(Master_Sales!$D$1:$D$9,MATCH(Lembar_Kerja_Analisis!B98,Master_Sales!$A$1:$A$9,0))</f>
        <v>Tengah</v>
      </c>
      <c r="G98" s="10" t="str">
        <f>INDEX(Master_Sales!$C$1:$C$9,MATCH(Lembar_Kerja_Analisis!B98,Master_Sales!$A$1:$A$9,0))</f>
        <v>Semarang</v>
      </c>
      <c r="H98" s="10" t="str">
        <f>VLOOKUP(A98,Master_Produk!$A$1:$E$16,2,FALSE)</f>
        <v>Kopi Arabika Gayo 250g</v>
      </c>
      <c r="I98" s="10" t="str">
        <f>INDEX(Master_Produk!$C$1:$C$16,MATCH(Lembar_Kerja_Analisis!A98,Master_Produk!$A$1:$A$16,0))</f>
        <v>F&amp;B</v>
      </c>
      <c r="J98" s="19">
        <f>_xlfn.XLOOKUP(A98,Master_Produk!$A$1:$A$16,Master_Produk!$D$1:$D$16,,0)</f>
        <v>85000</v>
      </c>
      <c r="K98" s="19">
        <f>INDEX(Master_Produk!$E$1:$E$16,MATCH(Lembar_Kerja_Analisis!A98,Master_Produk!$A$1:$A$16,0))</f>
        <v>55000</v>
      </c>
      <c r="L98" s="8">
        <v>7</v>
      </c>
      <c r="M98" s="19">
        <f t="shared" si="5"/>
        <v>595000</v>
      </c>
      <c r="N98" s="9">
        <v>0.15</v>
      </c>
      <c r="O98" s="19">
        <f t="shared" si="6"/>
        <v>89250</v>
      </c>
      <c r="P98" s="19">
        <f t="shared" si="7"/>
        <v>505750</v>
      </c>
      <c r="Q98" s="19">
        <f t="shared" si="8"/>
        <v>385000</v>
      </c>
      <c r="R98" s="19">
        <f t="shared" si="9"/>
        <v>120750</v>
      </c>
    </row>
    <row r="99" spans="1:18" x14ac:dyDescent="0.25">
      <c r="A99" t="str">
        <f>_xlfn.XLOOKUP(C99,Raw_Data_Transaksi!$A$1:$A$1001,Raw_Data_Transaksi!$D$1:$D$1001,,0)</f>
        <v>PRD-108</v>
      </c>
      <c r="B99" t="str">
        <f>_xlfn.XLOOKUP(C99,Raw_Data_Transaksi!$A$1:$A$1001,Raw_Data_Transaksi!$C$1:$C$1001,,0)</f>
        <v>SLS-08</v>
      </c>
      <c r="C99" s="6" t="s">
        <v>183</v>
      </c>
      <c r="D99" s="7">
        <v>45898</v>
      </c>
      <c r="E99" s="10" t="str">
        <f>VLOOKUP(B99,Master_Sales!$A$1:$D$9,2,FALSE)</f>
        <v>Hendra Wijaya</v>
      </c>
      <c r="F99" s="10" t="str">
        <f>INDEX(Master_Sales!$D$1:$D$9,MATCH(Lembar_Kerja_Analisis!B99,Master_Sales!$A$1:$A$9,0))</f>
        <v>Tengah</v>
      </c>
      <c r="G99" s="10" t="str">
        <f>INDEX(Master_Sales!$C$1:$C$9,MATCH(Lembar_Kerja_Analisis!B99,Master_Sales!$A$1:$A$9,0))</f>
        <v>Yogyakarta</v>
      </c>
      <c r="H99" s="10" t="str">
        <f>VLOOKUP(A99,Master_Produk!$A$1:$E$16,2,FALSE)</f>
        <v>Sepatu Sneakers Pria/Wanita</v>
      </c>
      <c r="I99" s="10" t="str">
        <f>INDEX(Master_Produk!$C$1:$C$16,MATCH(Lembar_Kerja_Analisis!A99,Master_Produk!$A$1:$A$16,0))</f>
        <v>Fashion</v>
      </c>
      <c r="J99" s="19">
        <f>_xlfn.XLOOKUP(A99,Master_Produk!$A$1:$A$16,Master_Produk!$D$1:$D$16,,0)</f>
        <v>450000</v>
      </c>
      <c r="K99" s="19">
        <f>INDEX(Master_Produk!$E$1:$E$16,MATCH(Lembar_Kerja_Analisis!A99,Master_Produk!$A$1:$A$16,0))</f>
        <v>290000</v>
      </c>
      <c r="L99" s="8">
        <v>6</v>
      </c>
      <c r="M99" s="19">
        <f t="shared" si="5"/>
        <v>2700000</v>
      </c>
      <c r="N99" s="9">
        <v>0.05</v>
      </c>
      <c r="O99" s="19">
        <f t="shared" si="6"/>
        <v>135000</v>
      </c>
      <c r="P99" s="19">
        <f t="shared" si="7"/>
        <v>2565000</v>
      </c>
      <c r="Q99" s="19">
        <f t="shared" si="8"/>
        <v>1740000</v>
      </c>
      <c r="R99" s="19">
        <f t="shared" si="9"/>
        <v>825000</v>
      </c>
    </row>
    <row r="100" spans="1:18" x14ac:dyDescent="0.25">
      <c r="A100" t="str">
        <f>_xlfn.XLOOKUP(C100,Raw_Data_Transaksi!$A$1:$A$1001,Raw_Data_Transaksi!$D$1:$D$1001,,0)</f>
        <v>PRD-114</v>
      </c>
      <c r="B100" t="str">
        <f>_xlfn.XLOOKUP(C100,Raw_Data_Transaksi!$A$1:$A$1001,Raw_Data_Transaksi!$C$1:$C$1001,,0)</f>
        <v>SLS-02</v>
      </c>
      <c r="C100" s="6" t="s">
        <v>184</v>
      </c>
      <c r="D100" s="7">
        <v>45716</v>
      </c>
      <c r="E100" s="10" t="str">
        <f>VLOOKUP(B100,Master_Sales!$A$1:$D$9,2,FALSE)</f>
        <v>Budi Santoso</v>
      </c>
      <c r="F100" s="10" t="str">
        <f>INDEX(Master_Sales!$D$1:$D$9,MATCH(Lembar_Kerja_Analisis!B100,Master_Sales!$A$1:$A$9,0))</f>
        <v>Timur</v>
      </c>
      <c r="G100" s="10" t="str">
        <f>INDEX(Master_Sales!$C$1:$C$9,MATCH(Lembar_Kerja_Analisis!B100,Master_Sales!$A$1:$A$9,0))</f>
        <v>Surabaya</v>
      </c>
      <c r="H100" s="10" t="str">
        <f>VLOOKUP(A100,Master_Produk!$A$1:$E$16,2,FALSE)</f>
        <v>Blender Multifungsi 2-in-1</v>
      </c>
      <c r="I100" s="10" t="str">
        <f>INDEX(Master_Produk!$C$1:$C$16,MATCH(Lembar_Kerja_Analisis!A100,Master_Produk!$A$1:$A$16,0))</f>
        <v>Peralatan Rumah</v>
      </c>
      <c r="J100" s="19">
        <f>_xlfn.XLOOKUP(A100,Master_Produk!$A$1:$A$16,Master_Produk!$D$1:$D$16,,0)</f>
        <v>340000</v>
      </c>
      <c r="K100" s="19">
        <f>INDEX(Master_Produk!$E$1:$E$16,MATCH(Lembar_Kerja_Analisis!A100,Master_Produk!$A$1:$A$16,0))</f>
        <v>240000</v>
      </c>
      <c r="L100" s="8">
        <v>7</v>
      </c>
      <c r="M100" s="19">
        <f t="shared" si="5"/>
        <v>2380000</v>
      </c>
      <c r="N100" s="9">
        <v>0.15</v>
      </c>
      <c r="O100" s="19">
        <f t="shared" si="6"/>
        <v>357000</v>
      </c>
      <c r="P100" s="19">
        <f t="shared" si="7"/>
        <v>2023000</v>
      </c>
      <c r="Q100" s="19">
        <f t="shared" si="8"/>
        <v>1680000</v>
      </c>
      <c r="R100" s="19">
        <f t="shared" si="9"/>
        <v>343000</v>
      </c>
    </row>
    <row r="101" spans="1:18" x14ac:dyDescent="0.25">
      <c r="A101" t="str">
        <f>_xlfn.XLOOKUP(C101,Raw_Data_Transaksi!$A$1:$A$1001,Raw_Data_Transaksi!$D$1:$D$1001,,0)</f>
        <v>PRD-103</v>
      </c>
      <c r="B101" t="str">
        <f>_xlfn.XLOOKUP(C101,Raw_Data_Transaksi!$A$1:$A$1001,Raw_Data_Transaksi!$C$1:$C$1001,,0)</f>
        <v>SLS-05</v>
      </c>
      <c r="C101" s="6" t="s">
        <v>185</v>
      </c>
      <c r="D101" s="7">
        <v>45735</v>
      </c>
      <c r="E101" s="10" t="str">
        <f>VLOOKUP(B101,Master_Sales!$A$1:$D$9,2,FALSE)</f>
        <v>Eko Prasetyo</v>
      </c>
      <c r="F101" s="10" t="str">
        <f>INDEX(Master_Sales!$D$1:$D$9,MATCH(Lembar_Kerja_Analisis!B101,Master_Sales!$A$1:$A$9,0))</f>
        <v>Tengah</v>
      </c>
      <c r="G101" s="10" t="str">
        <f>INDEX(Master_Sales!$C$1:$C$9,MATCH(Lembar_Kerja_Analisis!B101,Master_Sales!$A$1:$A$9,0))</f>
        <v>Semarang</v>
      </c>
      <c r="H101" s="10" t="str">
        <f>VLOOKUP(A101,Master_Produk!$A$1:$E$16,2,FALSE)</f>
        <v>Mechanical Keyboard RGB</v>
      </c>
      <c r="I101" s="10" t="str">
        <f>INDEX(Master_Produk!$C$1:$C$16,MATCH(Lembar_Kerja_Analisis!A101,Master_Produk!$A$1:$A$16,0))</f>
        <v>Elektronik</v>
      </c>
      <c r="J101" s="19">
        <f>_xlfn.XLOOKUP(A101,Master_Produk!$A$1:$A$16,Master_Produk!$D$1:$D$16,,0)</f>
        <v>750000</v>
      </c>
      <c r="K101" s="19">
        <f>INDEX(Master_Produk!$E$1:$E$16,MATCH(Lembar_Kerja_Analisis!A101,Master_Produk!$A$1:$A$16,0))</f>
        <v>520000</v>
      </c>
      <c r="L101" s="8">
        <v>2</v>
      </c>
      <c r="M101" s="19">
        <f t="shared" si="5"/>
        <v>1500000</v>
      </c>
      <c r="N101" s="9">
        <v>0.05</v>
      </c>
      <c r="O101" s="19">
        <f t="shared" si="6"/>
        <v>75000</v>
      </c>
      <c r="P101" s="19">
        <f t="shared" si="7"/>
        <v>1425000</v>
      </c>
      <c r="Q101" s="19">
        <f t="shared" si="8"/>
        <v>1040000</v>
      </c>
      <c r="R101" s="19">
        <f t="shared" si="9"/>
        <v>385000</v>
      </c>
    </row>
    <row r="102" spans="1:18" x14ac:dyDescent="0.25">
      <c r="A102" t="str">
        <f>_xlfn.XLOOKUP(C102,Raw_Data_Transaksi!$A$1:$A$1001,Raw_Data_Transaksi!$D$1:$D$1001,,0)</f>
        <v>PRD-110</v>
      </c>
      <c r="B102" t="str">
        <f>_xlfn.XLOOKUP(C102,Raw_Data_Transaksi!$A$1:$A$1001,Raw_Data_Transaksi!$C$1:$C$1001,,0)</f>
        <v>SLS-04</v>
      </c>
      <c r="C102" s="6" t="s">
        <v>186</v>
      </c>
      <c r="D102" s="7">
        <v>45968</v>
      </c>
      <c r="E102" s="10" t="str">
        <f>VLOOKUP(B102,Master_Sales!$A$1:$D$9,2,FALSE)</f>
        <v>Dewi Anggraini</v>
      </c>
      <c r="F102" s="10" t="str">
        <f>INDEX(Master_Sales!$D$1:$D$9,MATCH(Lembar_Kerja_Analisis!B102,Master_Sales!$A$1:$A$9,0))</f>
        <v>Barat</v>
      </c>
      <c r="G102" s="10" t="str">
        <f>INDEX(Master_Sales!$C$1:$C$9,MATCH(Lembar_Kerja_Analisis!B102,Master_Sales!$A$1:$A$9,0))</f>
        <v>Medan</v>
      </c>
      <c r="H102" s="10" t="str">
        <f>VLOOKUP(A102,Master_Produk!$A$1:$E$16,2,FALSE)</f>
        <v>Minyak Goreng Sawit 2L</v>
      </c>
      <c r="I102" s="10" t="str">
        <f>INDEX(Master_Produk!$C$1:$C$16,MATCH(Lembar_Kerja_Analisis!A102,Master_Produk!$A$1:$A$16,0))</f>
        <v>F&amp;B</v>
      </c>
      <c r="J102" s="19">
        <f>_xlfn.XLOOKUP(A102,Master_Produk!$A$1:$A$16,Master_Produk!$D$1:$D$16,,0)</f>
        <v>36000</v>
      </c>
      <c r="K102" s="19">
        <f>INDEX(Master_Produk!$E$1:$E$16,MATCH(Lembar_Kerja_Analisis!A102,Master_Produk!$A$1:$A$16,0))</f>
        <v>31000</v>
      </c>
      <c r="L102" s="8">
        <v>15</v>
      </c>
      <c r="M102" s="19">
        <f t="shared" si="5"/>
        <v>540000</v>
      </c>
      <c r="N102" s="9">
        <v>0.15</v>
      </c>
      <c r="O102" s="19">
        <f t="shared" si="6"/>
        <v>81000</v>
      </c>
      <c r="P102" s="19">
        <f t="shared" si="7"/>
        <v>459000</v>
      </c>
      <c r="Q102" s="19">
        <f t="shared" si="8"/>
        <v>465000</v>
      </c>
      <c r="R102" s="19">
        <f t="shared" si="9"/>
        <v>-6000</v>
      </c>
    </row>
    <row r="103" spans="1:18" x14ac:dyDescent="0.25">
      <c r="A103" t="str">
        <f>_xlfn.XLOOKUP(C103,Raw_Data_Transaksi!$A$1:$A$1001,Raw_Data_Transaksi!$D$1:$D$1001,,0)</f>
        <v>PRD-110</v>
      </c>
      <c r="B103" t="str">
        <f>_xlfn.XLOOKUP(C103,Raw_Data_Transaksi!$A$1:$A$1001,Raw_Data_Transaksi!$C$1:$C$1001,,0)</f>
        <v>SLS-01</v>
      </c>
      <c r="C103" s="6" t="s">
        <v>187</v>
      </c>
      <c r="D103" s="7">
        <v>45814</v>
      </c>
      <c r="E103" s="10" t="str">
        <f>VLOOKUP(B103,Master_Sales!$A$1:$D$9,2,FALSE)</f>
        <v>Andi Pratama</v>
      </c>
      <c r="F103" s="10" t="str">
        <f>INDEX(Master_Sales!$D$1:$D$9,MATCH(Lembar_Kerja_Analisis!B103,Master_Sales!$A$1:$A$9,0))</f>
        <v>Barat</v>
      </c>
      <c r="G103" s="10" t="str">
        <f>INDEX(Master_Sales!$C$1:$C$9,MATCH(Lembar_Kerja_Analisis!B103,Master_Sales!$A$1:$A$9,0))</f>
        <v>Jakarta</v>
      </c>
      <c r="H103" s="10" t="str">
        <f>VLOOKUP(A103,Master_Produk!$A$1:$E$16,2,FALSE)</f>
        <v>Minyak Goreng Sawit 2L</v>
      </c>
      <c r="I103" s="10" t="str">
        <f>INDEX(Master_Produk!$C$1:$C$16,MATCH(Lembar_Kerja_Analisis!A103,Master_Produk!$A$1:$A$16,0))</f>
        <v>F&amp;B</v>
      </c>
      <c r="J103" s="19">
        <f>_xlfn.XLOOKUP(A103,Master_Produk!$A$1:$A$16,Master_Produk!$D$1:$D$16,,0)</f>
        <v>36000</v>
      </c>
      <c r="K103" s="19">
        <f>INDEX(Master_Produk!$E$1:$E$16,MATCH(Lembar_Kerja_Analisis!A103,Master_Produk!$A$1:$A$16,0))</f>
        <v>31000</v>
      </c>
      <c r="L103" s="8">
        <v>26</v>
      </c>
      <c r="M103" s="19">
        <f t="shared" si="5"/>
        <v>936000</v>
      </c>
      <c r="N103" s="9">
        <v>0</v>
      </c>
      <c r="O103" s="19">
        <f t="shared" si="6"/>
        <v>0</v>
      </c>
      <c r="P103" s="19">
        <f t="shared" si="7"/>
        <v>936000</v>
      </c>
      <c r="Q103" s="19">
        <f t="shared" si="8"/>
        <v>806000</v>
      </c>
      <c r="R103" s="19">
        <f t="shared" si="9"/>
        <v>130000</v>
      </c>
    </row>
    <row r="104" spans="1:18" x14ac:dyDescent="0.25">
      <c r="A104" t="str">
        <f>_xlfn.XLOOKUP(C104,Raw_Data_Transaksi!$A$1:$A$1001,Raw_Data_Transaksi!$D$1:$D$1001,,0)</f>
        <v>PRD-111</v>
      </c>
      <c r="B104" t="str">
        <f>_xlfn.XLOOKUP(C104,Raw_Data_Transaksi!$A$1:$A$1001,Raw_Data_Transaksi!$C$1:$C$1001,,0)</f>
        <v>SLS-02</v>
      </c>
      <c r="C104" s="6" t="s">
        <v>188</v>
      </c>
      <c r="D104" s="7">
        <v>45793</v>
      </c>
      <c r="E104" s="10" t="str">
        <f>VLOOKUP(B104,Master_Sales!$A$1:$D$9,2,FALSE)</f>
        <v>Budi Santoso</v>
      </c>
      <c r="F104" s="10" t="str">
        <f>INDEX(Master_Sales!$D$1:$D$9,MATCH(Lembar_Kerja_Analisis!B104,Master_Sales!$A$1:$A$9,0))</f>
        <v>Timur</v>
      </c>
      <c r="G104" s="10" t="str">
        <f>INDEX(Master_Sales!$C$1:$C$9,MATCH(Lembar_Kerja_Analisis!B104,Master_Sales!$A$1:$A$9,0))</f>
        <v>Surabaya</v>
      </c>
      <c r="H104" s="10" t="str">
        <f>VLOOKUP(A104,Master_Produk!$A$1:$E$16,2,FALSE)</f>
        <v>Beras Premium 5kg</v>
      </c>
      <c r="I104" s="10" t="str">
        <f>INDEX(Master_Produk!$C$1:$C$16,MATCH(Lembar_Kerja_Analisis!A104,Master_Produk!$A$1:$A$16,0))</f>
        <v>F&amp;B</v>
      </c>
      <c r="J104" s="19">
        <f>_xlfn.XLOOKUP(A104,Master_Produk!$A$1:$A$16,Master_Produk!$D$1:$D$16,,0)</f>
        <v>74000</v>
      </c>
      <c r="K104" s="19">
        <f>INDEX(Master_Produk!$E$1:$E$16,MATCH(Lembar_Kerja_Analisis!A104,Master_Produk!$A$1:$A$16,0))</f>
        <v>65000</v>
      </c>
      <c r="L104" s="8">
        <v>10</v>
      </c>
      <c r="M104" s="19">
        <f t="shared" si="5"/>
        <v>740000</v>
      </c>
      <c r="N104" s="9">
        <v>0.05</v>
      </c>
      <c r="O104" s="19">
        <f t="shared" si="6"/>
        <v>37000</v>
      </c>
      <c r="P104" s="19">
        <f t="shared" si="7"/>
        <v>703000</v>
      </c>
      <c r="Q104" s="19">
        <f t="shared" si="8"/>
        <v>650000</v>
      </c>
      <c r="R104" s="19">
        <f t="shared" si="9"/>
        <v>53000</v>
      </c>
    </row>
    <row r="105" spans="1:18" x14ac:dyDescent="0.25">
      <c r="A105" t="str">
        <f>_xlfn.XLOOKUP(C105,Raw_Data_Transaksi!$A$1:$A$1001,Raw_Data_Transaksi!$D$1:$D$1001,,0)</f>
        <v>PRD-108</v>
      </c>
      <c r="B105" t="str">
        <f>_xlfn.XLOOKUP(C105,Raw_Data_Transaksi!$A$1:$A$1001,Raw_Data_Transaksi!$C$1:$C$1001,,0)</f>
        <v>SLS-08</v>
      </c>
      <c r="C105" s="6" t="s">
        <v>189</v>
      </c>
      <c r="D105" s="7">
        <v>45867</v>
      </c>
      <c r="E105" s="10" t="str">
        <f>VLOOKUP(B105,Master_Sales!$A$1:$D$9,2,FALSE)</f>
        <v>Hendra Wijaya</v>
      </c>
      <c r="F105" s="10" t="str">
        <f>INDEX(Master_Sales!$D$1:$D$9,MATCH(Lembar_Kerja_Analisis!B105,Master_Sales!$A$1:$A$9,0))</f>
        <v>Tengah</v>
      </c>
      <c r="G105" s="10" t="str">
        <f>INDEX(Master_Sales!$C$1:$C$9,MATCH(Lembar_Kerja_Analisis!B105,Master_Sales!$A$1:$A$9,0))</f>
        <v>Yogyakarta</v>
      </c>
      <c r="H105" s="10" t="str">
        <f>VLOOKUP(A105,Master_Produk!$A$1:$E$16,2,FALSE)</f>
        <v>Sepatu Sneakers Pria/Wanita</v>
      </c>
      <c r="I105" s="10" t="str">
        <f>INDEX(Master_Produk!$C$1:$C$16,MATCH(Lembar_Kerja_Analisis!A105,Master_Produk!$A$1:$A$16,0))</f>
        <v>Fashion</v>
      </c>
      <c r="J105" s="19">
        <f>_xlfn.XLOOKUP(A105,Master_Produk!$A$1:$A$16,Master_Produk!$D$1:$D$16,,0)</f>
        <v>450000</v>
      </c>
      <c r="K105" s="19">
        <f>INDEX(Master_Produk!$E$1:$E$16,MATCH(Lembar_Kerja_Analisis!A105,Master_Produk!$A$1:$A$16,0))</f>
        <v>290000</v>
      </c>
      <c r="L105" s="8">
        <v>5</v>
      </c>
      <c r="M105" s="19">
        <f t="shared" si="5"/>
        <v>2250000</v>
      </c>
      <c r="N105" s="9">
        <v>0</v>
      </c>
      <c r="O105" s="19">
        <f t="shared" si="6"/>
        <v>0</v>
      </c>
      <c r="P105" s="19">
        <f t="shared" si="7"/>
        <v>2250000</v>
      </c>
      <c r="Q105" s="19">
        <f t="shared" si="8"/>
        <v>1450000</v>
      </c>
      <c r="R105" s="19">
        <f t="shared" si="9"/>
        <v>800000</v>
      </c>
    </row>
    <row r="106" spans="1:18" x14ac:dyDescent="0.25">
      <c r="A106" t="str">
        <f>_xlfn.XLOOKUP(C106,Raw_Data_Transaksi!$A$1:$A$1001,Raw_Data_Transaksi!$D$1:$D$1001,,0)</f>
        <v>PRD-114</v>
      </c>
      <c r="B106" t="str">
        <f>_xlfn.XLOOKUP(C106,Raw_Data_Transaksi!$A$1:$A$1001,Raw_Data_Transaksi!$C$1:$C$1001,,0)</f>
        <v>SLS-08</v>
      </c>
      <c r="C106" s="6" t="s">
        <v>190</v>
      </c>
      <c r="D106" s="7">
        <v>46017</v>
      </c>
      <c r="E106" s="10" t="str">
        <f>VLOOKUP(B106,Master_Sales!$A$1:$D$9,2,FALSE)</f>
        <v>Hendra Wijaya</v>
      </c>
      <c r="F106" s="10" t="str">
        <f>INDEX(Master_Sales!$D$1:$D$9,MATCH(Lembar_Kerja_Analisis!B106,Master_Sales!$A$1:$A$9,0))</f>
        <v>Tengah</v>
      </c>
      <c r="G106" s="10" t="str">
        <f>INDEX(Master_Sales!$C$1:$C$9,MATCH(Lembar_Kerja_Analisis!B106,Master_Sales!$A$1:$A$9,0))</f>
        <v>Yogyakarta</v>
      </c>
      <c r="H106" s="10" t="str">
        <f>VLOOKUP(A106,Master_Produk!$A$1:$E$16,2,FALSE)</f>
        <v>Blender Multifungsi 2-in-1</v>
      </c>
      <c r="I106" s="10" t="str">
        <f>INDEX(Master_Produk!$C$1:$C$16,MATCH(Lembar_Kerja_Analisis!A106,Master_Produk!$A$1:$A$16,0))</f>
        <v>Peralatan Rumah</v>
      </c>
      <c r="J106" s="19">
        <f>_xlfn.XLOOKUP(A106,Master_Produk!$A$1:$A$16,Master_Produk!$D$1:$D$16,,0)</f>
        <v>340000</v>
      </c>
      <c r="K106" s="19">
        <f>INDEX(Master_Produk!$E$1:$E$16,MATCH(Lembar_Kerja_Analisis!A106,Master_Produk!$A$1:$A$16,0))</f>
        <v>240000</v>
      </c>
      <c r="L106" s="8">
        <v>2</v>
      </c>
      <c r="M106" s="19">
        <f t="shared" si="5"/>
        <v>680000</v>
      </c>
      <c r="N106" s="9">
        <v>0.05</v>
      </c>
      <c r="O106" s="19">
        <f t="shared" si="6"/>
        <v>34000</v>
      </c>
      <c r="P106" s="19">
        <f t="shared" si="7"/>
        <v>646000</v>
      </c>
      <c r="Q106" s="19">
        <f t="shared" si="8"/>
        <v>480000</v>
      </c>
      <c r="R106" s="19">
        <f t="shared" si="9"/>
        <v>166000</v>
      </c>
    </row>
    <row r="107" spans="1:18" x14ac:dyDescent="0.25">
      <c r="A107" t="str">
        <f>_xlfn.XLOOKUP(C107,Raw_Data_Transaksi!$A$1:$A$1001,Raw_Data_Transaksi!$D$1:$D$1001,,0)</f>
        <v>PRD-102</v>
      </c>
      <c r="B107" t="str">
        <f>_xlfn.XLOOKUP(C107,Raw_Data_Transaksi!$A$1:$A$1001,Raw_Data_Transaksi!$C$1:$C$1001,,0)</f>
        <v>SLS-04</v>
      </c>
      <c r="C107" s="6" t="s">
        <v>191</v>
      </c>
      <c r="D107" s="7">
        <v>45875</v>
      </c>
      <c r="E107" s="10" t="str">
        <f>VLOOKUP(B107,Master_Sales!$A$1:$D$9,2,FALSE)</f>
        <v>Dewi Anggraini</v>
      </c>
      <c r="F107" s="10" t="str">
        <f>INDEX(Master_Sales!$D$1:$D$9,MATCH(Lembar_Kerja_Analisis!B107,Master_Sales!$A$1:$A$9,0))</f>
        <v>Barat</v>
      </c>
      <c r="G107" s="10" t="str">
        <f>INDEX(Master_Sales!$C$1:$C$9,MATCH(Lembar_Kerja_Analisis!B107,Master_Sales!$A$1:$A$9,0))</f>
        <v>Medan</v>
      </c>
      <c r="H107" s="10" t="str">
        <f>VLOOKUP(A107,Master_Produk!$A$1:$E$16,2,FALSE)</f>
        <v>Wireless Mouse Ergonomic</v>
      </c>
      <c r="I107" s="10" t="str">
        <f>INDEX(Master_Produk!$C$1:$C$16,MATCH(Lembar_Kerja_Analisis!A107,Master_Produk!$A$1:$A$16,0))</f>
        <v>Elektronik</v>
      </c>
      <c r="J107" s="19">
        <f>_xlfn.XLOOKUP(A107,Master_Produk!$A$1:$A$16,Master_Produk!$D$1:$D$16,,0)</f>
        <v>250000</v>
      </c>
      <c r="K107" s="19">
        <f>INDEX(Master_Produk!$E$1:$E$16,MATCH(Lembar_Kerja_Analisis!A107,Master_Produk!$A$1:$A$16,0))</f>
        <v>160000</v>
      </c>
      <c r="L107" s="8">
        <v>11</v>
      </c>
      <c r="M107" s="19">
        <f t="shared" si="5"/>
        <v>2750000</v>
      </c>
      <c r="N107" s="9">
        <v>0.05</v>
      </c>
      <c r="O107" s="19">
        <f t="shared" si="6"/>
        <v>137500</v>
      </c>
      <c r="P107" s="19">
        <f t="shared" si="7"/>
        <v>2612500</v>
      </c>
      <c r="Q107" s="19">
        <f t="shared" si="8"/>
        <v>1760000</v>
      </c>
      <c r="R107" s="19">
        <f t="shared" si="9"/>
        <v>852500</v>
      </c>
    </row>
    <row r="108" spans="1:18" x14ac:dyDescent="0.25">
      <c r="A108" t="str">
        <f>_xlfn.XLOOKUP(C108,Raw_Data_Transaksi!$A$1:$A$1001,Raw_Data_Transaksi!$D$1:$D$1001,,0)</f>
        <v>PRD-103</v>
      </c>
      <c r="B108" t="str">
        <f>_xlfn.XLOOKUP(C108,Raw_Data_Transaksi!$A$1:$A$1001,Raw_Data_Transaksi!$C$1:$C$1001,,0)</f>
        <v>SLS-05</v>
      </c>
      <c r="C108" s="6" t="s">
        <v>192</v>
      </c>
      <c r="D108" s="7">
        <v>45688</v>
      </c>
      <c r="E108" s="10" t="str">
        <f>VLOOKUP(B108,Master_Sales!$A$1:$D$9,2,FALSE)</f>
        <v>Eko Prasetyo</v>
      </c>
      <c r="F108" s="10" t="str">
        <f>INDEX(Master_Sales!$D$1:$D$9,MATCH(Lembar_Kerja_Analisis!B108,Master_Sales!$A$1:$A$9,0))</f>
        <v>Tengah</v>
      </c>
      <c r="G108" s="10" t="str">
        <f>INDEX(Master_Sales!$C$1:$C$9,MATCH(Lembar_Kerja_Analisis!B108,Master_Sales!$A$1:$A$9,0))</f>
        <v>Semarang</v>
      </c>
      <c r="H108" s="10" t="str">
        <f>VLOOKUP(A108,Master_Produk!$A$1:$E$16,2,FALSE)</f>
        <v>Mechanical Keyboard RGB</v>
      </c>
      <c r="I108" s="10" t="str">
        <f>INDEX(Master_Produk!$C$1:$C$16,MATCH(Lembar_Kerja_Analisis!A108,Master_Produk!$A$1:$A$16,0))</f>
        <v>Elektronik</v>
      </c>
      <c r="J108" s="19">
        <f>_xlfn.XLOOKUP(A108,Master_Produk!$A$1:$A$16,Master_Produk!$D$1:$D$16,,0)</f>
        <v>750000</v>
      </c>
      <c r="K108" s="19">
        <f>INDEX(Master_Produk!$E$1:$E$16,MATCH(Lembar_Kerja_Analisis!A108,Master_Produk!$A$1:$A$16,0))</f>
        <v>520000</v>
      </c>
      <c r="L108" s="8">
        <v>10</v>
      </c>
      <c r="M108" s="19">
        <f t="shared" si="5"/>
        <v>7500000</v>
      </c>
      <c r="N108" s="9">
        <v>0.2</v>
      </c>
      <c r="O108" s="19">
        <f t="shared" si="6"/>
        <v>1500000</v>
      </c>
      <c r="P108" s="19">
        <f t="shared" si="7"/>
        <v>6000000</v>
      </c>
      <c r="Q108" s="19">
        <f t="shared" si="8"/>
        <v>5200000</v>
      </c>
      <c r="R108" s="19">
        <f t="shared" si="9"/>
        <v>800000</v>
      </c>
    </row>
    <row r="109" spans="1:18" x14ac:dyDescent="0.25">
      <c r="A109" t="str">
        <f>_xlfn.XLOOKUP(C109,Raw_Data_Transaksi!$A$1:$A$1001,Raw_Data_Transaksi!$D$1:$D$1001,,0)</f>
        <v>PRD-112</v>
      </c>
      <c r="B109" t="str">
        <f>_xlfn.XLOOKUP(C109,Raw_Data_Transaksi!$A$1:$A$1001,Raw_Data_Transaksi!$C$1:$C$1001,,0)</f>
        <v>SLS-05</v>
      </c>
      <c r="C109" s="6" t="s">
        <v>193</v>
      </c>
      <c r="D109" s="7">
        <v>45897</v>
      </c>
      <c r="E109" s="10" t="str">
        <f>VLOOKUP(B109,Master_Sales!$A$1:$D$9,2,FALSE)</f>
        <v>Eko Prasetyo</v>
      </c>
      <c r="F109" s="10" t="str">
        <f>INDEX(Master_Sales!$D$1:$D$9,MATCH(Lembar_Kerja_Analisis!B109,Master_Sales!$A$1:$A$9,0))</f>
        <v>Tengah</v>
      </c>
      <c r="G109" s="10" t="str">
        <f>INDEX(Master_Sales!$C$1:$C$9,MATCH(Lembar_Kerja_Analisis!B109,Master_Sales!$A$1:$A$9,0))</f>
        <v>Semarang</v>
      </c>
      <c r="H109" s="10" t="str">
        <f>VLOOKUP(A109,Master_Produk!$A$1:$E$16,2,FALSE)</f>
        <v>Susu UHT Full Cream 1L</v>
      </c>
      <c r="I109" s="10" t="str">
        <f>INDEX(Master_Produk!$C$1:$C$16,MATCH(Lembar_Kerja_Analisis!A109,Master_Produk!$A$1:$A$16,0))</f>
        <v>F&amp;B</v>
      </c>
      <c r="J109" s="19">
        <f>_xlfn.XLOOKUP(A109,Master_Produk!$A$1:$A$16,Master_Produk!$D$1:$D$16,,0)</f>
        <v>22000</v>
      </c>
      <c r="K109" s="19">
        <f>INDEX(Master_Produk!$E$1:$E$16,MATCH(Lembar_Kerja_Analisis!A109,Master_Produk!$A$1:$A$16,0))</f>
        <v>18000</v>
      </c>
      <c r="L109" s="8">
        <v>15</v>
      </c>
      <c r="M109" s="19">
        <f t="shared" si="5"/>
        <v>330000</v>
      </c>
      <c r="N109" s="9">
        <v>0.1</v>
      </c>
      <c r="O109" s="19">
        <f t="shared" si="6"/>
        <v>33000</v>
      </c>
      <c r="P109" s="19">
        <f t="shared" si="7"/>
        <v>297000</v>
      </c>
      <c r="Q109" s="19">
        <f t="shared" si="8"/>
        <v>270000</v>
      </c>
      <c r="R109" s="19">
        <f t="shared" si="9"/>
        <v>27000</v>
      </c>
    </row>
    <row r="110" spans="1:18" x14ac:dyDescent="0.25">
      <c r="A110" t="str">
        <f>_xlfn.XLOOKUP(C110,Raw_Data_Transaksi!$A$1:$A$1001,Raw_Data_Transaksi!$D$1:$D$1001,,0)</f>
        <v>PRD-101</v>
      </c>
      <c r="B110" t="str">
        <f>_xlfn.XLOOKUP(C110,Raw_Data_Transaksi!$A$1:$A$1001,Raw_Data_Transaksi!$C$1:$C$1001,,0)</f>
        <v>SLS-07</v>
      </c>
      <c r="C110" s="6" t="s">
        <v>194</v>
      </c>
      <c r="D110" s="7">
        <v>45964</v>
      </c>
      <c r="E110" s="10" t="str">
        <f>VLOOKUP(B110,Master_Sales!$A$1:$D$9,2,FALSE)</f>
        <v>Gita Permata</v>
      </c>
      <c r="F110" s="10" t="str">
        <f>INDEX(Master_Sales!$D$1:$D$9,MATCH(Lembar_Kerja_Analisis!B110,Master_Sales!$A$1:$A$9,0))</f>
        <v>Tengah</v>
      </c>
      <c r="G110" s="10" t="str">
        <f>INDEX(Master_Sales!$C$1:$C$9,MATCH(Lembar_Kerja_Analisis!B110,Master_Sales!$A$1:$A$9,0))</f>
        <v>Denpasar</v>
      </c>
      <c r="H110" s="10" t="str">
        <f>VLOOKUP(A110,Master_Produk!$A$1:$E$16,2,FALSE)</f>
        <v>Laptop Ultrabook 14"</v>
      </c>
      <c r="I110" s="10" t="str">
        <f>INDEX(Master_Produk!$C$1:$C$16,MATCH(Lembar_Kerja_Analisis!A110,Master_Produk!$A$1:$A$16,0))</f>
        <v>Elektronik</v>
      </c>
      <c r="J110" s="19">
        <f>_xlfn.XLOOKUP(A110,Master_Produk!$A$1:$A$16,Master_Produk!$D$1:$D$16,,0)</f>
        <v>8500000</v>
      </c>
      <c r="K110" s="19">
        <f>INDEX(Master_Produk!$E$1:$E$16,MATCH(Lembar_Kerja_Analisis!A110,Master_Produk!$A$1:$A$16,0))</f>
        <v>7200000</v>
      </c>
      <c r="L110" s="8">
        <v>12</v>
      </c>
      <c r="M110" s="19">
        <f t="shared" si="5"/>
        <v>102000000</v>
      </c>
      <c r="N110" s="9">
        <v>0.1</v>
      </c>
      <c r="O110" s="19">
        <f t="shared" si="6"/>
        <v>10200000</v>
      </c>
      <c r="P110" s="19">
        <f t="shared" si="7"/>
        <v>91800000</v>
      </c>
      <c r="Q110" s="19">
        <f t="shared" si="8"/>
        <v>86400000</v>
      </c>
      <c r="R110" s="19">
        <f t="shared" si="9"/>
        <v>5400000</v>
      </c>
    </row>
    <row r="111" spans="1:18" x14ac:dyDescent="0.25">
      <c r="A111" t="str">
        <f>_xlfn.XLOOKUP(C111,Raw_Data_Transaksi!$A$1:$A$1001,Raw_Data_Transaksi!$D$1:$D$1001,,0)</f>
        <v>PRD-111</v>
      </c>
      <c r="B111" t="str">
        <f>_xlfn.XLOOKUP(C111,Raw_Data_Transaksi!$A$1:$A$1001,Raw_Data_Transaksi!$C$1:$C$1001,,0)</f>
        <v>SLS-01</v>
      </c>
      <c r="C111" s="6" t="s">
        <v>195</v>
      </c>
      <c r="D111" s="7">
        <v>45775</v>
      </c>
      <c r="E111" s="10" t="str">
        <f>VLOOKUP(B111,Master_Sales!$A$1:$D$9,2,FALSE)</f>
        <v>Andi Pratama</v>
      </c>
      <c r="F111" s="10" t="str">
        <f>INDEX(Master_Sales!$D$1:$D$9,MATCH(Lembar_Kerja_Analisis!B111,Master_Sales!$A$1:$A$9,0))</f>
        <v>Barat</v>
      </c>
      <c r="G111" s="10" t="str">
        <f>INDEX(Master_Sales!$C$1:$C$9,MATCH(Lembar_Kerja_Analisis!B111,Master_Sales!$A$1:$A$9,0))</f>
        <v>Jakarta</v>
      </c>
      <c r="H111" s="10" t="str">
        <f>VLOOKUP(A111,Master_Produk!$A$1:$E$16,2,FALSE)</f>
        <v>Beras Premium 5kg</v>
      </c>
      <c r="I111" s="10" t="str">
        <f>INDEX(Master_Produk!$C$1:$C$16,MATCH(Lembar_Kerja_Analisis!A111,Master_Produk!$A$1:$A$16,0))</f>
        <v>F&amp;B</v>
      </c>
      <c r="J111" s="19">
        <f>_xlfn.XLOOKUP(A111,Master_Produk!$A$1:$A$16,Master_Produk!$D$1:$D$16,,0)</f>
        <v>74000</v>
      </c>
      <c r="K111" s="19">
        <f>INDEX(Master_Produk!$E$1:$E$16,MATCH(Lembar_Kerja_Analisis!A111,Master_Produk!$A$1:$A$16,0))</f>
        <v>65000</v>
      </c>
      <c r="L111" s="8">
        <v>29</v>
      </c>
      <c r="M111" s="19">
        <f t="shared" si="5"/>
        <v>2146000</v>
      </c>
      <c r="N111" s="9">
        <v>0.1</v>
      </c>
      <c r="O111" s="19">
        <f t="shared" si="6"/>
        <v>214600</v>
      </c>
      <c r="P111" s="19">
        <f t="shared" si="7"/>
        <v>1931400</v>
      </c>
      <c r="Q111" s="19">
        <f t="shared" si="8"/>
        <v>1885000</v>
      </c>
      <c r="R111" s="19">
        <f t="shared" si="9"/>
        <v>46400</v>
      </c>
    </row>
    <row r="112" spans="1:18" x14ac:dyDescent="0.25">
      <c r="A112" t="str">
        <f>_xlfn.XLOOKUP(C112,Raw_Data_Transaksi!$A$1:$A$1001,Raw_Data_Transaksi!$D$1:$D$1001,,0)</f>
        <v>PRD-111</v>
      </c>
      <c r="B112" t="str">
        <f>_xlfn.XLOOKUP(C112,Raw_Data_Transaksi!$A$1:$A$1001,Raw_Data_Transaksi!$C$1:$C$1001,,0)</f>
        <v>SLS-08</v>
      </c>
      <c r="C112" s="6" t="s">
        <v>196</v>
      </c>
      <c r="D112" s="7">
        <v>45923</v>
      </c>
      <c r="E112" s="10" t="str">
        <f>VLOOKUP(B112,Master_Sales!$A$1:$D$9,2,FALSE)</f>
        <v>Hendra Wijaya</v>
      </c>
      <c r="F112" s="10" t="str">
        <f>INDEX(Master_Sales!$D$1:$D$9,MATCH(Lembar_Kerja_Analisis!B112,Master_Sales!$A$1:$A$9,0))</f>
        <v>Tengah</v>
      </c>
      <c r="G112" s="10" t="str">
        <f>INDEX(Master_Sales!$C$1:$C$9,MATCH(Lembar_Kerja_Analisis!B112,Master_Sales!$A$1:$A$9,0))</f>
        <v>Yogyakarta</v>
      </c>
      <c r="H112" s="10" t="str">
        <f>VLOOKUP(A112,Master_Produk!$A$1:$E$16,2,FALSE)</f>
        <v>Beras Premium 5kg</v>
      </c>
      <c r="I112" s="10" t="str">
        <f>INDEX(Master_Produk!$C$1:$C$16,MATCH(Lembar_Kerja_Analisis!A112,Master_Produk!$A$1:$A$16,0))</f>
        <v>F&amp;B</v>
      </c>
      <c r="J112" s="19">
        <f>_xlfn.XLOOKUP(A112,Master_Produk!$A$1:$A$16,Master_Produk!$D$1:$D$16,,0)</f>
        <v>74000</v>
      </c>
      <c r="K112" s="19">
        <f>INDEX(Master_Produk!$E$1:$E$16,MATCH(Lembar_Kerja_Analisis!A112,Master_Produk!$A$1:$A$16,0))</f>
        <v>65000</v>
      </c>
      <c r="L112" s="8">
        <v>8</v>
      </c>
      <c r="M112" s="19">
        <f t="shared" si="5"/>
        <v>592000</v>
      </c>
      <c r="N112" s="9">
        <v>0.2</v>
      </c>
      <c r="O112" s="19">
        <f t="shared" si="6"/>
        <v>118400</v>
      </c>
      <c r="P112" s="19">
        <f t="shared" si="7"/>
        <v>473600</v>
      </c>
      <c r="Q112" s="19">
        <f t="shared" si="8"/>
        <v>520000</v>
      </c>
      <c r="R112" s="19">
        <f t="shared" si="9"/>
        <v>-46400</v>
      </c>
    </row>
    <row r="113" spans="1:18" x14ac:dyDescent="0.25">
      <c r="A113" t="str">
        <f>_xlfn.XLOOKUP(C113,Raw_Data_Transaksi!$A$1:$A$1001,Raw_Data_Transaksi!$D$1:$D$1001,,0)</f>
        <v>PRD-108</v>
      </c>
      <c r="B113" t="str">
        <f>_xlfn.XLOOKUP(C113,Raw_Data_Transaksi!$A$1:$A$1001,Raw_Data_Transaksi!$C$1:$C$1001,,0)</f>
        <v>SLS-06</v>
      </c>
      <c r="C113" s="6" t="s">
        <v>197</v>
      </c>
      <c r="D113" s="7">
        <v>45704</v>
      </c>
      <c r="E113" s="10" t="str">
        <f>VLOOKUP(B113,Master_Sales!$A$1:$D$9,2,FALSE)</f>
        <v>Fajar Nugraha</v>
      </c>
      <c r="F113" s="10" t="str">
        <f>INDEX(Master_Sales!$D$1:$D$9,MATCH(Lembar_Kerja_Analisis!B113,Master_Sales!$A$1:$A$9,0))</f>
        <v>Timur</v>
      </c>
      <c r="G113" s="10" t="str">
        <f>INDEX(Master_Sales!$C$1:$C$9,MATCH(Lembar_Kerja_Analisis!B113,Master_Sales!$A$1:$A$9,0))</f>
        <v>Makassar</v>
      </c>
      <c r="H113" s="10" t="str">
        <f>VLOOKUP(A113,Master_Produk!$A$1:$E$16,2,FALSE)</f>
        <v>Sepatu Sneakers Pria/Wanita</v>
      </c>
      <c r="I113" s="10" t="str">
        <f>INDEX(Master_Produk!$C$1:$C$16,MATCH(Lembar_Kerja_Analisis!A113,Master_Produk!$A$1:$A$16,0))</f>
        <v>Fashion</v>
      </c>
      <c r="J113" s="19">
        <f>_xlfn.XLOOKUP(A113,Master_Produk!$A$1:$A$16,Master_Produk!$D$1:$D$16,,0)</f>
        <v>450000</v>
      </c>
      <c r="K113" s="19">
        <f>INDEX(Master_Produk!$E$1:$E$16,MATCH(Lembar_Kerja_Analisis!A113,Master_Produk!$A$1:$A$16,0))</f>
        <v>290000</v>
      </c>
      <c r="L113" s="8">
        <v>7</v>
      </c>
      <c r="M113" s="19">
        <f t="shared" si="5"/>
        <v>3150000</v>
      </c>
      <c r="N113" s="9">
        <v>0.1</v>
      </c>
      <c r="O113" s="19">
        <f t="shared" si="6"/>
        <v>315000</v>
      </c>
      <c r="P113" s="19">
        <f t="shared" si="7"/>
        <v>2835000</v>
      </c>
      <c r="Q113" s="19">
        <f t="shared" si="8"/>
        <v>2030000</v>
      </c>
      <c r="R113" s="19">
        <f t="shared" si="9"/>
        <v>805000</v>
      </c>
    </row>
    <row r="114" spans="1:18" x14ac:dyDescent="0.25">
      <c r="A114" t="str">
        <f>_xlfn.XLOOKUP(C114,Raw_Data_Transaksi!$A$1:$A$1001,Raw_Data_Transaksi!$D$1:$D$1001,,0)</f>
        <v>PRD-106</v>
      </c>
      <c r="B114" t="str">
        <f>_xlfn.XLOOKUP(C114,Raw_Data_Transaksi!$A$1:$A$1001,Raw_Data_Transaksi!$C$1:$C$1001,,0)</f>
        <v>SLS-07</v>
      </c>
      <c r="C114" s="6" t="s">
        <v>198</v>
      </c>
      <c r="D114" s="7">
        <v>45740</v>
      </c>
      <c r="E114" s="10" t="str">
        <f>VLOOKUP(B114,Master_Sales!$A$1:$D$9,2,FALSE)</f>
        <v>Gita Permata</v>
      </c>
      <c r="F114" s="10" t="str">
        <f>INDEX(Master_Sales!$D$1:$D$9,MATCH(Lembar_Kerja_Analisis!B114,Master_Sales!$A$1:$A$9,0))</f>
        <v>Tengah</v>
      </c>
      <c r="G114" s="10" t="str">
        <f>INDEX(Master_Sales!$C$1:$C$9,MATCH(Lembar_Kerja_Analisis!B114,Master_Sales!$A$1:$A$9,0))</f>
        <v>Denpasar</v>
      </c>
      <c r="H114" s="10" t="str">
        <f>VLOOKUP(A114,Master_Produk!$A$1:$E$16,2,FALSE)</f>
        <v>Celana Chino Slim Fit</v>
      </c>
      <c r="I114" s="10" t="str">
        <f>INDEX(Master_Produk!$C$1:$C$16,MATCH(Lembar_Kerja_Analisis!A114,Master_Produk!$A$1:$A$16,0))</f>
        <v>Fashion</v>
      </c>
      <c r="J114" s="19">
        <f>_xlfn.XLOOKUP(A114,Master_Produk!$A$1:$A$16,Master_Produk!$D$1:$D$16,,0)</f>
        <v>280000</v>
      </c>
      <c r="K114" s="19">
        <f>INDEX(Master_Produk!$E$1:$E$16,MATCH(Lembar_Kerja_Analisis!A114,Master_Produk!$A$1:$A$16,0))</f>
        <v>175000</v>
      </c>
      <c r="L114" s="8">
        <v>12</v>
      </c>
      <c r="M114" s="19">
        <f t="shared" si="5"/>
        <v>3360000</v>
      </c>
      <c r="N114" s="9">
        <v>0.15</v>
      </c>
      <c r="O114" s="19">
        <f t="shared" si="6"/>
        <v>504000</v>
      </c>
      <c r="P114" s="19">
        <f t="shared" si="7"/>
        <v>2856000</v>
      </c>
      <c r="Q114" s="19">
        <f t="shared" si="8"/>
        <v>2100000</v>
      </c>
      <c r="R114" s="19">
        <f t="shared" si="9"/>
        <v>756000</v>
      </c>
    </row>
    <row r="115" spans="1:18" x14ac:dyDescent="0.25">
      <c r="A115" t="str">
        <f>_xlfn.XLOOKUP(C115,Raw_Data_Transaksi!$A$1:$A$1001,Raw_Data_Transaksi!$D$1:$D$1001,,0)</f>
        <v>PRD-101</v>
      </c>
      <c r="B115" t="str">
        <f>_xlfn.XLOOKUP(C115,Raw_Data_Transaksi!$A$1:$A$1001,Raw_Data_Transaksi!$C$1:$C$1001,,0)</f>
        <v>SLS-08</v>
      </c>
      <c r="C115" s="6" t="s">
        <v>199</v>
      </c>
      <c r="D115" s="7">
        <v>45939</v>
      </c>
      <c r="E115" s="10" t="str">
        <f>VLOOKUP(B115,Master_Sales!$A$1:$D$9,2,FALSE)</f>
        <v>Hendra Wijaya</v>
      </c>
      <c r="F115" s="10" t="str">
        <f>INDEX(Master_Sales!$D$1:$D$9,MATCH(Lembar_Kerja_Analisis!B115,Master_Sales!$A$1:$A$9,0))</f>
        <v>Tengah</v>
      </c>
      <c r="G115" s="10" t="str">
        <f>INDEX(Master_Sales!$C$1:$C$9,MATCH(Lembar_Kerja_Analisis!B115,Master_Sales!$A$1:$A$9,0))</f>
        <v>Yogyakarta</v>
      </c>
      <c r="H115" s="10" t="str">
        <f>VLOOKUP(A115,Master_Produk!$A$1:$E$16,2,FALSE)</f>
        <v>Laptop Ultrabook 14"</v>
      </c>
      <c r="I115" s="10" t="str">
        <f>INDEX(Master_Produk!$C$1:$C$16,MATCH(Lembar_Kerja_Analisis!A115,Master_Produk!$A$1:$A$16,0))</f>
        <v>Elektronik</v>
      </c>
      <c r="J115" s="19">
        <f>_xlfn.XLOOKUP(A115,Master_Produk!$A$1:$A$16,Master_Produk!$D$1:$D$16,,0)</f>
        <v>8500000</v>
      </c>
      <c r="K115" s="19">
        <f>INDEX(Master_Produk!$E$1:$E$16,MATCH(Lembar_Kerja_Analisis!A115,Master_Produk!$A$1:$A$16,0))</f>
        <v>7200000</v>
      </c>
      <c r="L115" s="8">
        <v>2</v>
      </c>
      <c r="M115" s="19">
        <f t="shared" si="5"/>
        <v>17000000</v>
      </c>
      <c r="N115" s="9">
        <v>0.1</v>
      </c>
      <c r="O115" s="19">
        <f t="shared" si="6"/>
        <v>1700000</v>
      </c>
      <c r="P115" s="19">
        <f t="shared" si="7"/>
        <v>15300000</v>
      </c>
      <c r="Q115" s="19">
        <f t="shared" si="8"/>
        <v>14400000</v>
      </c>
      <c r="R115" s="19">
        <f t="shared" si="9"/>
        <v>900000</v>
      </c>
    </row>
    <row r="116" spans="1:18" x14ac:dyDescent="0.25">
      <c r="A116" t="str">
        <f>_xlfn.XLOOKUP(C116,Raw_Data_Transaksi!$A$1:$A$1001,Raw_Data_Transaksi!$D$1:$D$1001,,0)</f>
        <v>PRD-114</v>
      </c>
      <c r="B116" t="str">
        <f>_xlfn.XLOOKUP(C116,Raw_Data_Transaksi!$A$1:$A$1001,Raw_Data_Transaksi!$C$1:$C$1001,,0)</f>
        <v>SLS-01</v>
      </c>
      <c r="C116" s="6" t="s">
        <v>200</v>
      </c>
      <c r="D116" s="7">
        <v>45864</v>
      </c>
      <c r="E116" s="10" t="str">
        <f>VLOOKUP(B116,Master_Sales!$A$1:$D$9,2,FALSE)</f>
        <v>Andi Pratama</v>
      </c>
      <c r="F116" s="10" t="str">
        <f>INDEX(Master_Sales!$D$1:$D$9,MATCH(Lembar_Kerja_Analisis!B116,Master_Sales!$A$1:$A$9,0))</f>
        <v>Barat</v>
      </c>
      <c r="G116" s="10" t="str">
        <f>INDEX(Master_Sales!$C$1:$C$9,MATCH(Lembar_Kerja_Analisis!B116,Master_Sales!$A$1:$A$9,0))</f>
        <v>Jakarta</v>
      </c>
      <c r="H116" s="10" t="str">
        <f>VLOOKUP(A116,Master_Produk!$A$1:$E$16,2,FALSE)</f>
        <v>Blender Multifungsi 2-in-1</v>
      </c>
      <c r="I116" s="10" t="str">
        <f>INDEX(Master_Produk!$C$1:$C$16,MATCH(Lembar_Kerja_Analisis!A116,Master_Produk!$A$1:$A$16,0))</f>
        <v>Peralatan Rumah</v>
      </c>
      <c r="J116" s="19">
        <f>_xlfn.XLOOKUP(A116,Master_Produk!$A$1:$A$16,Master_Produk!$D$1:$D$16,,0)</f>
        <v>340000</v>
      </c>
      <c r="K116" s="19">
        <f>INDEX(Master_Produk!$E$1:$E$16,MATCH(Lembar_Kerja_Analisis!A116,Master_Produk!$A$1:$A$16,0))</f>
        <v>240000</v>
      </c>
      <c r="L116" s="8">
        <v>11</v>
      </c>
      <c r="M116" s="19">
        <f t="shared" si="5"/>
        <v>3740000</v>
      </c>
      <c r="N116" s="9">
        <v>0.2</v>
      </c>
      <c r="O116" s="19">
        <f t="shared" si="6"/>
        <v>748000</v>
      </c>
      <c r="P116" s="19">
        <f t="shared" si="7"/>
        <v>2992000</v>
      </c>
      <c r="Q116" s="19">
        <f t="shared" si="8"/>
        <v>2640000</v>
      </c>
      <c r="R116" s="19">
        <f t="shared" si="9"/>
        <v>352000</v>
      </c>
    </row>
    <row r="117" spans="1:18" x14ac:dyDescent="0.25">
      <c r="A117" t="str">
        <f>_xlfn.XLOOKUP(C117,Raw_Data_Transaksi!$A$1:$A$1001,Raw_Data_Transaksi!$D$1:$D$1001,,0)</f>
        <v>PRD-109</v>
      </c>
      <c r="B117" t="str">
        <f>_xlfn.XLOOKUP(C117,Raw_Data_Transaksi!$A$1:$A$1001,Raw_Data_Transaksi!$C$1:$C$1001,,0)</f>
        <v>SLS-06</v>
      </c>
      <c r="C117" s="6" t="s">
        <v>201</v>
      </c>
      <c r="D117" s="7">
        <v>45754</v>
      </c>
      <c r="E117" s="10" t="str">
        <f>VLOOKUP(B117,Master_Sales!$A$1:$D$9,2,FALSE)</f>
        <v>Fajar Nugraha</v>
      </c>
      <c r="F117" s="10" t="str">
        <f>INDEX(Master_Sales!$D$1:$D$9,MATCH(Lembar_Kerja_Analisis!B117,Master_Sales!$A$1:$A$9,0))</f>
        <v>Timur</v>
      </c>
      <c r="G117" s="10" t="str">
        <f>INDEX(Master_Sales!$C$1:$C$9,MATCH(Lembar_Kerja_Analisis!B117,Master_Sales!$A$1:$A$9,0))</f>
        <v>Makassar</v>
      </c>
      <c r="H117" s="10" t="str">
        <f>VLOOKUP(A117,Master_Produk!$A$1:$E$16,2,FALSE)</f>
        <v>Kopi Arabika Gayo 250g</v>
      </c>
      <c r="I117" s="10" t="str">
        <f>INDEX(Master_Produk!$C$1:$C$16,MATCH(Lembar_Kerja_Analisis!A117,Master_Produk!$A$1:$A$16,0))</f>
        <v>F&amp;B</v>
      </c>
      <c r="J117" s="19">
        <f>_xlfn.XLOOKUP(A117,Master_Produk!$A$1:$A$16,Master_Produk!$D$1:$D$16,,0)</f>
        <v>85000</v>
      </c>
      <c r="K117" s="19">
        <f>INDEX(Master_Produk!$E$1:$E$16,MATCH(Lembar_Kerja_Analisis!A117,Master_Produk!$A$1:$A$16,0))</f>
        <v>55000</v>
      </c>
      <c r="L117" s="8">
        <v>27</v>
      </c>
      <c r="M117" s="19">
        <f t="shared" si="5"/>
        <v>2295000</v>
      </c>
      <c r="N117" s="9">
        <v>0.15</v>
      </c>
      <c r="O117" s="19">
        <f t="shared" si="6"/>
        <v>344250</v>
      </c>
      <c r="P117" s="19">
        <f t="shared" si="7"/>
        <v>1950750</v>
      </c>
      <c r="Q117" s="19">
        <f t="shared" si="8"/>
        <v>1485000</v>
      </c>
      <c r="R117" s="19">
        <f t="shared" si="9"/>
        <v>465750</v>
      </c>
    </row>
    <row r="118" spans="1:18" x14ac:dyDescent="0.25">
      <c r="A118" t="str">
        <f>_xlfn.XLOOKUP(C118,Raw_Data_Transaksi!$A$1:$A$1001,Raw_Data_Transaksi!$D$1:$D$1001,,0)</f>
        <v>PRD-109</v>
      </c>
      <c r="B118" t="str">
        <f>_xlfn.XLOOKUP(C118,Raw_Data_Transaksi!$A$1:$A$1001,Raw_Data_Transaksi!$C$1:$C$1001,,0)</f>
        <v>SLS-03</v>
      </c>
      <c r="C118" s="6" t="s">
        <v>202</v>
      </c>
      <c r="D118" s="7">
        <v>45794</v>
      </c>
      <c r="E118" s="10" t="str">
        <f>VLOOKUP(B118,Master_Sales!$A$1:$D$9,2,FALSE)</f>
        <v>Citra Lestari</v>
      </c>
      <c r="F118" s="10" t="str">
        <f>INDEX(Master_Sales!$D$1:$D$9,MATCH(Lembar_Kerja_Analisis!B118,Master_Sales!$A$1:$A$9,0))</f>
        <v>Barat</v>
      </c>
      <c r="G118" s="10" t="str">
        <f>INDEX(Master_Sales!$C$1:$C$9,MATCH(Lembar_Kerja_Analisis!B118,Master_Sales!$A$1:$A$9,0))</f>
        <v>Bandung</v>
      </c>
      <c r="H118" s="10" t="str">
        <f>VLOOKUP(A118,Master_Produk!$A$1:$E$16,2,FALSE)</f>
        <v>Kopi Arabika Gayo 250g</v>
      </c>
      <c r="I118" s="10" t="str">
        <f>INDEX(Master_Produk!$C$1:$C$16,MATCH(Lembar_Kerja_Analisis!A118,Master_Produk!$A$1:$A$16,0))</f>
        <v>F&amp;B</v>
      </c>
      <c r="J118" s="19">
        <f>_xlfn.XLOOKUP(A118,Master_Produk!$A$1:$A$16,Master_Produk!$D$1:$D$16,,0)</f>
        <v>85000</v>
      </c>
      <c r="K118" s="19">
        <f>INDEX(Master_Produk!$E$1:$E$16,MATCH(Lembar_Kerja_Analisis!A118,Master_Produk!$A$1:$A$16,0))</f>
        <v>55000</v>
      </c>
      <c r="L118" s="8">
        <v>17</v>
      </c>
      <c r="M118" s="19">
        <f t="shared" si="5"/>
        <v>1445000</v>
      </c>
      <c r="N118" s="9">
        <v>0.15</v>
      </c>
      <c r="O118" s="19">
        <f t="shared" si="6"/>
        <v>216750</v>
      </c>
      <c r="P118" s="19">
        <f t="shared" si="7"/>
        <v>1228250</v>
      </c>
      <c r="Q118" s="19">
        <f t="shared" si="8"/>
        <v>935000</v>
      </c>
      <c r="R118" s="19">
        <f t="shared" si="9"/>
        <v>293250</v>
      </c>
    </row>
    <row r="119" spans="1:18" x14ac:dyDescent="0.25">
      <c r="A119" t="str">
        <f>_xlfn.XLOOKUP(C119,Raw_Data_Transaksi!$A$1:$A$1001,Raw_Data_Transaksi!$D$1:$D$1001,,0)</f>
        <v>PRD-103</v>
      </c>
      <c r="B119" t="str">
        <f>_xlfn.XLOOKUP(C119,Raw_Data_Transaksi!$A$1:$A$1001,Raw_Data_Transaksi!$C$1:$C$1001,,0)</f>
        <v>SLS-05</v>
      </c>
      <c r="C119" s="6" t="s">
        <v>203</v>
      </c>
      <c r="D119" s="7">
        <v>46021</v>
      </c>
      <c r="E119" s="10" t="str">
        <f>VLOOKUP(B119,Master_Sales!$A$1:$D$9,2,FALSE)</f>
        <v>Eko Prasetyo</v>
      </c>
      <c r="F119" s="10" t="str">
        <f>INDEX(Master_Sales!$D$1:$D$9,MATCH(Lembar_Kerja_Analisis!B119,Master_Sales!$A$1:$A$9,0))</f>
        <v>Tengah</v>
      </c>
      <c r="G119" s="10" t="str">
        <f>INDEX(Master_Sales!$C$1:$C$9,MATCH(Lembar_Kerja_Analisis!B119,Master_Sales!$A$1:$A$9,0))</f>
        <v>Semarang</v>
      </c>
      <c r="H119" s="10" t="str">
        <f>VLOOKUP(A119,Master_Produk!$A$1:$E$16,2,FALSE)</f>
        <v>Mechanical Keyboard RGB</v>
      </c>
      <c r="I119" s="10" t="str">
        <f>INDEX(Master_Produk!$C$1:$C$16,MATCH(Lembar_Kerja_Analisis!A119,Master_Produk!$A$1:$A$16,0))</f>
        <v>Elektronik</v>
      </c>
      <c r="J119" s="19">
        <f>_xlfn.XLOOKUP(A119,Master_Produk!$A$1:$A$16,Master_Produk!$D$1:$D$16,,0)</f>
        <v>750000</v>
      </c>
      <c r="K119" s="19">
        <f>INDEX(Master_Produk!$E$1:$E$16,MATCH(Lembar_Kerja_Analisis!A119,Master_Produk!$A$1:$A$16,0))</f>
        <v>520000</v>
      </c>
      <c r="L119" s="8">
        <v>9</v>
      </c>
      <c r="M119" s="19">
        <f t="shared" si="5"/>
        <v>6750000</v>
      </c>
      <c r="N119" s="9">
        <v>0</v>
      </c>
      <c r="O119" s="19">
        <f t="shared" si="6"/>
        <v>0</v>
      </c>
      <c r="P119" s="19">
        <f t="shared" si="7"/>
        <v>6750000</v>
      </c>
      <c r="Q119" s="19">
        <f t="shared" si="8"/>
        <v>4680000</v>
      </c>
      <c r="R119" s="19">
        <f t="shared" si="9"/>
        <v>2070000</v>
      </c>
    </row>
    <row r="120" spans="1:18" x14ac:dyDescent="0.25">
      <c r="A120" t="str">
        <f>_xlfn.XLOOKUP(C120,Raw_Data_Transaksi!$A$1:$A$1001,Raw_Data_Transaksi!$D$1:$D$1001,,0)</f>
        <v>PRD-108</v>
      </c>
      <c r="B120" t="str">
        <f>_xlfn.XLOOKUP(C120,Raw_Data_Transaksi!$A$1:$A$1001,Raw_Data_Transaksi!$C$1:$C$1001,,0)</f>
        <v>SLS-02</v>
      </c>
      <c r="C120" s="6" t="s">
        <v>204</v>
      </c>
      <c r="D120" s="7">
        <v>45716</v>
      </c>
      <c r="E120" s="10" t="str">
        <f>VLOOKUP(B120,Master_Sales!$A$1:$D$9,2,FALSE)</f>
        <v>Budi Santoso</v>
      </c>
      <c r="F120" s="10" t="str">
        <f>INDEX(Master_Sales!$D$1:$D$9,MATCH(Lembar_Kerja_Analisis!B120,Master_Sales!$A$1:$A$9,0))</f>
        <v>Timur</v>
      </c>
      <c r="G120" s="10" t="str">
        <f>INDEX(Master_Sales!$C$1:$C$9,MATCH(Lembar_Kerja_Analisis!B120,Master_Sales!$A$1:$A$9,0))</f>
        <v>Surabaya</v>
      </c>
      <c r="H120" s="10" t="str">
        <f>VLOOKUP(A120,Master_Produk!$A$1:$E$16,2,FALSE)</f>
        <v>Sepatu Sneakers Pria/Wanita</v>
      </c>
      <c r="I120" s="10" t="str">
        <f>INDEX(Master_Produk!$C$1:$C$16,MATCH(Lembar_Kerja_Analisis!A120,Master_Produk!$A$1:$A$16,0))</f>
        <v>Fashion</v>
      </c>
      <c r="J120" s="19">
        <f>_xlfn.XLOOKUP(A120,Master_Produk!$A$1:$A$16,Master_Produk!$D$1:$D$16,,0)</f>
        <v>450000</v>
      </c>
      <c r="K120" s="19">
        <f>INDEX(Master_Produk!$E$1:$E$16,MATCH(Lembar_Kerja_Analisis!A120,Master_Produk!$A$1:$A$16,0))</f>
        <v>290000</v>
      </c>
      <c r="L120" s="8">
        <v>11</v>
      </c>
      <c r="M120" s="19">
        <f t="shared" si="5"/>
        <v>4950000</v>
      </c>
      <c r="N120" s="9">
        <v>0.05</v>
      </c>
      <c r="O120" s="19">
        <f t="shared" si="6"/>
        <v>247500</v>
      </c>
      <c r="P120" s="19">
        <f t="shared" si="7"/>
        <v>4702500</v>
      </c>
      <c r="Q120" s="19">
        <f t="shared" si="8"/>
        <v>3190000</v>
      </c>
      <c r="R120" s="19">
        <f t="shared" si="9"/>
        <v>1512500</v>
      </c>
    </row>
    <row r="121" spans="1:18" x14ac:dyDescent="0.25">
      <c r="A121" t="str">
        <f>_xlfn.XLOOKUP(C121,Raw_Data_Transaksi!$A$1:$A$1001,Raw_Data_Transaksi!$D$1:$D$1001,,0)</f>
        <v>PRD-112</v>
      </c>
      <c r="B121" t="str">
        <f>_xlfn.XLOOKUP(C121,Raw_Data_Transaksi!$A$1:$A$1001,Raw_Data_Transaksi!$C$1:$C$1001,,0)</f>
        <v>SLS-05</v>
      </c>
      <c r="C121" s="6" t="s">
        <v>205</v>
      </c>
      <c r="D121" s="7">
        <v>45918</v>
      </c>
      <c r="E121" s="10" t="str">
        <f>VLOOKUP(B121,Master_Sales!$A$1:$D$9,2,FALSE)</f>
        <v>Eko Prasetyo</v>
      </c>
      <c r="F121" s="10" t="str">
        <f>INDEX(Master_Sales!$D$1:$D$9,MATCH(Lembar_Kerja_Analisis!B121,Master_Sales!$A$1:$A$9,0))</f>
        <v>Tengah</v>
      </c>
      <c r="G121" s="10" t="str">
        <f>INDEX(Master_Sales!$C$1:$C$9,MATCH(Lembar_Kerja_Analisis!B121,Master_Sales!$A$1:$A$9,0))</f>
        <v>Semarang</v>
      </c>
      <c r="H121" s="10" t="str">
        <f>VLOOKUP(A121,Master_Produk!$A$1:$E$16,2,FALSE)</f>
        <v>Susu UHT Full Cream 1L</v>
      </c>
      <c r="I121" s="10" t="str">
        <f>INDEX(Master_Produk!$C$1:$C$16,MATCH(Lembar_Kerja_Analisis!A121,Master_Produk!$A$1:$A$16,0))</f>
        <v>F&amp;B</v>
      </c>
      <c r="J121" s="19">
        <f>_xlfn.XLOOKUP(A121,Master_Produk!$A$1:$A$16,Master_Produk!$D$1:$D$16,,0)</f>
        <v>22000</v>
      </c>
      <c r="K121" s="19">
        <f>INDEX(Master_Produk!$E$1:$E$16,MATCH(Lembar_Kerja_Analisis!A121,Master_Produk!$A$1:$A$16,0))</f>
        <v>18000</v>
      </c>
      <c r="L121" s="8">
        <v>29</v>
      </c>
      <c r="M121" s="19">
        <f t="shared" si="5"/>
        <v>638000</v>
      </c>
      <c r="N121" s="9">
        <v>0.15</v>
      </c>
      <c r="O121" s="19">
        <f t="shared" si="6"/>
        <v>95700</v>
      </c>
      <c r="P121" s="19">
        <f t="shared" si="7"/>
        <v>542300</v>
      </c>
      <c r="Q121" s="19">
        <f t="shared" si="8"/>
        <v>522000</v>
      </c>
      <c r="R121" s="19">
        <f t="shared" si="9"/>
        <v>20300</v>
      </c>
    </row>
    <row r="122" spans="1:18" x14ac:dyDescent="0.25">
      <c r="A122" t="str">
        <f>_xlfn.XLOOKUP(C122,Raw_Data_Transaksi!$A$1:$A$1001,Raw_Data_Transaksi!$D$1:$D$1001,,0)</f>
        <v>PRD-103</v>
      </c>
      <c r="B122" t="str">
        <f>_xlfn.XLOOKUP(C122,Raw_Data_Transaksi!$A$1:$A$1001,Raw_Data_Transaksi!$C$1:$C$1001,,0)</f>
        <v>SLS-07</v>
      </c>
      <c r="C122" s="6" t="s">
        <v>206</v>
      </c>
      <c r="D122" s="7">
        <v>45940</v>
      </c>
      <c r="E122" s="10" t="str">
        <f>VLOOKUP(B122,Master_Sales!$A$1:$D$9,2,FALSE)</f>
        <v>Gita Permata</v>
      </c>
      <c r="F122" s="10" t="str">
        <f>INDEX(Master_Sales!$D$1:$D$9,MATCH(Lembar_Kerja_Analisis!B122,Master_Sales!$A$1:$A$9,0))</f>
        <v>Tengah</v>
      </c>
      <c r="G122" s="10" t="str">
        <f>INDEX(Master_Sales!$C$1:$C$9,MATCH(Lembar_Kerja_Analisis!B122,Master_Sales!$A$1:$A$9,0))</f>
        <v>Denpasar</v>
      </c>
      <c r="H122" s="10" t="str">
        <f>VLOOKUP(A122,Master_Produk!$A$1:$E$16,2,FALSE)</f>
        <v>Mechanical Keyboard RGB</v>
      </c>
      <c r="I122" s="10" t="str">
        <f>INDEX(Master_Produk!$C$1:$C$16,MATCH(Lembar_Kerja_Analisis!A122,Master_Produk!$A$1:$A$16,0))</f>
        <v>Elektronik</v>
      </c>
      <c r="J122" s="19">
        <f>_xlfn.XLOOKUP(A122,Master_Produk!$A$1:$A$16,Master_Produk!$D$1:$D$16,,0)</f>
        <v>750000</v>
      </c>
      <c r="K122" s="19">
        <f>INDEX(Master_Produk!$E$1:$E$16,MATCH(Lembar_Kerja_Analisis!A122,Master_Produk!$A$1:$A$16,0))</f>
        <v>520000</v>
      </c>
      <c r="L122" s="8">
        <v>4</v>
      </c>
      <c r="M122" s="19">
        <f t="shared" si="5"/>
        <v>3000000</v>
      </c>
      <c r="N122" s="9">
        <v>0.2</v>
      </c>
      <c r="O122" s="19">
        <f t="shared" si="6"/>
        <v>600000</v>
      </c>
      <c r="P122" s="19">
        <f t="shared" si="7"/>
        <v>2400000</v>
      </c>
      <c r="Q122" s="19">
        <f t="shared" si="8"/>
        <v>2080000</v>
      </c>
      <c r="R122" s="19">
        <f t="shared" si="9"/>
        <v>320000</v>
      </c>
    </row>
    <row r="123" spans="1:18" x14ac:dyDescent="0.25">
      <c r="A123" t="str">
        <f>_xlfn.XLOOKUP(C123,Raw_Data_Transaksi!$A$1:$A$1001,Raw_Data_Transaksi!$D$1:$D$1001,,0)</f>
        <v>PRD-106</v>
      </c>
      <c r="B123" t="str">
        <f>_xlfn.XLOOKUP(C123,Raw_Data_Transaksi!$A$1:$A$1001,Raw_Data_Transaksi!$C$1:$C$1001,,0)</f>
        <v>SLS-05</v>
      </c>
      <c r="C123" s="6" t="s">
        <v>207</v>
      </c>
      <c r="D123" s="7">
        <v>45870</v>
      </c>
      <c r="E123" s="10" t="str">
        <f>VLOOKUP(B123,Master_Sales!$A$1:$D$9,2,FALSE)</f>
        <v>Eko Prasetyo</v>
      </c>
      <c r="F123" s="10" t="str">
        <f>INDEX(Master_Sales!$D$1:$D$9,MATCH(Lembar_Kerja_Analisis!B123,Master_Sales!$A$1:$A$9,0))</f>
        <v>Tengah</v>
      </c>
      <c r="G123" s="10" t="str">
        <f>INDEX(Master_Sales!$C$1:$C$9,MATCH(Lembar_Kerja_Analisis!B123,Master_Sales!$A$1:$A$9,0))</f>
        <v>Semarang</v>
      </c>
      <c r="H123" s="10" t="str">
        <f>VLOOKUP(A123,Master_Produk!$A$1:$E$16,2,FALSE)</f>
        <v>Celana Chino Slim Fit</v>
      </c>
      <c r="I123" s="10" t="str">
        <f>INDEX(Master_Produk!$C$1:$C$16,MATCH(Lembar_Kerja_Analisis!A123,Master_Produk!$A$1:$A$16,0))</f>
        <v>Fashion</v>
      </c>
      <c r="J123" s="19">
        <f>_xlfn.XLOOKUP(A123,Master_Produk!$A$1:$A$16,Master_Produk!$D$1:$D$16,,0)</f>
        <v>280000</v>
      </c>
      <c r="K123" s="19">
        <f>INDEX(Master_Produk!$E$1:$E$16,MATCH(Lembar_Kerja_Analisis!A123,Master_Produk!$A$1:$A$16,0))</f>
        <v>175000</v>
      </c>
      <c r="L123" s="8">
        <v>1</v>
      </c>
      <c r="M123" s="19">
        <f t="shared" si="5"/>
        <v>280000</v>
      </c>
      <c r="N123" s="9">
        <v>0.1</v>
      </c>
      <c r="O123" s="19">
        <f t="shared" si="6"/>
        <v>28000</v>
      </c>
      <c r="P123" s="19">
        <f t="shared" si="7"/>
        <v>252000</v>
      </c>
      <c r="Q123" s="19">
        <f t="shared" si="8"/>
        <v>175000</v>
      </c>
      <c r="R123" s="19">
        <f t="shared" si="9"/>
        <v>77000</v>
      </c>
    </row>
    <row r="124" spans="1:18" x14ac:dyDescent="0.25">
      <c r="A124" t="str">
        <f>_xlfn.XLOOKUP(C124,Raw_Data_Transaksi!$A$1:$A$1001,Raw_Data_Transaksi!$D$1:$D$1001,,0)</f>
        <v>PRD-108</v>
      </c>
      <c r="B124" t="str">
        <f>_xlfn.XLOOKUP(C124,Raw_Data_Transaksi!$A$1:$A$1001,Raw_Data_Transaksi!$C$1:$C$1001,,0)</f>
        <v>SLS-08</v>
      </c>
      <c r="C124" s="6" t="s">
        <v>208</v>
      </c>
      <c r="D124" s="7">
        <v>45734</v>
      </c>
      <c r="E124" s="10" t="str">
        <f>VLOOKUP(B124,Master_Sales!$A$1:$D$9,2,FALSE)</f>
        <v>Hendra Wijaya</v>
      </c>
      <c r="F124" s="10" t="str">
        <f>INDEX(Master_Sales!$D$1:$D$9,MATCH(Lembar_Kerja_Analisis!B124,Master_Sales!$A$1:$A$9,0))</f>
        <v>Tengah</v>
      </c>
      <c r="G124" s="10" t="str">
        <f>INDEX(Master_Sales!$C$1:$C$9,MATCH(Lembar_Kerja_Analisis!B124,Master_Sales!$A$1:$A$9,0))</f>
        <v>Yogyakarta</v>
      </c>
      <c r="H124" s="10" t="str">
        <f>VLOOKUP(A124,Master_Produk!$A$1:$E$16,2,FALSE)</f>
        <v>Sepatu Sneakers Pria/Wanita</v>
      </c>
      <c r="I124" s="10" t="str">
        <f>INDEX(Master_Produk!$C$1:$C$16,MATCH(Lembar_Kerja_Analisis!A124,Master_Produk!$A$1:$A$16,0))</f>
        <v>Fashion</v>
      </c>
      <c r="J124" s="19">
        <f>_xlfn.XLOOKUP(A124,Master_Produk!$A$1:$A$16,Master_Produk!$D$1:$D$16,,0)</f>
        <v>450000</v>
      </c>
      <c r="K124" s="19">
        <f>INDEX(Master_Produk!$E$1:$E$16,MATCH(Lembar_Kerja_Analisis!A124,Master_Produk!$A$1:$A$16,0))</f>
        <v>290000</v>
      </c>
      <c r="L124" s="8">
        <v>6</v>
      </c>
      <c r="M124" s="19">
        <f t="shared" si="5"/>
        <v>2700000</v>
      </c>
      <c r="N124" s="9">
        <v>0.1</v>
      </c>
      <c r="O124" s="19">
        <f t="shared" si="6"/>
        <v>270000</v>
      </c>
      <c r="P124" s="19">
        <f t="shared" si="7"/>
        <v>2430000</v>
      </c>
      <c r="Q124" s="19">
        <f t="shared" si="8"/>
        <v>1740000</v>
      </c>
      <c r="R124" s="19">
        <f t="shared" si="9"/>
        <v>690000</v>
      </c>
    </row>
    <row r="125" spans="1:18" x14ac:dyDescent="0.25">
      <c r="A125" t="str">
        <f>_xlfn.XLOOKUP(C125,Raw_Data_Transaksi!$A$1:$A$1001,Raw_Data_Transaksi!$D$1:$D$1001,,0)</f>
        <v>PRD-112</v>
      </c>
      <c r="B125" t="str">
        <f>_xlfn.XLOOKUP(C125,Raw_Data_Transaksi!$A$1:$A$1001,Raw_Data_Transaksi!$C$1:$C$1001,,0)</f>
        <v>SLS-04</v>
      </c>
      <c r="C125" s="6" t="s">
        <v>209</v>
      </c>
      <c r="D125" s="7">
        <v>45754</v>
      </c>
      <c r="E125" s="10" t="str">
        <f>VLOOKUP(B125,Master_Sales!$A$1:$D$9,2,FALSE)</f>
        <v>Dewi Anggraini</v>
      </c>
      <c r="F125" s="10" t="str">
        <f>INDEX(Master_Sales!$D$1:$D$9,MATCH(Lembar_Kerja_Analisis!B125,Master_Sales!$A$1:$A$9,0))</f>
        <v>Barat</v>
      </c>
      <c r="G125" s="10" t="str">
        <f>INDEX(Master_Sales!$C$1:$C$9,MATCH(Lembar_Kerja_Analisis!B125,Master_Sales!$A$1:$A$9,0))</f>
        <v>Medan</v>
      </c>
      <c r="H125" s="10" t="str">
        <f>VLOOKUP(A125,Master_Produk!$A$1:$E$16,2,FALSE)</f>
        <v>Susu UHT Full Cream 1L</v>
      </c>
      <c r="I125" s="10" t="str">
        <f>INDEX(Master_Produk!$C$1:$C$16,MATCH(Lembar_Kerja_Analisis!A125,Master_Produk!$A$1:$A$16,0))</f>
        <v>F&amp;B</v>
      </c>
      <c r="J125" s="19">
        <f>_xlfn.XLOOKUP(A125,Master_Produk!$A$1:$A$16,Master_Produk!$D$1:$D$16,,0)</f>
        <v>22000</v>
      </c>
      <c r="K125" s="19">
        <f>INDEX(Master_Produk!$E$1:$E$16,MATCH(Lembar_Kerja_Analisis!A125,Master_Produk!$A$1:$A$16,0))</f>
        <v>18000</v>
      </c>
      <c r="L125" s="8">
        <v>15</v>
      </c>
      <c r="M125" s="19">
        <f t="shared" si="5"/>
        <v>330000</v>
      </c>
      <c r="N125" s="9">
        <v>0.05</v>
      </c>
      <c r="O125" s="19">
        <f t="shared" si="6"/>
        <v>16500</v>
      </c>
      <c r="P125" s="19">
        <f t="shared" si="7"/>
        <v>313500</v>
      </c>
      <c r="Q125" s="19">
        <f t="shared" si="8"/>
        <v>270000</v>
      </c>
      <c r="R125" s="19">
        <f t="shared" si="9"/>
        <v>43500</v>
      </c>
    </row>
    <row r="126" spans="1:18" x14ac:dyDescent="0.25">
      <c r="A126" t="str">
        <f>_xlfn.XLOOKUP(C126,Raw_Data_Transaksi!$A$1:$A$1001,Raw_Data_Transaksi!$D$1:$D$1001,,0)</f>
        <v>PRD-112</v>
      </c>
      <c r="B126" t="str">
        <f>_xlfn.XLOOKUP(C126,Raw_Data_Transaksi!$A$1:$A$1001,Raw_Data_Transaksi!$C$1:$C$1001,,0)</f>
        <v>SLS-07</v>
      </c>
      <c r="C126" s="6" t="s">
        <v>210</v>
      </c>
      <c r="D126" s="7">
        <v>45900</v>
      </c>
      <c r="E126" s="10" t="str">
        <f>VLOOKUP(B126,Master_Sales!$A$1:$D$9,2,FALSE)</f>
        <v>Gita Permata</v>
      </c>
      <c r="F126" s="10" t="str">
        <f>INDEX(Master_Sales!$D$1:$D$9,MATCH(Lembar_Kerja_Analisis!B126,Master_Sales!$A$1:$A$9,0))</f>
        <v>Tengah</v>
      </c>
      <c r="G126" s="10" t="str">
        <f>INDEX(Master_Sales!$C$1:$C$9,MATCH(Lembar_Kerja_Analisis!B126,Master_Sales!$A$1:$A$9,0))</f>
        <v>Denpasar</v>
      </c>
      <c r="H126" s="10" t="str">
        <f>VLOOKUP(A126,Master_Produk!$A$1:$E$16,2,FALSE)</f>
        <v>Susu UHT Full Cream 1L</v>
      </c>
      <c r="I126" s="10" t="str">
        <f>INDEX(Master_Produk!$C$1:$C$16,MATCH(Lembar_Kerja_Analisis!A126,Master_Produk!$A$1:$A$16,0))</f>
        <v>F&amp;B</v>
      </c>
      <c r="J126" s="19">
        <f>_xlfn.XLOOKUP(A126,Master_Produk!$A$1:$A$16,Master_Produk!$D$1:$D$16,,0)</f>
        <v>22000</v>
      </c>
      <c r="K126" s="19">
        <f>INDEX(Master_Produk!$E$1:$E$16,MATCH(Lembar_Kerja_Analisis!A126,Master_Produk!$A$1:$A$16,0))</f>
        <v>18000</v>
      </c>
      <c r="L126" s="8">
        <v>24</v>
      </c>
      <c r="M126" s="19">
        <f t="shared" si="5"/>
        <v>528000</v>
      </c>
      <c r="N126" s="9">
        <v>0.05</v>
      </c>
      <c r="O126" s="19">
        <f t="shared" si="6"/>
        <v>26400</v>
      </c>
      <c r="P126" s="19">
        <f t="shared" si="7"/>
        <v>501600</v>
      </c>
      <c r="Q126" s="19">
        <f t="shared" si="8"/>
        <v>432000</v>
      </c>
      <c r="R126" s="19">
        <f t="shared" si="9"/>
        <v>69600</v>
      </c>
    </row>
    <row r="127" spans="1:18" x14ac:dyDescent="0.25">
      <c r="A127" t="str">
        <f>_xlfn.XLOOKUP(C127,Raw_Data_Transaksi!$A$1:$A$1001,Raw_Data_Transaksi!$D$1:$D$1001,,0)</f>
        <v>PRD-110</v>
      </c>
      <c r="B127" t="str">
        <f>_xlfn.XLOOKUP(C127,Raw_Data_Transaksi!$A$1:$A$1001,Raw_Data_Transaksi!$C$1:$C$1001,,0)</f>
        <v>SLS-06</v>
      </c>
      <c r="C127" s="6" t="s">
        <v>211</v>
      </c>
      <c r="D127" s="7">
        <v>45915</v>
      </c>
      <c r="E127" s="10" t="str">
        <f>VLOOKUP(B127,Master_Sales!$A$1:$D$9,2,FALSE)</f>
        <v>Fajar Nugraha</v>
      </c>
      <c r="F127" s="10" t="str">
        <f>INDEX(Master_Sales!$D$1:$D$9,MATCH(Lembar_Kerja_Analisis!B127,Master_Sales!$A$1:$A$9,0))</f>
        <v>Timur</v>
      </c>
      <c r="G127" s="10" t="str">
        <f>INDEX(Master_Sales!$C$1:$C$9,MATCH(Lembar_Kerja_Analisis!B127,Master_Sales!$A$1:$A$9,0))</f>
        <v>Makassar</v>
      </c>
      <c r="H127" s="10" t="str">
        <f>VLOOKUP(A127,Master_Produk!$A$1:$E$16,2,FALSE)</f>
        <v>Minyak Goreng Sawit 2L</v>
      </c>
      <c r="I127" s="10" t="str">
        <f>INDEX(Master_Produk!$C$1:$C$16,MATCH(Lembar_Kerja_Analisis!A127,Master_Produk!$A$1:$A$16,0))</f>
        <v>F&amp;B</v>
      </c>
      <c r="J127" s="19">
        <f>_xlfn.XLOOKUP(A127,Master_Produk!$A$1:$A$16,Master_Produk!$D$1:$D$16,,0)</f>
        <v>36000</v>
      </c>
      <c r="K127" s="19">
        <f>INDEX(Master_Produk!$E$1:$E$16,MATCH(Lembar_Kerja_Analisis!A127,Master_Produk!$A$1:$A$16,0))</f>
        <v>31000</v>
      </c>
      <c r="L127" s="8">
        <v>30</v>
      </c>
      <c r="M127" s="19">
        <f t="shared" si="5"/>
        <v>1080000</v>
      </c>
      <c r="N127" s="9">
        <v>0.15</v>
      </c>
      <c r="O127" s="19">
        <f t="shared" si="6"/>
        <v>162000</v>
      </c>
      <c r="P127" s="19">
        <f t="shared" si="7"/>
        <v>918000</v>
      </c>
      <c r="Q127" s="19">
        <f t="shared" si="8"/>
        <v>930000</v>
      </c>
      <c r="R127" s="19">
        <f t="shared" si="9"/>
        <v>-12000</v>
      </c>
    </row>
    <row r="128" spans="1:18" x14ac:dyDescent="0.25">
      <c r="A128" t="str">
        <f>_xlfn.XLOOKUP(C128,Raw_Data_Transaksi!$A$1:$A$1001,Raw_Data_Transaksi!$D$1:$D$1001,,0)</f>
        <v>PRD-112</v>
      </c>
      <c r="B128" t="str">
        <f>_xlfn.XLOOKUP(C128,Raw_Data_Transaksi!$A$1:$A$1001,Raw_Data_Transaksi!$C$1:$C$1001,,0)</f>
        <v>SLS-03</v>
      </c>
      <c r="C128" s="6" t="s">
        <v>212</v>
      </c>
      <c r="D128" s="7">
        <v>45665</v>
      </c>
      <c r="E128" s="10" t="str">
        <f>VLOOKUP(B128,Master_Sales!$A$1:$D$9,2,FALSE)</f>
        <v>Citra Lestari</v>
      </c>
      <c r="F128" s="10" t="str">
        <f>INDEX(Master_Sales!$D$1:$D$9,MATCH(Lembar_Kerja_Analisis!B128,Master_Sales!$A$1:$A$9,0))</f>
        <v>Barat</v>
      </c>
      <c r="G128" s="10" t="str">
        <f>INDEX(Master_Sales!$C$1:$C$9,MATCH(Lembar_Kerja_Analisis!B128,Master_Sales!$A$1:$A$9,0))</f>
        <v>Bandung</v>
      </c>
      <c r="H128" s="10" t="str">
        <f>VLOOKUP(A128,Master_Produk!$A$1:$E$16,2,FALSE)</f>
        <v>Susu UHT Full Cream 1L</v>
      </c>
      <c r="I128" s="10" t="str">
        <f>INDEX(Master_Produk!$C$1:$C$16,MATCH(Lembar_Kerja_Analisis!A128,Master_Produk!$A$1:$A$16,0))</f>
        <v>F&amp;B</v>
      </c>
      <c r="J128" s="19">
        <f>_xlfn.XLOOKUP(A128,Master_Produk!$A$1:$A$16,Master_Produk!$D$1:$D$16,,0)</f>
        <v>22000</v>
      </c>
      <c r="K128" s="19">
        <f>INDEX(Master_Produk!$E$1:$E$16,MATCH(Lembar_Kerja_Analisis!A128,Master_Produk!$A$1:$A$16,0))</f>
        <v>18000</v>
      </c>
      <c r="L128" s="8">
        <v>30</v>
      </c>
      <c r="M128" s="19">
        <f t="shared" si="5"/>
        <v>660000</v>
      </c>
      <c r="N128" s="9">
        <v>0.05</v>
      </c>
      <c r="O128" s="19">
        <f t="shared" si="6"/>
        <v>33000</v>
      </c>
      <c r="P128" s="19">
        <f t="shared" si="7"/>
        <v>627000</v>
      </c>
      <c r="Q128" s="19">
        <f t="shared" si="8"/>
        <v>540000</v>
      </c>
      <c r="R128" s="19">
        <f t="shared" si="9"/>
        <v>87000</v>
      </c>
    </row>
    <row r="129" spans="1:18" x14ac:dyDescent="0.25">
      <c r="A129" t="str">
        <f>_xlfn.XLOOKUP(C129,Raw_Data_Transaksi!$A$1:$A$1001,Raw_Data_Transaksi!$D$1:$D$1001,,0)</f>
        <v>PRD-110</v>
      </c>
      <c r="B129" t="str">
        <f>_xlfn.XLOOKUP(C129,Raw_Data_Transaksi!$A$1:$A$1001,Raw_Data_Transaksi!$C$1:$C$1001,,0)</f>
        <v>SLS-07</v>
      </c>
      <c r="C129" s="6" t="s">
        <v>213</v>
      </c>
      <c r="D129" s="7">
        <v>45831</v>
      </c>
      <c r="E129" s="10" t="str">
        <f>VLOOKUP(B129,Master_Sales!$A$1:$D$9,2,FALSE)</f>
        <v>Gita Permata</v>
      </c>
      <c r="F129" s="10" t="str">
        <f>INDEX(Master_Sales!$D$1:$D$9,MATCH(Lembar_Kerja_Analisis!B129,Master_Sales!$A$1:$A$9,0))</f>
        <v>Tengah</v>
      </c>
      <c r="G129" s="10" t="str">
        <f>INDEX(Master_Sales!$C$1:$C$9,MATCH(Lembar_Kerja_Analisis!B129,Master_Sales!$A$1:$A$9,0))</f>
        <v>Denpasar</v>
      </c>
      <c r="H129" s="10" t="str">
        <f>VLOOKUP(A129,Master_Produk!$A$1:$E$16,2,FALSE)</f>
        <v>Minyak Goreng Sawit 2L</v>
      </c>
      <c r="I129" s="10" t="str">
        <f>INDEX(Master_Produk!$C$1:$C$16,MATCH(Lembar_Kerja_Analisis!A129,Master_Produk!$A$1:$A$16,0))</f>
        <v>F&amp;B</v>
      </c>
      <c r="J129" s="19">
        <f>_xlfn.XLOOKUP(A129,Master_Produk!$A$1:$A$16,Master_Produk!$D$1:$D$16,,0)</f>
        <v>36000</v>
      </c>
      <c r="K129" s="19">
        <f>INDEX(Master_Produk!$E$1:$E$16,MATCH(Lembar_Kerja_Analisis!A129,Master_Produk!$A$1:$A$16,0))</f>
        <v>31000</v>
      </c>
      <c r="L129" s="8">
        <v>5</v>
      </c>
      <c r="M129" s="19">
        <f t="shared" si="5"/>
        <v>180000</v>
      </c>
      <c r="N129" s="9">
        <v>0.1</v>
      </c>
      <c r="O129" s="19">
        <f t="shared" si="6"/>
        <v>18000</v>
      </c>
      <c r="P129" s="19">
        <f t="shared" si="7"/>
        <v>162000</v>
      </c>
      <c r="Q129" s="19">
        <f t="shared" si="8"/>
        <v>155000</v>
      </c>
      <c r="R129" s="19">
        <f t="shared" si="9"/>
        <v>7000</v>
      </c>
    </row>
    <row r="130" spans="1:18" x14ac:dyDescent="0.25">
      <c r="A130" t="str">
        <f>_xlfn.XLOOKUP(C130,Raw_Data_Transaksi!$A$1:$A$1001,Raw_Data_Transaksi!$D$1:$D$1001,,0)</f>
        <v>PRD-101</v>
      </c>
      <c r="B130" t="str">
        <f>_xlfn.XLOOKUP(C130,Raw_Data_Transaksi!$A$1:$A$1001,Raw_Data_Transaksi!$C$1:$C$1001,,0)</f>
        <v>SLS-02</v>
      </c>
      <c r="C130" s="6" t="s">
        <v>214</v>
      </c>
      <c r="D130" s="7">
        <v>45935</v>
      </c>
      <c r="E130" s="10" t="str">
        <f>VLOOKUP(B130,Master_Sales!$A$1:$D$9,2,FALSE)</f>
        <v>Budi Santoso</v>
      </c>
      <c r="F130" s="10" t="str">
        <f>INDEX(Master_Sales!$D$1:$D$9,MATCH(Lembar_Kerja_Analisis!B130,Master_Sales!$A$1:$A$9,0))</f>
        <v>Timur</v>
      </c>
      <c r="G130" s="10" t="str">
        <f>INDEX(Master_Sales!$C$1:$C$9,MATCH(Lembar_Kerja_Analisis!B130,Master_Sales!$A$1:$A$9,0))</f>
        <v>Surabaya</v>
      </c>
      <c r="H130" s="10" t="str">
        <f>VLOOKUP(A130,Master_Produk!$A$1:$E$16,2,FALSE)</f>
        <v>Laptop Ultrabook 14"</v>
      </c>
      <c r="I130" s="10" t="str">
        <f>INDEX(Master_Produk!$C$1:$C$16,MATCH(Lembar_Kerja_Analisis!A130,Master_Produk!$A$1:$A$16,0))</f>
        <v>Elektronik</v>
      </c>
      <c r="J130" s="19">
        <f>_xlfn.XLOOKUP(A130,Master_Produk!$A$1:$A$16,Master_Produk!$D$1:$D$16,,0)</f>
        <v>8500000</v>
      </c>
      <c r="K130" s="19">
        <f>INDEX(Master_Produk!$E$1:$E$16,MATCH(Lembar_Kerja_Analisis!A130,Master_Produk!$A$1:$A$16,0))</f>
        <v>7200000</v>
      </c>
      <c r="L130" s="8">
        <v>4</v>
      </c>
      <c r="M130" s="19">
        <f t="shared" si="5"/>
        <v>34000000</v>
      </c>
      <c r="N130" s="9">
        <v>0.1</v>
      </c>
      <c r="O130" s="19">
        <f t="shared" si="6"/>
        <v>3400000</v>
      </c>
      <c r="P130" s="19">
        <f t="shared" si="7"/>
        <v>30600000</v>
      </c>
      <c r="Q130" s="19">
        <f t="shared" si="8"/>
        <v>28800000</v>
      </c>
      <c r="R130" s="19">
        <f t="shared" si="9"/>
        <v>1800000</v>
      </c>
    </row>
    <row r="131" spans="1:18" x14ac:dyDescent="0.25">
      <c r="A131" t="str">
        <f>_xlfn.XLOOKUP(C131,Raw_Data_Transaksi!$A$1:$A$1001,Raw_Data_Transaksi!$D$1:$D$1001,,0)</f>
        <v>PRD-102</v>
      </c>
      <c r="B131" t="str">
        <f>_xlfn.XLOOKUP(C131,Raw_Data_Transaksi!$A$1:$A$1001,Raw_Data_Transaksi!$C$1:$C$1001,,0)</f>
        <v>SLS-02</v>
      </c>
      <c r="C131" s="6" t="s">
        <v>215</v>
      </c>
      <c r="D131" s="7">
        <v>45880</v>
      </c>
      <c r="E131" s="10" t="str">
        <f>VLOOKUP(B131,Master_Sales!$A$1:$D$9,2,FALSE)</f>
        <v>Budi Santoso</v>
      </c>
      <c r="F131" s="10" t="str">
        <f>INDEX(Master_Sales!$D$1:$D$9,MATCH(Lembar_Kerja_Analisis!B131,Master_Sales!$A$1:$A$9,0))</f>
        <v>Timur</v>
      </c>
      <c r="G131" s="10" t="str">
        <f>INDEX(Master_Sales!$C$1:$C$9,MATCH(Lembar_Kerja_Analisis!B131,Master_Sales!$A$1:$A$9,0))</f>
        <v>Surabaya</v>
      </c>
      <c r="H131" s="10" t="str">
        <f>VLOOKUP(A131,Master_Produk!$A$1:$E$16,2,FALSE)</f>
        <v>Wireless Mouse Ergonomic</v>
      </c>
      <c r="I131" s="10" t="str">
        <f>INDEX(Master_Produk!$C$1:$C$16,MATCH(Lembar_Kerja_Analisis!A131,Master_Produk!$A$1:$A$16,0))</f>
        <v>Elektronik</v>
      </c>
      <c r="J131" s="19">
        <f>_xlfn.XLOOKUP(A131,Master_Produk!$A$1:$A$16,Master_Produk!$D$1:$D$16,,0)</f>
        <v>250000</v>
      </c>
      <c r="K131" s="19">
        <f>INDEX(Master_Produk!$E$1:$E$16,MATCH(Lembar_Kerja_Analisis!A131,Master_Produk!$A$1:$A$16,0))</f>
        <v>160000</v>
      </c>
      <c r="L131" s="8">
        <v>8</v>
      </c>
      <c r="M131" s="19">
        <f t="shared" ref="M131:M194" si="10">L131*J131</f>
        <v>2000000</v>
      </c>
      <c r="N131" s="9">
        <v>0.05</v>
      </c>
      <c r="O131" s="19">
        <f t="shared" ref="O131:O194" si="11">M131*N131</f>
        <v>100000</v>
      </c>
      <c r="P131" s="19">
        <f t="shared" ref="P131:P194" si="12">M131-O131</f>
        <v>1900000</v>
      </c>
      <c r="Q131" s="19">
        <f t="shared" ref="Q131:Q194" si="13">L131*K131</f>
        <v>1280000</v>
      </c>
      <c r="R131" s="19">
        <f t="shared" ref="R131:R194" si="14">P131-Q131</f>
        <v>620000</v>
      </c>
    </row>
    <row r="132" spans="1:18" x14ac:dyDescent="0.25">
      <c r="A132" t="str">
        <f>_xlfn.XLOOKUP(C132,Raw_Data_Transaksi!$A$1:$A$1001,Raw_Data_Transaksi!$D$1:$D$1001,,0)</f>
        <v>PRD-113</v>
      </c>
      <c r="B132" t="str">
        <f>_xlfn.XLOOKUP(C132,Raw_Data_Transaksi!$A$1:$A$1001,Raw_Data_Transaksi!$C$1:$C$1001,,0)</f>
        <v>SLS-01</v>
      </c>
      <c r="C132" s="6" t="s">
        <v>216</v>
      </c>
      <c r="D132" s="7">
        <v>45824</v>
      </c>
      <c r="E132" s="10" t="str">
        <f>VLOOKUP(B132,Master_Sales!$A$1:$D$9,2,FALSE)</f>
        <v>Andi Pratama</v>
      </c>
      <c r="F132" s="10" t="str">
        <f>INDEX(Master_Sales!$D$1:$D$9,MATCH(Lembar_Kerja_Analisis!B132,Master_Sales!$A$1:$A$9,0))</f>
        <v>Barat</v>
      </c>
      <c r="G132" s="10" t="str">
        <f>INDEX(Master_Sales!$C$1:$C$9,MATCH(Lembar_Kerja_Analisis!B132,Master_Sales!$A$1:$A$9,0))</f>
        <v>Jakarta</v>
      </c>
      <c r="H132" s="10" t="str">
        <f>VLOOKUP(A132,Master_Produk!$A$1:$E$16,2,FALSE)</f>
        <v>Wajan Anti Lengket 28cm</v>
      </c>
      <c r="I132" s="10" t="str">
        <f>INDEX(Master_Produk!$C$1:$C$16,MATCH(Lembar_Kerja_Analisis!A132,Master_Produk!$A$1:$A$16,0))</f>
        <v>Peralatan Rumah</v>
      </c>
      <c r="J132" s="19">
        <f>_xlfn.XLOOKUP(A132,Master_Produk!$A$1:$A$16,Master_Produk!$D$1:$D$16,,0)</f>
        <v>210000</v>
      </c>
      <c r="K132" s="19">
        <f>INDEX(Master_Produk!$E$1:$E$16,MATCH(Lembar_Kerja_Analisis!A132,Master_Produk!$A$1:$A$16,0))</f>
        <v>140000</v>
      </c>
      <c r="L132" s="8">
        <v>5</v>
      </c>
      <c r="M132" s="19">
        <f t="shared" si="10"/>
        <v>1050000</v>
      </c>
      <c r="N132" s="9">
        <v>0.1</v>
      </c>
      <c r="O132" s="19">
        <f t="shared" si="11"/>
        <v>105000</v>
      </c>
      <c r="P132" s="19">
        <f t="shared" si="12"/>
        <v>945000</v>
      </c>
      <c r="Q132" s="19">
        <f t="shared" si="13"/>
        <v>700000</v>
      </c>
      <c r="R132" s="19">
        <f t="shared" si="14"/>
        <v>245000</v>
      </c>
    </row>
    <row r="133" spans="1:18" x14ac:dyDescent="0.25">
      <c r="A133" t="str">
        <f>_xlfn.XLOOKUP(C133,Raw_Data_Transaksi!$A$1:$A$1001,Raw_Data_Transaksi!$D$1:$D$1001,,0)</f>
        <v>PRD-109</v>
      </c>
      <c r="B133" t="str">
        <f>_xlfn.XLOOKUP(C133,Raw_Data_Transaksi!$A$1:$A$1001,Raw_Data_Transaksi!$C$1:$C$1001,,0)</f>
        <v>SLS-07</v>
      </c>
      <c r="C133" s="6" t="s">
        <v>217</v>
      </c>
      <c r="D133" s="7">
        <v>45783</v>
      </c>
      <c r="E133" s="10" t="str">
        <f>VLOOKUP(B133,Master_Sales!$A$1:$D$9,2,FALSE)</f>
        <v>Gita Permata</v>
      </c>
      <c r="F133" s="10" t="str">
        <f>INDEX(Master_Sales!$D$1:$D$9,MATCH(Lembar_Kerja_Analisis!B133,Master_Sales!$A$1:$A$9,0))</f>
        <v>Tengah</v>
      </c>
      <c r="G133" s="10" t="str">
        <f>INDEX(Master_Sales!$C$1:$C$9,MATCH(Lembar_Kerja_Analisis!B133,Master_Sales!$A$1:$A$9,0))</f>
        <v>Denpasar</v>
      </c>
      <c r="H133" s="10" t="str">
        <f>VLOOKUP(A133,Master_Produk!$A$1:$E$16,2,FALSE)</f>
        <v>Kopi Arabika Gayo 250g</v>
      </c>
      <c r="I133" s="10" t="str">
        <f>INDEX(Master_Produk!$C$1:$C$16,MATCH(Lembar_Kerja_Analisis!A133,Master_Produk!$A$1:$A$16,0))</f>
        <v>F&amp;B</v>
      </c>
      <c r="J133" s="19">
        <f>_xlfn.XLOOKUP(A133,Master_Produk!$A$1:$A$16,Master_Produk!$D$1:$D$16,,0)</f>
        <v>85000</v>
      </c>
      <c r="K133" s="19">
        <f>INDEX(Master_Produk!$E$1:$E$16,MATCH(Lembar_Kerja_Analisis!A133,Master_Produk!$A$1:$A$16,0))</f>
        <v>55000</v>
      </c>
      <c r="L133" s="8">
        <v>24</v>
      </c>
      <c r="M133" s="19">
        <f t="shared" si="10"/>
        <v>2040000</v>
      </c>
      <c r="N133" s="9">
        <v>0.05</v>
      </c>
      <c r="O133" s="19">
        <f t="shared" si="11"/>
        <v>102000</v>
      </c>
      <c r="P133" s="19">
        <f t="shared" si="12"/>
        <v>1938000</v>
      </c>
      <c r="Q133" s="19">
        <f t="shared" si="13"/>
        <v>1320000</v>
      </c>
      <c r="R133" s="19">
        <f t="shared" si="14"/>
        <v>618000</v>
      </c>
    </row>
    <row r="134" spans="1:18" x14ac:dyDescent="0.25">
      <c r="A134" t="str">
        <f>_xlfn.XLOOKUP(C134,Raw_Data_Transaksi!$A$1:$A$1001,Raw_Data_Transaksi!$D$1:$D$1001,,0)</f>
        <v>PRD-114</v>
      </c>
      <c r="B134" t="str">
        <f>_xlfn.XLOOKUP(C134,Raw_Data_Transaksi!$A$1:$A$1001,Raw_Data_Transaksi!$C$1:$C$1001,,0)</f>
        <v>SLS-07</v>
      </c>
      <c r="C134" s="6" t="s">
        <v>218</v>
      </c>
      <c r="D134" s="7">
        <v>45970</v>
      </c>
      <c r="E134" s="10" t="str">
        <f>VLOOKUP(B134,Master_Sales!$A$1:$D$9,2,FALSE)</f>
        <v>Gita Permata</v>
      </c>
      <c r="F134" s="10" t="str">
        <f>INDEX(Master_Sales!$D$1:$D$9,MATCH(Lembar_Kerja_Analisis!B134,Master_Sales!$A$1:$A$9,0))</f>
        <v>Tengah</v>
      </c>
      <c r="G134" s="10" t="str">
        <f>INDEX(Master_Sales!$C$1:$C$9,MATCH(Lembar_Kerja_Analisis!B134,Master_Sales!$A$1:$A$9,0))</f>
        <v>Denpasar</v>
      </c>
      <c r="H134" s="10" t="str">
        <f>VLOOKUP(A134,Master_Produk!$A$1:$E$16,2,FALSE)</f>
        <v>Blender Multifungsi 2-in-1</v>
      </c>
      <c r="I134" s="10" t="str">
        <f>INDEX(Master_Produk!$C$1:$C$16,MATCH(Lembar_Kerja_Analisis!A134,Master_Produk!$A$1:$A$16,0))</f>
        <v>Peralatan Rumah</v>
      </c>
      <c r="J134" s="19">
        <f>_xlfn.XLOOKUP(A134,Master_Produk!$A$1:$A$16,Master_Produk!$D$1:$D$16,,0)</f>
        <v>340000</v>
      </c>
      <c r="K134" s="19">
        <f>INDEX(Master_Produk!$E$1:$E$16,MATCH(Lembar_Kerja_Analisis!A134,Master_Produk!$A$1:$A$16,0))</f>
        <v>240000</v>
      </c>
      <c r="L134" s="8">
        <v>10</v>
      </c>
      <c r="M134" s="19">
        <f t="shared" si="10"/>
        <v>3400000</v>
      </c>
      <c r="N134" s="9">
        <v>0.05</v>
      </c>
      <c r="O134" s="19">
        <f t="shared" si="11"/>
        <v>170000</v>
      </c>
      <c r="P134" s="19">
        <f t="shared" si="12"/>
        <v>3230000</v>
      </c>
      <c r="Q134" s="19">
        <f t="shared" si="13"/>
        <v>2400000</v>
      </c>
      <c r="R134" s="19">
        <f t="shared" si="14"/>
        <v>830000</v>
      </c>
    </row>
    <row r="135" spans="1:18" x14ac:dyDescent="0.25">
      <c r="A135" t="str">
        <f>_xlfn.XLOOKUP(C135,Raw_Data_Transaksi!$A$1:$A$1001,Raw_Data_Transaksi!$D$1:$D$1001,,0)</f>
        <v>PRD-108</v>
      </c>
      <c r="B135" t="str">
        <f>_xlfn.XLOOKUP(C135,Raw_Data_Transaksi!$A$1:$A$1001,Raw_Data_Transaksi!$C$1:$C$1001,,0)</f>
        <v>SLS-05</v>
      </c>
      <c r="C135" s="6" t="s">
        <v>219</v>
      </c>
      <c r="D135" s="7">
        <v>45776</v>
      </c>
      <c r="E135" s="10" t="str">
        <f>VLOOKUP(B135,Master_Sales!$A$1:$D$9,2,FALSE)</f>
        <v>Eko Prasetyo</v>
      </c>
      <c r="F135" s="10" t="str">
        <f>INDEX(Master_Sales!$D$1:$D$9,MATCH(Lembar_Kerja_Analisis!B135,Master_Sales!$A$1:$A$9,0))</f>
        <v>Tengah</v>
      </c>
      <c r="G135" s="10" t="str">
        <f>INDEX(Master_Sales!$C$1:$C$9,MATCH(Lembar_Kerja_Analisis!B135,Master_Sales!$A$1:$A$9,0))</f>
        <v>Semarang</v>
      </c>
      <c r="H135" s="10" t="str">
        <f>VLOOKUP(A135,Master_Produk!$A$1:$E$16,2,FALSE)</f>
        <v>Sepatu Sneakers Pria/Wanita</v>
      </c>
      <c r="I135" s="10" t="str">
        <f>INDEX(Master_Produk!$C$1:$C$16,MATCH(Lembar_Kerja_Analisis!A135,Master_Produk!$A$1:$A$16,0))</f>
        <v>Fashion</v>
      </c>
      <c r="J135" s="19">
        <f>_xlfn.XLOOKUP(A135,Master_Produk!$A$1:$A$16,Master_Produk!$D$1:$D$16,,0)</f>
        <v>450000</v>
      </c>
      <c r="K135" s="19">
        <f>INDEX(Master_Produk!$E$1:$E$16,MATCH(Lembar_Kerja_Analisis!A135,Master_Produk!$A$1:$A$16,0))</f>
        <v>290000</v>
      </c>
      <c r="L135" s="8">
        <v>8</v>
      </c>
      <c r="M135" s="19">
        <f t="shared" si="10"/>
        <v>3600000</v>
      </c>
      <c r="N135" s="9">
        <v>0.1</v>
      </c>
      <c r="O135" s="19">
        <f t="shared" si="11"/>
        <v>360000</v>
      </c>
      <c r="P135" s="19">
        <f t="shared" si="12"/>
        <v>3240000</v>
      </c>
      <c r="Q135" s="19">
        <f t="shared" si="13"/>
        <v>2320000</v>
      </c>
      <c r="R135" s="19">
        <f t="shared" si="14"/>
        <v>920000</v>
      </c>
    </row>
    <row r="136" spans="1:18" x14ac:dyDescent="0.25">
      <c r="A136" t="str">
        <f>_xlfn.XLOOKUP(C136,Raw_Data_Transaksi!$A$1:$A$1001,Raw_Data_Transaksi!$D$1:$D$1001,,0)</f>
        <v>PRD-109</v>
      </c>
      <c r="B136" t="str">
        <f>_xlfn.XLOOKUP(C136,Raw_Data_Transaksi!$A$1:$A$1001,Raw_Data_Transaksi!$C$1:$C$1001,,0)</f>
        <v>SLS-03</v>
      </c>
      <c r="C136" s="6" t="s">
        <v>220</v>
      </c>
      <c r="D136" s="7">
        <v>46004</v>
      </c>
      <c r="E136" s="10" t="str">
        <f>VLOOKUP(B136,Master_Sales!$A$1:$D$9,2,FALSE)</f>
        <v>Citra Lestari</v>
      </c>
      <c r="F136" s="10" t="str">
        <f>INDEX(Master_Sales!$D$1:$D$9,MATCH(Lembar_Kerja_Analisis!B136,Master_Sales!$A$1:$A$9,0))</f>
        <v>Barat</v>
      </c>
      <c r="G136" s="10" t="str">
        <f>INDEX(Master_Sales!$C$1:$C$9,MATCH(Lembar_Kerja_Analisis!B136,Master_Sales!$A$1:$A$9,0))</f>
        <v>Bandung</v>
      </c>
      <c r="H136" s="10" t="str">
        <f>VLOOKUP(A136,Master_Produk!$A$1:$E$16,2,FALSE)</f>
        <v>Kopi Arabika Gayo 250g</v>
      </c>
      <c r="I136" s="10" t="str">
        <f>INDEX(Master_Produk!$C$1:$C$16,MATCH(Lembar_Kerja_Analisis!A136,Master_Produk!$A$1:$A$16,0))</f>
        <v>F&amp;B</v>
      </c>
      <c r="J136" s="19">
        <f>_xlfn.XLOOKUP(A136,Master_Produk!$A$1:$A$16,Master_Produk!$D$1:$D$16,,0)</f>
        <v>85000</v>
      </c>
      <c r="K136" s="19">
        <f>INDEX(Master_Produk!$E$1:$E$16,MATCH(Lembar_Kerja_Analisis!A136,Master_Produk!$A$1:$A$16,0))</f>
        <v>55000</v>
      </c>
      <c r="L136" s="8">
        <v>17</v>
      </c>
      <c r="M136" s="19">
        <f t="shared" si="10"/>
        <v>1445000</v>
      </c>
      <c r="N136" s="9">
        <v>0.1</v>
      </c>
      <c r="O136" s="19">
        <f t="shared" si="11"/>
        <v>144500</v>
      </c>
      <c r="P136" s="19">
        <f t="shared" si="12"/>
        <v>1300500</v>
      </c>
      <c r="Q136" s="19">
        <f t="shared" si="13"/>
        <v>935000</v>
      </c>
      <c r="R136" s="19">
        <f t="shared" si="14"/>
        <v>365500</v>
      </c>
    </row>
    <row r="137" spans="1:18" x14ac:dyDescent="0.25">
      <c r="A137" t="str">
        <f>_xlfn.XLOOKUP(C137,Raw_Data_Transaksi!$A$1:$A$1001,Raw_Data_Transaksi!$D$1:$D$1001,,0)</f>
        <v>PRD-105</v>
      </c>
      <c r="B137" t="str">
        <f>_xlfn.XLOOKUP(C137,Raw_Data_Transaksi!$A$1:$A$1001,Raw_Data_Transaksi!$C$1:$C$1001,,0)</f>
        <v>SLS-08</v>
      </c>
      <c r="C137" s="6" t="s">
        <v>221</v>
      </c>
      <c r="D137" s="7">
        <v>46011</v>
      </c>
      <c r="E137" s="10" t="str">
        <f>VLOOKUP(B137,Master_Sales!$A$1:$D$9,2,FALSE)</f>
        <v>Hendra Wijaya</v>
      </c>
      <c r="F137" s="10" t="str">
        <f>INDEX(Master_Sales!$D$1:$D$9,MATCH(Lembar_Kerja_Analisis!B137,Master_Sales!$A$1:$A$9,0))</f>
        <v>Tengah</v>
      </c>
      <c r="G137" s="10" t="str">
        <f>INDEX(Master_Sales!$C$1:$C$9,MATCH(Lembar_Kerja_Analisis!B137,Master_Sales!$A$1:$A$9,0))</f>
        <v>Yogyakarta</v>
      </c>
      <c r="H137" s="10" t="str">
        <f>VLOOKUP(A137,Master_Produk!$A$1:$E$16,2,FALSE)</f>
        <v>Kemeja Batik Katun Premium</v>
      </c>
      <c r="I137" s="10" t="str">
        <f>INDEX(Master_Produk!$C$1:$C$16,MATCH(Lembar_Kerja_Analisis!A137,Master_Produk!$A$1:$A$16,0))</f>
        <v>Fashion</v>
      </c>
      <c r="J137" s="19">
        <f>_xlfn.XLOOKUP(A137,Master_Produk!$A$1:$A$16,Master_Produk!$D$1:$D$16,,0)</f>
        <v>320000</v>
      </c>
      <c r="K137" s="19">
        <f>INDEX(Master_Produk!$E$1:$E$16,MATCH(Lembar_Kerja_Analisis!A137,Master_Produk!$A$1:$A$16,0))</f>
        <v>190000</v>
      </c>
      <c r="L137" s="8">
        <v>5</v>
      </c>
      <c r="M137" s="19">
        <f t="shared" si="10"/>
        <v>1600000</v>
      </c>
      <c r="N137" s="9">
        <v>0.05</v>
      </c>
      <c r="O137" s="19">
        <f t="shared" si="11"/>
        <v>80000</v>
      </c>
      <c r="P137" s="19">
        <f t="shared" si="12"/>
        <v>1520000</v>
      </c>
      <c r="Q137" s="19">
        <f t="shared" si="13"/>
        <v>950000</v>
      </c>
      <c r="R137" s="19">
        <f t="shared" si="14"/>
        <v>570000</v>
      </c>
    </row>
    <row r="138" spans="1:18" x14ac:dyDescent="0.25">
      <c r="A138" t="str">
        <f>_xlfn.XLOOKUP(C138,Raw_Data_Transaksi!$A$1:$A$1001,Raw_Data_Transaksi!$D$1:$D$1001,,0)</f>
        <v>PRD-107</v>
      </c>
      <c r="B138" t="str">
        <f>_xlfn.XLOOKUP(C138,Raw_Data_Transaksi!$A$1:$A$1001,Raw_Data_Transaksi!$C$1:$C$1001,,0)</f>
        <v>SLS-06</v>
      </c>
      <c r="C138" s="6" t="s">
        <v>222</v>
      </c>
      <c r="D138" s="7">
        <v>45779</v>
      </c>
      <c r="E138" s="10" t="str">
        <f>VLOOKUP(B138,Master_Sales!$A$1:$D$9,2,FALSE)</f>
        <v>Fajar Nugraha</v>
      </c>
      <c r="F138" s="10" t="str">
        <f>INDEX(Master_Sales!$D$1:$D$9,MATCH(Lembar_Kerja_Analisis!B138,Master_Sales!$A$1:$A$9,0))</f>
        <v>Timur</v>
      </c>
      <c r="G138" s="10" t="str">
        <f>INDEX(Master_Sales!$C$1:$C$9,MATCH(Lembar_Kerja_Analisis!B138,Master_Sales!$A$1:$A$9,0))</f>
        <v>Makassar</v>
      </c>
      <c r="H138" s="10" t="str">
        <f>VLOOKUP(A138,Master_Produk!$A$1:$E$16,2,FALSE)</f>
        <v>Jaket Hoodie Casual</v>
      </c>
      <c r="I138" s="10" t="str">
        <f>INDEX(Master_Produk!$C$1:$C$16,MATCH(Lembar_Kerja_Analisis!A138,Master_Produk!$A$1:$A$16,0))</f>
        <v>Fashion</v>
      </c>
      <c r="J138" s="19">
        <f>_xlfn.XLOOKUP(A138,Master_Produk!$A$1:$A$16,Master_Produk!$D$1:$D$16,,0)</f>
        <v>350000</v>
      </c>
      <c r="K138" s="19">
        <f>INDEX(Master_Produk!$E$1:$E$16,MATCH(Lembar_Kerja_Analisis!A138,Master_Produk!$A$1:$A$16,0))</f>
        <v>220000</v>
      </c>
      <c r="L138" s="8">
        <v>10</v>
      </c>
      <c r="M138" s="19">
        <f t="shared" si="10"/>
        <v>3500000</v>
      </c>
      <c r="N138" s="9">
        <v>0.1</v>
      </c>
      <c r="O138" s="19">
        <f t="shared" si="11"/>
        <v>350000</v>
      </c>
      <c r="P138" s="19">
        <f t="shared" si="12"/>
        <v>3150000</v>
      </c>
      <c r="Q138" s="19">
        <f t="shared" si="13"/>
        <v>2200000</v>
      </c>
      <c r="R138" s="19">
        <f t="shared" si="14"/>
        <v>950000</v>
      </c>
    </row>
    <row r="139" spans="1:18" x14ac:dyDescent="0.25">
      <c r="A139" t="str">
        <f>_xlfn.XLOOKUP(C139,Raw_Data_Transaksi!$A$1:$A$1001,Raw_Data_Transaksi!$D$1:$D$1001,,0)</f>
        <v>PRD-101</v>
      </c>
      <c r="B139" t="str">
        <f>_xlfn.XLOOKUP(C139,Raw_Data_Transaksi!$A$1:$A$1001,Raw_Data_Transaksi!$C$1:$C$1001,,0)</f>
        <v>SLS-01</v>
      </c>
      <c r="C139" s="6" t="s">
        <v>223</v>
      </c>
      <c r="D139" s="7">
        <v>45798</v>
      </c>
      <c r="E139" s="10" t="str">
        <f>VLOOKUP(B139,Master_Sales!$A$1:$D$9,2,FALSE)</f>
        <v>Andi Pratama</v>
      </c>
      <c r="F139" s="10" t="str">
        <f>INDEX(Master_Sales!$D$1:$D$9,MATCH(Lembar_Kerja_Analisis!B139,Master_Sales!$A$1:$A$9,0))</f>
        <v>Barat</v>
      </c>
      <c r="G139" s="10" t="str">
        <f>INDEX(Master_Sales!$C$1:$C$9,MATCH(Lembar_Kerja_Analisis!B139,Master_Sales!$A$1:$A$9,0))</f>
        <v>Jakarta</v>
      </c>
      <c r="H139" s="10" t="str">
        <f>VLOOKUP(A139,Master_Produk!$A$1:$E$16,2,FALSE)</f>
        <v>Laptop Ultrabook 14"</v>
      </c>
      <c r="I139" s="10" t="str">
        <f>INDEX(Master_Produk!$C$1:$C$16,MATCH(Lembar_Kerja_Analisis!A139,Master_Produk!$A$1:$A$16,0))</f>
        <v>Elektronik</v>
      </c>
      <c r="J139" s="19">
        <f>_xlfn.XLOOKUP(A139,Master_Produk!$A$1:$A$16,Master_Produk!$D$1:$D$16,,0)</f>
        <v>8500000</v>
      </c>
      <c r="K139" s="19">
        <f>INDEX(Master_Produk!$E$1:$E$16,MATCH(Lembar_Kerja_Analisis!A139,Master_Produk!$A$1:$A$16,0))</f>
        <v>7200000</v>
      </c>
      <c r="L139" s="8">
        <v>10</v>
      </c>
      <c r="M139" s="19">
        <f t="shared" si="10"/>
        <v>85000000</v>
      </c>
      <c r="N139" s="9">
        <v>0.15</v>
      </c>
      <c r="O139" s="19">
        <f t="shared" si="11"/>
        <v>12750000</v>
      </c>
      <c r="P139" s="19">
        <f t="shared" si="12"/>
        <v>72250000</v>
      </c>
      <c r="Q139" s="19">
        <f t="shared" si="13"/>
        <v>72000000</v>
      </c>
      <c r="R139" s="19">
        <f t="shared" si="14"/>
        <v>250000</v>
      </c>
    </row>
    <row r="140" spans="1:18" x14ac:dyDescent="0.25">
      <c r="A140" t="str">
        <f>_xlfn.XLOOKUP(C140,Raw_Data_Transaksi!$A$1:$A$1001,Raw_Data_Transaksi!$D$1:$D$1001,,0)</f>
        <v>PRD-111</v>
      </c>
      <c r="B140" t="str">
        <f>_xlfn.XLOOKUP(C140,Raw_Data_Transaksi!$A$1:$A$1001,Raw_Data_Transaksi!$C$1:$C$1001,,0)</f>
        <v>SLS-04</v>
      </c>
      <c r="C140" s="6" t="s">
        <v>224</v>
      </c>
      <c r="D140" s="7">
        <v>45770</v>
      </c>
      <c r="E140" s="10" t="str">
        <f>VLOOKUP(B140,Master_Sales!$A$1:$D$9,2,FALSE)</f>
        <v>Dewi Anggraini</v>
      </c>
      <c r="F140" s="10" t="str">
        <f>INDEX(Master_Sales!$D$1:$D$9,MATCH(Lembar_Kerja_Analisis!B140,Master_Sales!$A$1:$A$9,0))</f>
        <v>Barat</v>
      </c>
      <c r="G140" s="10" t="str">
        <f>INDEX(Master_Sales!$C$1:$C$9,MATCH(Lembar_Kerja_Analisis!B140,Master_Sales!$A$1:$A$9,0))</f>
        <v>Medan</v>
      </c>
      <c r="H140" s="10" t="str">
        <f>VLOOKUP(A140,Master_Produk!$A$1:$E$16,2,FALSE)</f>
        <v>Beras Premium 5kg</v>
      </c>
      <c r="I140" s="10" t="str">
        <f>INDEX(Master_Produk!$C$1:$C$16,MATCH(Lembar_Kerja_Analisis!A140,Master_Produk!$A$1:$A$16,0))</f>
        <v>F&amp;B</v>
      </c>
      <c r="J140" s="19">
        <f>_xlfn.XLOOKUP(A140,Master_Produk!$A$1:$A$16,Master_Produk!$D$1:$D$16,,0)</f>
        <v>74000</v>
      </c>
      <c r="K140" s="19">
        <f>INDEX(Master_Produk!$E$1:$E$16,MATCH(Lembar_Kerja_Analisis!A140,Master_Produk!$A$1:$A$16,0))</f>
        <v>65000</v>
      </c>
      <c r="L140" s="8">
        <v>11</v>
      </c>
      <c r="M140" s="19">
        <f t="shared" si="10"/>
        <v>814000</v>
      </c>
      <c r="N140" s="9">
        <v>0.05</v>
      </c>
      <c r="O140" s="19">
        <f t="shared" si="11"/>
        <v>40700</v>
      </c>
      <c r="P140" s="19">
        <f t="shared" si="12"/>
        <v>773300</v>
      </c>
      <c r="Q140" s="19">
        <f t="shared" si="13"/>
        <v>715000</v>
      </c>
      <c r="R140" s="19">
        <f t="shared" si="14"/>
        <v>58300</v>
      </c>
    </row>
    <row r="141" spans="1:18" x14ac:dyDescent="0.25">
      <c r="A141" t="str">
        <f>_xlfn.XLOOKUP(C141,Raw_Data_Transaksi!$A$1:$A$1001,Raw_Data_Transaksi!$D$1:$D$1001,,0)</f>
        <v>PRD-113</v>
      </c>
      <c r="B141" t="str">
        <f>_xlfn.XLOOKUP(C141,Raw_Data_Transaksi!$A$1:$A$1001,Raw_Data_Transaksi!$C$1:$C$1001,,0)</f>
        <v>SLS-08</v>
      </c>
      <c r="C141" s="6" t="s">
        <v>225</v>
      </c>
      <c r="D141" s="7">
        <v>45816</v>
      </c>
      <c r="E141" s="10" t="str">
        <f>VLOOKUP(B141,Master_Sales!$A$1:$D$9,2,FALSE)</f>
        <v>Hendra Wijaya</v>
      </c>
      <c r="F141" s="10" t="str">
        <f>INDEX(Master_Sales!$D$1:$D$9,MATCH(Lembar_Kerja_Analisis!B141,Master_Sales!$A$1:$A$9,0))</f>
        <v>Tengah</v>
      </c>
      <c r="G141" s="10" t="str">
        <f>INDEX(Master_Sales!$C$1:$C$9,MATCH(Lembar_Kerja_Analisis!B141,Master_Sales!$A$1:$A$9,0))</f>
        <v>Yogyakarta</v>
      </c>
      <c r="H141" s="10" t="str">
        <f>VLOOKUP(A141,Master_Produk!$A$1:$E$16,2,FALSE)</f>
        <v>Wajan Anti Lengket 28cm</v>
      </c>
      <c r="I141" s="10" t="str">
        <f>INDEX(Master_Produk!$C$1:$C$16,MATCH(Lembar_Kerja_Analisis!A141,Master_Produk!$A$1:$A$16,0))</f>
        <v>Peralatan Rumah</v>
      </c>
      <c r="J141" s="19">
        <f>_xlfn.XLOOKUP(A141,Master_Produk!$A$1:$A$16,Master_Produk!$D$1:$D$16,,0)</f>
        <v>210000</v>
      </c>
      <c r="K141" s="19">
        <f>INDEX(Master_Produk!$E$1:$E$16,MATCH(Lembar_Kerja_Analisis!A141,Master_Produk!$A$1:$A$16,0))</f>
        <v>140000</v>
      </c>
      <c r="L141" s="8">
        <v>1</v>
      </c>
      <c r="M141" s="19">
        <f t="shared" si="10"/>
        <v>210000</v>
      </c>
      <c r="N141" s="9">
        <v>0.2</v>
      </c>
      <c r="O141" s="19">
        <f t="shared" si="11"/>
        <v>42000</v>
      </c>
      <c r="P141" s="19">
        <f t="shared" si="12"/>
        <v>168000</v>
      </c>
      <c r="Q141" s="19">
        <f t="shared" si="13"/>
        <v>140000</v>
      </c>
      <c r="R141" s="19">
        <f t="shared" si="14"/>
        <v>28000</v>
      </c>
    </row>
    <row r="142" spans="1:18" x14ac:dyDescent="0.25">
      <c r="A142" t="str">
        <f>_xlfn.XLOOKUP(C142,Raw_Data_Transaksi!$A$1:$A$1001,Raw_Data_Transaksi!$D$1:$D$1001,,0)</f>
        <v>PRD-115</v>
      </c>
      <c r="B142" t="str">
        <f>_xlfn.XLOOKUP(C142,Raw_Data_Transaksi!$A$1:$A$1001,Raw_Data_Transaksi!$C$1:$C$1001,,0)</f>
        <v>SLS-05</v>
      </c>
      <c r="C142" s="6" t="s">
        <v>226</v>
      </c>
      <c r="D142" s="7">
        <v>45704</v>
      </c>
      <c r="E142" s="10" t="str">
        <f>VLOOKUP(B142,Master_Sales!$A$1:$D$9,2,FALSE)</f>
        <v>Eko Prasetyo</v>
      </c>
      <c r="F142" s="10" t="str">
        <f>INDEX(Master_Sales!$D$1:$D$9,MATCH(Lembar_Kerja_Analisis!B142,Master_Sales!$A$1:$A$9,0))</f>
        <v>Tengah</v>
      </c>
      <c r="G142" s="10" t="str">
        <f>INDEX(Master_Sales!$C$1:$C$9,MATCH(Lembar_Kerja_Analisis!B142,Master_Sales!$A$1:$A$9,0))</f>
        <v>Semarang</v>
      </c>
      <c r="H142" s="10" t="str">
        <f>VLOOKUP(A142,Master_Produk!$A$1:$E$16,2,FALSE)</f>
        <v>Set Pisau Dapur Stainless</v>
      </c>
      <c r="I142" s="10" t="str">
        <f>INDEX(Master_Produk!$C$1:$C$16,MATCH(Lembar_Kerja_Analisis!A142,Master_Produk!$A$1:$A$16,0))</f>
        <v>Peralatan Rumah</v>
      </c>
      <c r="J142" s="19">
        <f>_xlfn.XLOOKUP(A142,Master_Produk!$A$1:$A$16,Master_Produk!$D$1:$D$16,,0)</f>
        <v>165000</v>
      </c>
      <c r="K142" s="19">
        <f>INDEX(Master_Produk!$E$1:$E$16,MATCH(Lembar_Kerja_Analisis!A142,Master_Produk!$A$1:$A$16,0))</f>
        <v>105000</v>
      </c>
      <c r="L142" s="8">
        <v>6</v>
      </c>
      <c r="M142" s="19">
        <f t="shared" si="10"/>
        <v>990000</v>
      </c>
      <c r="N142" s="9">
        <v>0.15</v>
      </c>
      <c r="O142" s="19">
        <f t="shared" si="11"/>
        <v>148500</v>
      </c>
      <c r="P142" s="19">
        <f t="shared" si="12"/>
        <v>841500</v>
      </c>
      <c r="Q142" s="19">
        <f t="shared" si="13"/>
        <v>630000</v>
      </c>
      <c r="R142" s="19">
        <f t="shared" si="14"/>
        <v>211500</v>
      </c>
    </row>
    <row r="143" spans="1:18" x14ac:dyDescent="0.25">
      <c r="A143" t="str">
        <f>_xlfn.XLOOKUP(C143,Raw_Data_Transaksi!$A$1:$A$1001,Raw_Data_Transaksi!$D$1:$D$1001,,0)</f>
        <v>PRD-115</v>
      </c>
      <c r="B143" t="str">
        <f>_xlfn.XLOOKUP(C143,Raw_Data_Transaksi!$A$1:$A$1001,Raw_Data_Transaksi!$C$1:$C$1001,,0)</f>
        <v>SLS-06</v>
      </c>
      <c r="C143" s="6" t="s">
        <v>227</v>
      </c>
      <c r="D143" s="7">
        <v>45934</v>
      </c>
      <c r="E143" s="10" t="str">
        <f>VLOOKUP(B143,Master_Sales!$A$1:$D$9,2,FALSE)</f>
        <v>Fajar Nugraha</v>
      </c>
      <c r="F143" s="10" t="str">
        <f>INDEX(Master_Sales!$D$1:$D$9,MATCH(Lembar_Kerja_Analisis!B143,Master_Sales!$A$1:$A$9,0))</f>
        <v>Timur</v>
      </c>
      <c r="G143" s="10" t="str">
        <f>INDEX(Master_Sales!$C$1:$C$9,MATCH(Lembar_Kerja_Analisis!B143,Master_Sales!$A$1:$A$9,0))</f>
        <v>Makassar</v>
      </c>
      <c r="H143" s="10" t="str">
        <f>VLOOKUP(A143,Master_Produk!$A$1:$E$16,2,FALSE)</f>
        <v>Set Pisau Dapur Stainless</v>
      </c>
      <c r="I143" s="10" t="str">
        <f>INDEX(Master_Produk!$C$1:$C$16,MATCH(Lembar_Kerja_Analisis!A143,Master_Produk!$A$1:$A$16,0))</f>
        <v>Peralatan Rumah</v>
      </c>
      <c r="J143" s="19">
        <f>_xlfn.XLOOKUP(A143,Master_Produk!$A$1:$A$16,Master_Produk!$D$1:$D$16,,0)</f>
        <v>165000</v>
      </c>
      <c r="K143" s="19">
        <f>INDEX(Master_Produk!$E$1:$E$16,MATCH(Lembar_Kerja_Analisis!A143,Master_Produk!$A$1:$A$16,0))</f>
        <v>105000</v>
      </c>
      <c r="L143" s="8">
        <v>9</v>
      </c>
      <c r="M143" s="19">
        <f t="shared" si="10"/>
        <v>1485000</v>
      </c>
      <c r="N143" s="9">
        <v>0.2</v>
      </c>
      <c r="O143" s="19">
        <f t="shared" si="11"/>
        <v>297000</v>
      </c>
      <c r="P143" s="19">
        <f t="shared" si="12"/>
        <v>1188000</v>
      </c>
      <c r="Q143" s="19">
        <f t="shared" si="13"/>
        <v>945000</v>
      </c>
      <c r="R143" s="19">
        <f t="shared" si="14"/>
        <v>243000</v>
      </c>
    </row>
    <row r="144" spans="1:18" x14ac:dyDescent="0.25">
      <c r="A144" t="str">
        <f>_xlfn.XLOOKUP(C144,Raw_Data_Transaksi!$A$1:$A$1001,Raw_Data_Transaksi!$D$1:$D$1001,,0)</f>
        <v>PRD-113</v>
      </c>
      <c r="B144" t="str">
        <f>_xlfn.XLOOKUP(C144,Raw_Data_Transaksi!$A$1:$A$1001,Raw_Data_Transaksi!$C$1:$C$1001,,0)</f>
        <v>SLS-05</v>
      </c>
      <c r="C144" s="6" t="s">
        <v>228</v>
      </c>
      <c r="D144" s="7">
        <v>45904</v>
      </c>
      <c r="E144" s="10" t="str">
        <f>VLOOKUP(B144,Master_Sales!$A$1:$D$9,2,FALSE)</f>
        <v>Eko Prasetyo</v>
      </c>
      <c r="F144" s="10" t="str">
        <f>INDEX(Master_Sales!$D$1:$D$9,MATCH(Lembar_Kerja_Analisis!B144,Master_Sales!$A$1:$A$9,0))</f>
        <v>Tengah</v>
      </c>
      <c r="G144" s="10" t="str">
        <f>INDEX(Master_Sales!$C$1:$C$9,MATCH(Lembar_Kerja_Analisis!B144,Master_Sales!$A$1:$A$9,0))</f>
        <v>Semarang</v>
      </c>
      <c r="H144" s="10" t="str">
        <f>VLOOKUP(A144,Master_Produk!$A$1:$E$16,2,FALSE)</f>
        <v>Wajan Anti Lengket 28cm</v>
      </c>
      <c r="I144" s="10" t="str">
        <f>INDEX(Master_Produk!$C$1:$C$16,MATCH(Lembar_Kerja_Analisis!A144,Master_Produk!$A$1:$A$16,0))</f>
        <v>Peralatan Rumah</v>
      </c>
      <c r="J144" s="19">
        <f>_xlfn.XLOOKUP(A144,Master_Produk!$A$1:$A$16,Master_Produk!$D$1:$D$16,,0)</f>
        <v>210000</v>
      </c>
      <c r="K144" s="19">
        <f>INDEX(Master_Produk!$E$1:$E$16,MATCH(Lembar_Kerja_Analisis!A144,Master_Produk!$A$1:$A$16,0))</f>
        <v>140000</v>
      </c>
      <c r="L144" s="8">
        <v>12</v>
      </c>
      <c r="M144" s="19">
        <f t="shared" si="10"/>
        <v>2520000</v>
      </c>
      <c r="N144" s="9">
        <v>0.1</v>
      </c>
      <c r="O144" s="19">
        <f t="shared" si="11"/>
        <v>252000</v>
      </c>
      <c r="P144" s="19">
        <f t="shared" si="12"/>
        <v>2268000</v>
      </c>
      <c r="Q144" s="19">
        <f t="shared" si="13"/>
        <v>1680000</v>
      </c>
      <c r="R144" s="19">
        <f t="shared" si="14"/>
        <v>588000</v>
      </c>
    </row>
    <row r="145" spans="1:18" x14ac:dyDescent="0.25">
      <c r="A145" t="str">
        <f>_xlfn.XLOOKUP(C145,Raw_Data_Transaksi!$A$1:$A$1001,Raw_Data_Transaksi!$D$1:$D$1001,,0)</f>
        <v>PRD-113</v>
      </c>
      <c r="B145" t="str">
        <f>_xlfn.XLOOKUP(C145,Raw_Data_Transaksi!$A$1:$A$1001,Raw_Data_Transaksi!$C$1:$C$1001,,0)</f>
        <v>SLS-04</v>
      </c>
      <c r="C145" s="6" t="s">
        <v>229</v>
      </c>
      <c r="D145" s="7">
        <v>45730</v>
      </c>
      <c r="E145" s="10" t="str">
        <f>VLOOKUP(B145,Master_Sales!$A$1:$D$9,2,FALSE)</f>
        <v>Dewi Anggraini</v>
      </c>
      <c r="F145" s="10" t="str">
        <f>INDEX(Master_Sales!$D$1:$D$9,MATCH(Lembar_Kerja_Analisis!B145,Master_Sales!$A$1:$A$9,0))</f>
        <v>Barat</v>
      </c>
      <c r="G145" s="10" t="str">
        <f>INDEX(Master_Sales!$C$1:$C$9,MATCH(Lembar_Kerja_Analisis!B145,Master_Sales!$A$1:$A$9,0))</f>
        <v>Medan</v>
      </c>
      <c r="H145" s="10" t="str">
        <f>VLOOKUP(A145,Master_Produk!$A$1:$E$16,2,FALSE)</f>
        <v>Wajan Anti Lengket 28cm</v>
      </c>
      <c r="I145" s="10" t="str">
        <f>INDEX(Master_Produk!$C$1:$C$16,MATCH(Lembar_Kerja_Analisis!A145,Master_Produk!$A$1:$A$16,0))</f>
        <v>Peralatan Rumah</v>
      </c>
      <c r="J145" s="19">
        <f>_xlfn.XLOOKUP(A145,Master_Produk!$A$1:$A$16,Master_Produk!$D$1:$D$16,,0)</f>
        <v>210000</v>
      </c>
      <c r="K145" s="19">
        <f>INDEX(Master_Produk!$E$1:$E$16,MATCH(Lembar_Kerja_Analisis!A145,Master_Produk!$A$1:$A$16,0))</f>
        <v>140000</v>
      </c>
      <c r="L145" s="8">
        <v>11</v>
      </c>
      <c r="M145" s="19">
        <f t="shared" si="10"/>
        <v>2310000</v>
      </c>
      <c r="N145" s="9">
        <v>0.15</v>
      </c>
      <c r="O145" s="19">
        <f t="shared" si="11"/>
        <v>346500</v>
      </c>
      <c r="P145" s="19">
        <f t="shared" si="12"/>
        <v>1963500</v>
      </c>
      <c r="Q145" s="19">
        <f t="shared" si="13"/>
        <v>1540000</v>
      </c>
      <c r="R145" s="19">
        <f t="shared" si="14"/>
        <v>423500</v>
      </c>
    </row>
    <row r="146" spans="1:18" x14ac:dyDescent="0.25">
      <c r="A146" t="str">
        <f>_xlfn.XLOOKUP(C146,Raw_Data_Transaksi!$A$1:$A$1001,Raw_Data_Transaksi!$D$1:$D$1001,,0)</f>
        <v>PRD-105</v>
      </c>
      <c r="B146" t="str">
        <f>_xlfn.XLOOKUP(C146,Raw_Data_Transaksi!$A$1:$A$1001,Raw_Data_Transaksi!$C$1:$C$1001,,0)</f>
        <v>SLS-02</v>
      </c>
      <c r="C146" s="6" t="s">
        <v>230</v>
      </c>
      <c r="D146" s="7">
        <v>45665</v>
      </c>
      <c r="E146" s="10" t="str">
        <f>VLOOKUP(B146,Master_Sales!$A$1:$D$9,2,FALSE)</f>
        <v>Budi Santoso</v>
      </c>
      <c r="F146" s="10" t="str">
        <f>INDEX(Master_Sales!$D$1:$D$9,MATCH(Lembar_Kerja_Analisis!B146,Master_Sales!$A$1:$A$9,0))</f>
        <v>Timur</v>
      </c>
      <c r="G146" s="10" t="str">
        <f>INDEX(Master_Sales!$C$1:$C$9,MATCH(Lembar_Kerja_Analisis!B146,Master_Sales!$A$1:$A$9,0))</f>
        <v>Surabaya</v>
      </c>
      <c r="H146" s="10" t="str">
        <f>VLOOKUP(A146,Master_Produk!$A$1:$E$16,2,FALSE)</f>
        <v>Kemeja Batik Katun Premium</v>
      </c>
      <c r="I146" s="10" t="str">
        <f>INDEX(Master_Produk!$C$1:$C$16,MATCH(Lembar_Kerja_Analisis!A146,Master_Produk!$A$1:$A$16,0))</f>
        <v>Fashion</v>
      </c>
      <c r="J146" s="19">
        <f>_xlfn.XLOOKUP(A146,Master_Produk!$A$1:$A$16,Master_Produk!$D$1:$D$16,,0)</f>
        <v>320000</v>
      </c>
      <c r="K146" s="19">
        <f>INDEX(Master_Produk!$E$1:$E$16,MATCH(Lembar_Kerja_Analisis!A146,Master_Produk!$A$1:$A$16,0))</f>
        <v>190000</v>
      </c>
      <c r="L146" s="8">
        <v>8</v>
      </c>
      <c r="M146" s="19">
        <f t="shared" si="10"/>
        <v>2560000</v>
      </c>
      <c r="N146" s="9">
        <v>0.1</v>
      </c>
      <c r="O146" s="19">
        <f t="shared" si="11"/>
        <v>256000</v>
      </c>
      <c r="P146" s="19">
        <f t="shared" si="12"/>
        <v>2304000</v>
      </c>
      <c r="Q146" s="19">
        <f t="shared" si="13"/>
        <v>1520000</v>
      </c>
      <c r="R146" s="19">
        <f t="shared" si="14"/>
        <v>784000</v>
      </c>
    </row>
    <row r="147" spans="1:18" x14ac:dyDescent="0.25">
      <c r="A147" t="str">
        <f>_xlfn.XLOOKUP(C147,Raw_Data_Transaksi!$A$1:$A$1001,Raw_Data_Transaksi!$D$1:$D$1001,,0)</f>
        <v>PRD-106</v>
      </c>
      <c r="B147" t="str">
        <f>_xlfn.XLOOKUP(C147,Raw_Data_Transaksi!$A$1:$A$1001,Raw_Data_Transaksi!$C$1:$C$1001,,0)</f>
        <v>SLS-02</v>
      </c>
      <c r="C147" s="6" t="s">
        <v>231</v>
      </c>
      <c r="D147" s="7">
        <v>45984</v>
      </c>
      <c r="E147" s="10" t="str">
        <f>VLOOKUP(B147,Master_Sales!$A$1:$D$9,2,FALSE)</f>
        <v>Budi Santoso</v>
      </c>
      <c r="F147" s="10" t="str">
        <f>INDEX(Master_Sales!$D$1:$D$9,MATCH(Lembar_Kerja_Analisis!B147,Master_Sales!$A$1:$A$9,0))</f>
        <v>Timur</v>
      </c>
      <c r="G147" s="10" t="str">
        <f>INDEX(Master_Sales!$C$1:$C$9,MATCH(Lembar_Kerja_Analisis!B147,Master_Sales!$A$1:$A$9,0))</f>
        <v>Surabaya</v>
      </c>
      <c r="H147" s="10" t="str">
        <f>VLOOKUP(A147,Master_Produk!$A$1:$E$16,2,FALSE)</f>
        <v>Celana Chino Slim Fit</v>
      </c>
      <c r="I147" s="10" t="str">
        <f>INDEX(Master_Produk!$C$1:$C$16,MATCH(Lembar_Kerja_Analisis!A147,Master_Produk!$A$1:$A$16,0))</f>
        <v>Fashion</v>
      </c>
      <c r="J147" s="19">
        <f>_xlfn.XLOOKUP(A147,Master_Produk!$A$1:$A$16,Master_Produk!$D$1:$D$16,,0)</f>
        <v>280000</v>
      </c>
      <c r="K147" s="19">
        <f>INDEX(Master_Produk!$E$1:$E$16,MATCH(Lembar_Kerja_Analisis!A147,Master_Produk!$A$1:$A$16,0))</f>
        <v>175000</v>
      </c>
      <c r="L147" s="8">
        <v>11</v>
      </c>
      <c r="M147" s="19">
        <f t="shared" si="10"/>
        <v>3080000</v>
      </c>
      <c r="N147" s="9">
        <v>0.05</v>
      </c>
      <c r="O147" s="19">
        <f t="shared" si="11"/>
        <v>154000</v>
      </c>
      <c r="P147" s="19">
        <f t="shared" si="12"/>
        <v>2926000</v>
      </c>
      <c r="Q147" s="19">
        <f t="shared" si="13"/>
        <v>1925000</v>
      </c>
      <c r="R147" s="19">
        <f t="shared" si="14"/>
        <v>1001000</v>
      </c>
    </row>
    <row r="148" spans="1:18" x14ac:dyDescent="0.25">
      <c r="A148" t="str">
        <f>_xlfn.XLOOKUP(C148,Raw_Data_Transaksi!$A$1:$A$1001,Raw_Data_Transaksi!$D$1:$D$1001,,0)</f>
        <v>PRD-104</v>
      </c>
      <c r="B148" t="str">
        <f>_xlfn.XLOOKUP(C148,Raw_Data_Transaksi!$A$1:$A$1001,Raw_Data_Transaksi!$C$1:$C$1001,,0)</f>
        <v>SLS-02</v>
      </c>
      <c r="C148" s="6" t="s">
        <v>232</v>
      </c>
      <c r="D148" s="7">
        <v>45970</v>
      </c>
      <c r="E148" s="10" t="str">
        <f>VLOOKUP(B148,Master_Sales!$A$1:$D$9,2,FALSE)</f>
        <v>Budi Santoso</v>
      </c>
      <c r="F148" s="10" t="str">
        <f>INDEX(Master_Sales!$D$1:$D$9,MATCH(Lembar_Kerja_Analisis!B148,Master_Sales!$A$1:$A$9,0))</f>
        <v>Timur</v>
      </c>
      <c r="G148" s="10" t="str">
        <f>INDEX(Master_Sales!$C$1:$C$9,MATCH(Lembar_Kerja_Analisis!B148,Master_Sales!$A$1:$A$9,0))</f>
        <v>Surabaya</v>
      </c>
      <c r="H148" s="10" t="str">
        <f>VLOOKUP(A148,Master_Produk!$A$1:$E$16,2,FALSE)</f>
        <v>Monitor 24" FHD 144Hz</v>
      </c>
      <c r="I148" s="10" t="str">
        <f>INDEX(Master_Produk!$C$1:$C$16,MATCH(Lembar_Kerja_Analisis!A148,Master_Produk!$A$1:$A$16,0))</f>
        <v>Elektronik</v>
      </c>
      <c r="J148" s="19">
        <f>_xlfn.XLOOKUP(A148,Master_Produk!$A$1:$A$16,Master_Produk!$D$1:$D$16,,0)</f>
        <v>1950000</v>
      </c>
      <c r="K148" s="19">
        <f>INDEX(Master_Produk!$E$1:$E$16,MATCH(Lembar_Kerja_Analisis!A148,Master_Produk!$A$1:$A$16,0))</f>
        <v>1500000</v>
      </c>
      <c r="L148" s="8">
        <v>11</v>
      </c>
      <c r="M148" s="19">
        <f t="shared" si="10"/>
        <v>21450000</v>
      </c>
      <c r="N148" s="9">
        <v>0.15</v>
      </c>
      <c r="O148" s="19">
        <f t="shared" si="11"/>
        <v>3217500</v>
      </c>
      <c r="P148" s="19">
        <f t="shared" si="12"/>
        <v>18232500</v>
      </c>
      <c r="Q148" s="19">
        <f t="shared" si="13"/>
        <v>16500000</v>
      </c>
      <c r="R148" s="19">
        <f t="shared" si="14"/>
        <v>1732500</v>
      </c>
    </row>
    <row r="149" spans="1:18" x14ac:dyDescent="0.25">
      <c r="A149" t="str">
        <f>_xlfn.XLOOKUP(C149,Raw_Data_Transaksi!$A$1:$A$1001,Raw_Data_Transaksi!$D$1:$D$1001,,0)</f>
        <v>PRD-103</v>
      </c>
      <c r="B149" t="str">
        <f>_xlfn.XLOOKUP(C149,Raw_Data_Transaksi!$A$1:$A$1001,Raw_Data_Transaksi!$C$1:$C$1001,,0)</f>
        <v>SLS-01</v>
      </c>
      <c r="C149" s="6" t="s">
        <v>233</v>
      </c>
      <c r="D149" s="7">
        <v>45717</v>
      </c>
      <c r="E149" s="10" t="str">
        <f>VLOOKUP(B149,Master_Sales!$A$1:$D$9,2,FALSE)</f>
        <v>Andi Pratama</v>
      </c>
      <c r="F149" s="10" t="str">
        <f>INDEX(Master_Sales!$D$1:$D$9,MATCH(Lembar_Kerja_Analisis!B149,Master_Sales!$A$1:$A$9,0))</f>
        <v>Barat</v>
      </c>
      <c r="G149" s="10" t="str">
        <f>INDEX(Master_Sales!$C$1:$C$9,MATCH(Lembar_Kerja_Analisis!B149,Master_Sales!$A$1:$A$9,0))</f>
        <v>Jakarta</v>
      </c>
      <c r="H149" s="10" t="str">
        <f>VLOOKUP(A149,Master_Produk!$A$1:$E$16,2,FALSE)</f>
        <v>Mechanical Keyboard RGB</v>
      </c>
      <c r="I149" s="10" t="str">
        <f>INDEX(Master_Produk!$C$1:$C$16,MATCH(Lembar_Kerja_Analisis!A149,Master_Produk!$A$1:$A$16,0))</f>
        <v>Elektronik</v>
      </c>
      <c r="J149" s="19">
        <f>_xlfn.XLOOKUP(A149,Master_Produk!$A$1:$A$16,Master_Produk!$D$1:$D$16,,0)</f>
        <v>750000</v>
      </c>
      <c r="K149" s="19">
        <f>INDEX(Master_Produk!$E$1:$E$16,MATCH(Lembar_Kerja_Analisis!A149,Master_Produk!$A$1:$A$16,0))</f>
        <v>520000</v>
      </c>
      <c r="L149" s="8">
        <v>1</v>
      </c>
      <c r="M149" s="19">
        <f t="shared" si="10"/>
        <v>750000</v>
      </c>
      <c r="N149" s="9">
        <v>0.1</v>
      </c>
      <c r="O149" s="19">
        <f t="shared" si="11"/>
        <v>75000</v>
      </c>
      <c r="P149" s="19">
        <f t="shared" si="12"/>
        <v>675000</v>
      </c>
      <c r="Q149" s="19">
        <f t="shared" si="13"/>
        <v>520000</v>
      </c>
      <c r="R149" s="19">
        <f t="shared" si="14"/>
        <v>155000</v>
      </c>
    </row>
    <row r="150" spans="1:18" x14ac:dyDescent="0.25">
      <c r="A150" t="str">
        <f>_xlfn.XLOOKUP(C150,Raw_Data_Transaksi!$A$1:$A$1001,Raw_Data_Transaksi!$D$1:$D$1001,,0)</f>
        <v>PRD-115</v>
      </c>
      <c r="B150" t="str">
        <f>_xlfn.XLOOKUP(C150,Raw_Data_Transaksi!$A$1:$A$1001,Raw_Data_Transaksi!$C$1:$C$1001,,0)</f>
        <v>SLS-03</v>
      </c>
      <c r="C150" s="6" t="s">
        <v>234</v>
      </c>
      <c r="D150" s="7">
        <v>45778</v>
      </c>
      <c r="E150" s="10" t="str">
        <f>VLOOKUP(B150,Master_Sales!$A$1:$D$9,2,FALSE)</f>
        <v>Citra Lestari</v>
      </c>
      <c r="F150" s="10" t="str">
        <f>INDEX(Master_Sales!$D$1:$D$9,MATCH(Lembar_Kerja_Analisis!B150,Master_Sales!$A$1:$A$9,0))</f>
        <v>Barat</v>
      </c>
      <c r="G150" s="10" t="str">
        <f>INDEX(Master_Sales!$C$1:$C$9,MATCH(Lembar_Kerja_Analisis!B150,Master_Sales!$A$1:$A$9,0))</f>
        <v>Bandung</v>
      </c>
      <c r="H150" s="10" t="str">
        <f>VLOOKUP(A150,Master_Produk!$A$1:$E$16,2,FALSE)</f>
        <v>Set Pisau Dapur Stainless</v>
      </c>
      <c r="I150" s="10" t="str">
        <f>INDEX(Master_Produk!$C$1:$C$16,MATCH(Lembar_Kerja_Analisis!A150,Master_Produk!$A$1:$A$16,0))</f>
        <v>Peralatan Rumah</v>
      </c>
      <c r="J150" s="19">
        <f>_xlfn.XLOOKUP(A150,Master_Produk!$A$1:$A$16,Master_Produk!$D$1:$D$16,,0)</f>
        <v>165000</v>
      </c>
      <c r="K150" s="19">
        <f>INDEX(Master_Produk!$E$1:$E$16,MATCH(Lembar_Kerja_Analisis!A150,Master_Produk!$A$1:$A$16,0))</f>
        <v>105000</v>
      </c>
      <c r="L150" s="8">
        <v>7</v>
      </c>
      <c r="M150" s="19">
        <f t="shared" si="10"/>
        <v>1155000</v>
      </c>
      <c r="N150" s="9">
        <v>0.15</v>
      </c>
      <c r="O150" s="19">
        <f t="shared" si="11"/>
        <v>173250</v>
      </c>
      <c r="P150" s="19">
        <f t="shared" si="12"/>
        <v>981750</v>
      </c>
      <c r="Q150" s="19">
        <f t="shared" si="13"/>
        <v>735000</v>
      </c>
      <c r="R150" s="19">
        <f t="shared" si="14"/>
        <v>246750</v>
      </c>
    </row>
    <row r="151" spans="1:18" x14ac:dyDescent="0.25">
      <c r="A151" t="str">
        <f>_xlfn.XLOOKUP(C151,Raw_Data_Transaksi!$A$1:$A$1001,Raw_Data_Transaksi!$D$1:$D$1001,,0)</f>
        <v>PRD-112</v>
      </c>
      <c r="B151" t="str">
        <f>_xlfn.XLOOKUP(C151,Raw_Data_Transaksi!$A$1:$A$1001,Raw_Data_Transaksi!$C$1:$C$1001,,0)</f>
        <v>SLS-03</v>
      </c>
      <c r="C151" s="6" t="s">
        <v>235</v>
      </c>
      <c r="D151" s="7">
        <v>45958</v>
      </c>
      <c r="E151" s="10" t="str">
        <f>VLOOKUP(B151,Master_Sales!$A$1:$D$9,2,FALSE)</f>
        <v>Citra Lestari</v>
      </c>
      <c r="F151" s="10" t="str">
        <f>INDEX(Master_Sales!$D$1:$D$9,MATCH(Lembar_Kerja_Analisis!B151,Master_Sales!$A$1:$A$9,0))</f>
        <v>Barat</v>
      </c>
      <c r="G151" s="10" t="str">
        <f>INDEX(Master_Sales!$C$1:$C$9,MATCH(Lembar_Kerja_Analisis!B151,Master_Sales!$A$1:$A$9,0))</f>
        <v>Bandung</v>
      </c>
      <c r="H151" s="10" t="str">
        <f>VLOOKUP(A151,Master_Produk!$A$1:$E$16,2,FALSE)</f>
        <v>Susu UHT Full Cream 1L</v>
      </c>
      <c r="I151" s="10" t="str">
        <f>INDEX(Master_Produk!$C$1:$C$16,MATCH(Lembar_Kerja_Analisis!A151,Master_Produk!$A$1:$A$16,0))</f>
        <v>F&amp;B</v>
      </c>
      <c r="J151" s="19">
        <f>_xlfn.XLOOKUP(A151,Master_Produk!$A$1:$A$16,Master_Produk!$D$1:$D$16,,0)</f>
        <v>22000</v>
      </c>
      <c r="K151" s="19">
        <f>INDEX(Master_Produk!$E$1:$E$16,MATCH(Lembar_Kerja_Analisis!A151,Master_Produk!$A$1:$A$16,0))</f>
        <v>18000</v>
      </c>
      <c r="L151" s="8">
        <v>23</v>
      </c>
      <c r="M151" s="19">
        <f t="shared" si="10"/>
        <v>506000</v>
      </c>
      <c r="N151" s="9">
        <v>0</v>
      </c>
      <c r="O151" s="19">
        <f t="shared" si="11"/>
        <v>0</v>
      </c>
      <c r="P151" s="19">
        <f t="shared" si="12"/>
        <v>506000</v>
      </c>
      <c r="Q151" s="19">
        <f t="shared" si="13"/>
        <v>414000</v>
      </c>
      <c r="R151" s="19">
        <f t="shared" si="14"/>
        <v>92000</v>
      </c>
    </row>
    <row r="152" spans="1:18" x14ac:dyDescent="0.25">
      <c r="A152" t="str">
        <f>_xlfn.XLOOKUP(C152,Raw_Data_Transaksi!$A$1:$A$1001,Raw_Data_Transaksi!$D$1:$D$1001,,0)</f>
        <v>PRD-101</v>
      </c>
      <c r="B152" t="str">
        <f>_xlfn.XLOOKUP(C152,Raw_Data_Transaksi!$A$1:$A$1001,Raw_Data_Transaksi!$C$1:$C$1001,,0)</f>
        <v>SLS-06</v>
      </c>
      <c r="C152" s="6" t="s">
        <v>236</v>
      </c>
      <c r="D152" s="7">
        <v>45801</v>
      </c>
      <c r="E152" s="10" t="str">
        <f>VLOOKUP(B152,Master_Sales!$A$1:$D$9,2,FALSE)</f>
        <v>Fajar Nugraha</v>
      </c>
      <c r="F152" s="10" t="str">
        <f>INDEX(Master_Sales!$D$1:$D$9,MATCH(Lembar_Kerja_Analisis!B152,Master_Sales!$A$1:$A$9,0))</f>
        <v>Timur</v>
      </c>
      <c r="G152" s="10" t="str">
        <f>INDEX(Master_Sales!$C$1:$C$9,MATCH(Lembar_Kerja_Analisis!B152,Master_Sales!$A$1:$A$9,0))</f>
        <v>Makassar</v>
      </c>
      <c r="H152" s="10" t="str">
        <f>VLOOKUP(A152,Master_Produk!$A$1:$E$16,2,FALSE)</f>
        <v>Laptop Ultrabook 14"</v>
      </c>
      <c r="I152" s="10" t="str">
        <f>INDEX(Master_Produk!$C$1:$C$16,MATCH(Lembar_Kerja_Analisis!A152,Master_Produk!$A$1:$A$16,0))</f>
        <v>Elektronik</v>
      </c>
      <c r="J152" s="19">
        <f>_xlfn.XLOOKUP(A152,Master_Produk!$A$1:$A$16,Master_Produk!$D$1:$D$16,,0)</f>
        <v>8500000</v>
      </c>
      <c r="K152" s="19">
        <f>INDEX(Master_Produk!$E$1:$E$16,MATCH(Lembar_Kerja_Analisis!A152,Master_Produk!$A$1:$A$16,0))</f>
        <v>7200000</v>
      </c>
      <c r="L152" s="8">
        <v>4</v>
      </c>
      <c r="M152" s="19">
        <f t="shared" si="10"/>
        <v>34000000</v>
      </c>
      <c r="N152" s="9">
        <v>0.15</v>
      </c>
      <c r="O152" s="19">
        <f t="shared" si="11"/>
        <v>5100000</v>
      </c>
      <c r="P152" s="19">
        <f t="shared" si="12"/>
        <v>28900000</v>
      </c>
      <c r="Q152" s="19">
        <f t="shared" si="13"/>
        <v>28800000</v>
      </c>
      <c r="R152" s="19">
        <f t="shared" si="14"/>
        <v>100000</v>
      </c>
    </row>
    <row r="153" spans="1:18" x14ac:dyDescent="0.25">
      <c r="A153" t="str">
        <f>_xlfn.XLOOKUP(C153,Raw_Data_Transaksi!$A$1:$A$1001,Raw_Data_Transaksi!$D$1:$D$1001,,0)</f>
        <v>PRD-111</v>
      </c>
      <c r="B153" t="str">
        <f>_xlfn.XLOOKUP(C153,Raw_Data_Transaksi!$A$1:$A$1001,Raw_Data_Transaksi!$C$1:$C$1001,,0)</f>
        <v>SLS-06</v>
      </c>
      <c r="C153" s="6" t="s">
        <v>237</v>
      </c>
      <c r="D153" s="7">
        <v>45708</v>
      </c>
      <c r="E153" s="10" t="str">
        <f>VLOOKUP(B153,Master_Sales!$A$1:$D$9,2,FALSE)</f>
        <v>Fajar Nugraha</v>
      </c>
      <c r="F153" s="10" t="str">
        <f>INDEX(Master_Sales!$D$1:$D$9,MATCH(Lembar_Kerja_Analisis!B153,Master_Sales!$A$1:$A$9,0))</f>
        <v>Timur</v>
      </c>
      <c r="G153" s="10" t="str">
        <f>INDEX(Master_Sales!$C$1:$C$9,MATCH(Lembar_Kerja_Analisis!B153,Master_Sales!$A$1:$A$9,0))</f>
        <v>Makassar</v>
      </c>
      <c r="H153" s="10" t="str">
        <f>VLOOKUP(A153,Master_Produk!$A$1:$E$16,2,FALSE)</f>
        <v>Beras Premium 5kg</v>
      </c>
      <c r="I153" s="10" t="str">
        <f>INDEX(Master_Produk!$C$1:$C$16,MATCH(Lembar_Kerja_Analisis!A153,Master_Produk!$A$1:$A$16,0))</f>
        <v>F&amp;B</v>
      </c>
      <c r="J153" s="19">
        <f>_xlfn.XLOOKUP(A153,Master_Produk!$A$1:$A$16,Master_Produk!$D$1:$D$16,,0)</f>
        <v>74000</v>
      </c>
      <c r="K153" s="19">
        <f>INDEX(Master_Produk!$E$1:$E$16,MATCH(Lembar_Kerja_Analisis!A153,Master_Produk!$A$1:$A$16,0))</f>
        <v>65000</v>
      </c>
      <c r="L153" s="8">
        <v>23</v>
      </c>
      <c r="M153" s="19">
        <f t="shared" si="10"/>
        <v>1702000</v>
      </c>
      <c r="N153" s="9">
        <v>0.1</v>
      </c>
      <c r="O153" s="19">
        <f t="shared" si="11"/>
        <v>170200</v>
      </c>
      <c r="P153" s="19">
        <f t="shared" si="12"/>
        <v>1531800</v>
      </c>
      <c r="Q153" s="19">
        <f t="shared" si="13"/>
        <v>1495000</v>
      </c>
      <c r="R153" s="19">
        <f t="shared" si="14"/>
        <v>36800</v>
      </c>
    </row>
    <row r="154" spans="1:18" x14ac:dyDescent="0.25">
      <c r="A154" t="str">
        <f>_xlfn.XLOOKUP(C154,Raw_Data_Transaksi!$A$1:$A$1001,Raw_Data_Transaksi!$D$1:$D$1001,,0)</f>
        <v>PRD-102</v>
      </c>
      <c r="B154" t="str">
        <f>_xlfn.XLOOKUP(C154,Raw_Data_Transaksi!$A$1:$A$1001,Raw_Data_Transaksi!$C$1:$C$1001,,0)</f>
        <v>SLS-08</v>
      </c>
      <c r="C154" s="6" t="s">
        <v>238</v>
      </c>
      <c r="D154" s="7">
        <v>45755</v>
      </c>
      <c r="E154" s="10" t="str">
        <f>VLOOKUP(B154,Master_Sales!$A$1:$D$9,2,FALSE)</f>
        <v>Hendra Wijaya</v>
      </c>
      <c r="F154" s="10" t="str">
        <f>INDEX(Master_Sales!$D$1:$D$9,MATCH(Lembar_Kerja_Analisis!B154,Master_Sales!$A$1:$A$9,0))</f>
        <v>Tengah</v>
      </c>
      <c r="G154" s="10" t="str">
        <f>INDEX(Master_Sales!$C$1:$C$9,MATCH(Lembar_Kerja_Analisis!B154,Master_Sales!$A$1:$A$9,0))</f>
        <v>Yogyakarta</v>
      </c>
      <c r="H154" s="10" t="str">
        <f>VLOOKUP(A154,Master_Produk!$A$1:$E$16,2,FALSE)</f>
        <v>Wireless Mouse Ergonomic</v>
      </c>
      <c r="I154" s="10" t="str">
        <f>INDEX(Master_Produk!$C$1:$C$16,MATCH(Lembar_Kerja_Analisis!A154,Master_Produk!$A$1:$A$16,0))</f>
        <v>Elektronik</v>
      </c>
      <c r="J154" s="19">
        <f>_xlfn.XLOOKUP(A154,Master_Produk!$A$1:$A$16,Master_Produk!$D$1:$D$16,,0)</f>
        <v>250000</v>
      </c>
      <c r="K154" s="19">
        <f>INDEX(Master_Produk!$E$1:$E$16,MATCH(Lembar_Kerja_Analisis!A154,Master_Produk!$A$1:$A$16,0))</f>
        <v>160000</v>
      </c>
      <c r="L154" s="8">
        <v>2</v>
      </c>
      <c r="M154" s="19">
        <f t="shared" si="10"/>
        <v>500000</v>
      </c>
      <c r="N154" s="9">
        <v>0.05</v>
      </c>
      <c r="O154" s="19">
        <f t="shared" si="11"/>
        <v>25000</v>
      </c>
      <c r="P154" s="19">
        <f t="shared" si="12"/>
        <v>475000</v>
      </c>
      <c r="Q154" s="19">
        <f t="shared" si="13"/>
        <v>320000</v>
      </c>
      <c r="R154" s="19">
        <f t="shared" si="14"/>
        <v>155000</v>
      </c>
    </row>
    <row r="155" spans="1:18" x14ac:dyDescent="0.25">
      <c r="A155" t="str">
        <f>_xlfn.XLOOKUP(C155,Raw_Data_Transaksi!$A$1:$A$1001,Raw_Data_Transaksi!$D$1:$D$1001,,0)</f>
        <v>PRD-103</v>
      </c>
      <c r="B155" t="str">
        <f>_xlfn.XLOOKUP(C155,Raw_Data_Transaksi!$A$1:$A$1001,Raw_Data_Transaksi!$C$1:$C$1001,,0)</f>
        <v>SLS-04</v>
      </c>
      <c r="C155" s="6" t="s">
        <v>239</v>
      </c>
      <c r="D155" s="7">
        <v>45782</v>
      </c>
      <c r="E155" s="10" t="str">
        <f>VLOOKUP(B155,Master_Sales!$A$1:$D$9,2,FALSE)</f>
        <v>Dewi Anggraini</v>
      </c>
      <c r="F155" s="10" t="str">
        <f>INDEX(Master_Sales!$D$1:$D$9,MATCH(Lembar_Kerja_Analisis!B155,Master_Sales!$A$1:$A$9,0))</f>
        <v>Barat</v>
      </c>
      <c r="G155" s="10" t="str">
        <f>INDEX(Master_Sales!$C$1:$C$9,MATCH(Lembar_Kerja_Analisis!B155,Master_Sales!$A$1:$A$9,0))</f>
        <v>Medan</v>
      </c>
      <c r="H155" s="10" t="str">
        <f>VLOOKUP(A155,Master_Produk!$A$1:$E$16,2,FALSE)</f>
        <v>Mechanical Keyboard RGB</v>
      </c>
      <c r="I155" s="10" t="str">
        <f>INDEX(Master_Produk!$C$1:$C$16,MATCH(Lembar_Kerja_Analisis!A155,Master_Produk!$A$1:$A$16,0))</f>
        <v>Elektronik</v>
      </c>
      <c r="J155" s="19">
        <f>_xlfn.XLOOKUP(A155,Master_Produk!$A$1:$A$16,Master_Produk!$D$1:$D$16,,0)</f>
        <v>750000</v>
      </c>
      <c r="K155" s="19">
        <f>INDEX(Master_Produk!$E$1:$E$16,MATCH(Lembar_Kerja_Analisis!A155,Master_Produk!$A$1:$A$16,0))</f>
        <v>520000</v>
      </c>
      <c r="L155" s="8">
        <v>2</v>
      </c>
      <c r="M155" s="19">
        <f t="shared" si="10"/>
        <v>1500000</v>
      </c>
      <c r="N155" s="9">
        <v>0.2</v>
      </c>
      <c r="O155" s="19">
        <f t="shared" si="11"/>
        <v>300000</v>
      </c>
      <c r="P155" s="19">
        <f t="shared" si="12"/>
        <v>1200000</v>
      </c>
      <c r="Q155" s="19">
        <f t="shared" si="13"/>
        <v>1040000</v>
      </c>
      <c r="R155" s="19">
        <f t="shared" si="14"/>
        <v>160000</v>
      </c>
    </row>
    <row r="156" spans="1:18" x14ac:dyDescent="0.25">
      <c r="A156" t="str">
        <f>_xlfn.XLOOKUP(C156,Raw_Data_Transaksi!$A$1:$A$1001,Raw_Data_Transaksi!$D$1:$D$1001,,0)</f>
        <v>PRD-106</v>
      </c>
      <c r="B156" t="str">
        <f>_xlfn.XLOOKUP(C156,Raw_Data_Transaksi!$A$1:$A$1001,Raw_Data_Transaksi!$C$1:$C$1001,,0)</f>
        <v>SLS-03</v>
      </c>
      <c r="C156" s="6" t="s">
        <v>240</v>
      </c>
      <c r="D156" s="7">
        <v>45777</v>
      </c>
      <c r="E156" s="10" t="str">
        <f>VLOOKUP(B156,Master_Sales!$A$1:$D$9,2,FALSE)</f>
        <v>Citra Lestari</v>
      </c>
      <c r="F156" s="10" t="str">
        <f>INDEX(Master_Sales!$D$1:$D$9,MATCH(Lembar_Kerja_Analisis!B156,Master_Sales!$A$1:$A$9,0))</f>
        <v>Barat</v>
      </c>
      <c r="G156" s="10" t="str">
        <f>INDEX(Master_Sales!$C$1:$C$9,MATCH(Lembar_Kerja_Analisis!B156,Master_Sales!$A$1:$A$9,0))</f>
        <v>Bandung</v>
      </c>
      <c r="H156" s="10" t="str">
        <f>VLOOKUP(A156,Master_Produk!$A$1:$E$16,2,FALSE)</f>
        <v>Celana Chino Slim Fit</v>
      </c>
      <c r="I156" s="10" t="str">
        <f>INDEX(Master_Produk!$C$1:$C$16,MATCH(Lembar_Kerja_Analisis!A156,Master_Produk!$A$1:$A$16,0))</f>
        <v>Fashion</v>
      </c>
      <c r="J156" s="19">
        <f>_xlfn.XLOOKUP(A156,Master_Produk!$A$1:$A$16,Master_Produk!$D$1:$D$16,,0)</f>
        <v>280000</v>
      </c>
      <c r="K156" s="19">
        <f>INDEX(Master_Produk!$E$1:$E$16,MATCH(Lembar_Kerja_Analisis!A156,Master_Produk!$A$1:$A$16,0))</f>
        <v>175000</v>
      </c>
      <c r="L156" s="8">
        <v>10</v>
      </c>
      <c r="M156" s="19">
        <f t="shared" si="10"/>
        <v>2800000</v>
      </c>
      <c r="N156" s="9">
        <v>0</v>
      </c>
      <c r="O156" s="19">
        <f t="shared" si="11"/>
        <v>0</v>
      </c>
      <c r="P156" s="19">
        <f t="shared" si="12"/>
        <v>2800000</v>
      </c>
      <c r="Q156" s="19">
        <f t="shared" si="13"/>
        <v>1750000</v>
      </c>
      <c r="R156" s="19">
        <f t="shared" si="14"/>
        <v>1050000</v>
      </c>
    </row>
    <row r="157" spans="1:18" x14ac:dyDescent="0.25">
      <c r="A157" t="str">
        <f>_xlfn.XLOOKUP(C157,Raw_Data_Transaksi!$A$1:$A$1001,Raw_Data_Transaksi!$D$1:$D$1001,,0)</f>
        <v>PRD-105</v>
      </c>
      <c r="B157" t="str">
        <f>_xlfn.XLOOKUP(C157,Raw_Data_Transaksi!$A$1:$A$1001,Raw_Data_Transaksi!$C$1:$C$1001,,0)</f>
        <v>SLS-03</v>
      </c>
      <c r="C157" s="6" t="s">
        <v>241</v>
      </c>
      <c r="D157" s="7">
        <v>45934</v>
      </c>
      <c r="E157" s="10" t="str">
        <f>VLOOKUP(B157,Master_Sales!$A$1:$D$9,2,FALSE)</f>
        <v>Citra Lestari</v>
      </c>
      <c r="F157" s="10" t="str">
        <f>INDEX(Master_Sales!$D$1:$D$9,MATCH(Lembar_Kerja_Analisis!B157,Master_Sales!$A$1:$A$9,0))</f>
        <v>Barat</v>
      </c>
      <c r="G157" s="10" t="str">
        <f>INDEX(Master_Sales!$C$1:$C$9,MATCH(Lembar_Kerja_Analisis!B157,Master_Sales!$A$1:$A$9,0))</f>
        <v>Bandung</v>
      </c>
      <c r="H157" s="10" t="str">
        <f>VLOOKUP(A157,Master_Produk!$A$1:$E$16,2,FALSE)</f>
        <v>Kemeja Batik Katun Premium</v>
      </c>
      <c r="I157" s="10" t="str">
        <f>INDEX(Master_Produk!$C$1:$C$16,MATCH(Lembar_Kerja_Analisis!A157,Master_Produk!$A$1:$A$16,0))</f>
        <v>Fashion</v>
      </c>
      <c r="J157" s="19">
        <f>_xlfn.XLOOKUP(A157,Master_Produk!$A$1:$A$16,Master_Produk!$D$1:$D$16,,0)</f>
        <v>320000</v>
      </c>
      <c r="K157" s="19">
        <f>INDEX(Master_Produk!$E$1:$E$16,MATCH(Lembar_Kerja_Analisis!A157,Master_Produk!$A$1:$A$16,0))</f>
        <v>190000</v>
      </c>
      <c r="L157" s="8">
        <v>2</v>
      </c>
      <c r="M157" s="19">
        <f t="shared" si="10"/>
        <v>640000</v>
      </c>
      <c r="N157" s="9">
        <v>0</v>
      </c>
      <c r="O157" s="19">
        <f t="shared" si="11"/>
        <v>0</v>
      </c>
      <c r="P157" s="19">
        <f t="shared" si="12"/>
        <v>640000</v>
      </c>
      <c r="Q157" s="19">
        <f t="shared" si="13"/>
        <v>380000</v>
      </c>
      <c r="R157" s="19">
        <f t="shared" si="14"/>
        <v>260000</v>
      </c>
    </row>
    <row r="158" spans="1:18" x14ac:dyDescent="0.25">
      <c r="A158" t="str">
        <f>_xlfn.XLOOKUP(C158,Raw_Data_Transaksi!$A$1:$A$1001,Raw_Data_Transaksi!$D$1:$D$1001,,0)</f>
        <v>PRD-110</v>
      </c>
      <c r="B158" t="str">
        <f>_xlfn.XLOOKUP(C158,Raw_Data_Transaksi!$A$1:$A$1001,Raw_Data_Transaksi!$C$1:$C$1001,,0)</f>
        <v>SLS-06</v>
      </c>
      <c r="C158" s="6" t="s">
        <v>242</v>
      </c>
      <c r="D158" s="7">
        <v>45779</v>
      </c>
      <c r="E158" s="10" t="str">
        <f>VLOOKUP(B158,Master_Sales!$A$1:$D$9,2,FALSE)</f>
        <v>Fajar Nugraha</v>
      </c>
      <c r="F158" s="10" t="str">
        <f>INDEX(Master_Sales!$D$1:$D$9,MATCH(Lembar_Kerja_Analisis!B158,Master_Sales!$A$1:$A$9,0))</f>
        <v>Timur</v>
      </c>
      <c r="G158" s="10" t="str">
        <f>INDEX(Master_Sales!$C$1:$C$9,MATCH(Lembar_Kerja_Analisis!B158,Master_Sales!$A$1:$A$9,0))</f>
        <v>Makassar</v>
      </c>
      <c r="H158" s="10" t="str">
        <f>VLOOKUP(A158,Master_Produk!$A$1:$E$16,2,FALSE)</f>
        <v>Minyak Goreng Sawit 2L</v>
      </c>
      <c r="I158" s="10" t="str">
        <f>INDEX(Master_Produk!$C$1:$C$16,MATCH(Lembar_Kerja_Analisis!A158,Master_Produk!$A$1:$A$16,0))</f>
        <v>F&amp;B</v>
      </c>
      <c r="J158" s="19">
        <f>_xlfn.XLOOKUP(A158,Master_Produk!$A$1:$A$16,Master_Produk!$D$1:$D$16,,0)</f>
        <v>36000</v>
      </c>
      <c r="K158" s="19">
        <f>INDEX(Master_Produk!$E$1:$E$16,MATCH(Lembar_Kerja_Analisis!A158,Master_Produk!$A$1:$A$16,0))</f>
        <v>31000</v>
      </c>
      <c r="L158" s="8">
        <v>8</v>
      </c>
      <c r="M158" s="19">
        <f t="shared" si="10"/>
        <v>288000</v>
      </c>
      <c r="N158" s="9">
        <v>0.1</v>
      </c>
      <c r="O158" s="19">
        <f t="shared" si="11"/>
        <v>28800</v>
      </c>
      <c r="P158" s="19">
        <f t="shared" si="12"/>
        <v>259200</v>
      </c>
      <c r="Q158" s="19">
        <f t="shared" si="13"/>
        <v>248000</v>
      </c>
      <c r="R158" s="19">
        <f t="shared" si="14"/>
        <v>11200</v>
      </c>
    </row>
    <row r="159" spans="1:18" x14ac:dyDescent="0.25">
      <c r="A159" t="str">
        <f>_xlfn.XLOOKUP(C159,Raw_Data_Transaksi!$A$1:$A$1001,Raw_Data_Transaksi!$D$1:$D$1001,,0)</f>
        <v>PRD-102</v>
      </c>
      <c r="B159" t="str">
        <f>_xlfn.XLOOKUP(C159,Raw_Data_Transaksi!$A$1:$A$1001,Raw_Data_Transaksi!$C$1:$C$1001,,0)</f>
        <v>SLS-02</v>
      </c>
      <c r="C159" s="6" t="s">
        <v>243</v>
      </c>
      <c r="D159" s="7">
        <v>45927</v>
      </c>
      <c r="E159" s="10" t="str">
        <f>VLOOKUP(B159,Master_Sales!$A$1:$D$9,2,FALSE)</f>
        <v>Budi Santoso</v>
      </c>
      <c r="F159" s="10" t="str">
        <f>INDEX(Master_Sales!$D$1:$D$9,MATCH(Lembar_Kerja_Analisis!B159,Master_Sales!$A$1:$A$9,0))</f>
        <v>Timur</v>
      </c>
      <c r="G159" s="10" t="str">
        <f>INDEX(Master_Sales!$C$1:$C$9,MATCH(Lembar_Kerja_Analisis!B159,Master_Sales!$A$1:$A$9,0))</f>
        <v>Surabaya</v>
      </c>
      <c r="H159" s="10" t="str">
        <f>VLOOKUP(A159,Master_Produk!$A$1:$E$16,2,FALSE)</f>
        <v>Wireless Mouse Ergonomic</v>
      </c>
      <c r="I159" s="10" t="str">
        <f>INDEX(Master_Produk!$C$1:$C$16,MATCH(Lembar_Kerja_Analisis!A159,Master_Produk!$A$1:$A$16,0))</f>
        <v>Elektronik</v>
      </c>
      <c r="J159" s="19">
        <f>_xlfn.XLOOKUP(A159,Master_Produk!$A$1:$A$16,Master_Produk!$D$1:$D$16,,0)</f>
        <v>250000</v>
      </c>
      <c r="K159" s="19">
        <f>INDEX(Master_Produk!$E$1:$E$16,MATCH(Lembar_Kerja_Analisis!A159,Master_Produk!$A$1:$A$16,0))</f>
        <v>160000</v>
      </c>
      <c r="L159" s="8">
        <v>8</v>
      </c>
      <c r="M159" s="19">
        <f t="shared" si="10"/>
        <v>2000000</v>
      </c>
      <c r="N159" s="9">
        <v>0.15</v>
      </c>
      <c r="O159" s="19">
        <f t="shared" si="11"/>
        <v>300000</v>
      </c>
      <c r="P159" s="19">
        <f t="shared" si="12"/>
        <v>1700000</v>
      </c>
      <c r="Q159" s="19">
        <f t="shared" si="13"/>
        <v>1280000</v>
      </c>
      <c r="R159" s="19">
        <f t="shared" si="14"/>
        <v>420000</v>
      </c>
    </row>
    <row r="160" spans="1:18" x14ac:dyDescent="0.25">
      <c r="A160" t="str">
        <f>_xlfn.XLOOKUP(C160,Raw_Data_Transaksi!$A$1:$A$1001,Raw_Data_Transaksi!$D$1:$D$1001,,0)</f>
        <v>PRD-109</v>
      </c>
      <c r="B160" t="str">
        <f>_xlfn.XLOOKUP(C160,Raw_Data_Transaksi!$A$1:$A$1001,Raw_Data_Transaksi!$C$1:$C$1001,,0)</f>
        <v>SLS-04</v>
      </c>
      <c r="C160" s="6" t="s">
        <v>244</v>
      </c>
      <c r="D160" s="7">
        <v>45889</v>
      </c>
      <c r="E160" s="10" t="str">
        <f>VLOOKUP(B160,Master_Sales!$A$1:$D$9,2,FALSE)</f>
        <v>Dewi Anggraini</v>
      </c>
      <c r="F160" s="10" t="str">
        <f>INDEX(Master_Sales!$D$1:$D$9,MATCH(Lembar_Kerja_Analisis!B160,Master_Sales!$A$1:$A$9,0))</f>
        <v>Barat</v>
      </c>
      <c r="G160" s="10" t="str">
        <f>INDEX(Master_Sales!$C$1:$C$9,MATCH(Lembar_Kerja_Analisis!B160,Master_Sales!$A$1:$A$9,0))</f>
        <v>Medan</v>
      </c>
      <c r="H160" s="10" t="str">
        <f>VLOOKUP(A160,Master_Produk!$A$1:$E$16,2,FALSE)</f>
        <v>Kopi Arabika Gayo 250g</v>
      </c>
      <c r="I160" s="10" t="str">
        <f>INDEX(Master_Produk!$C$1:$C$16,MATCH(Lembar_Kerja_Analisis!A160,Master_Produk!$A$1:$A$16,0))</f>
        <v>F&amp;B</v>
      </c>
      <c r="J160" s="19">
        <f>_xlfn.XLOOKUP(A160,Master_Produk!$A$1:$A$16,Master_Produk!$D$1:$D$16,,0)</f>
        <v>85000</v>
      </c>
      <c r="K160" s="19">
        <f>INDEX(Master_Produk!$E$1:$E$16,MATCH(Lembar_Kerja_Analisis!A160,Master_Produk!$A$1:$A$16,0))</f>
        <v>55000</v>
      </c>
      <c r="L160" s="8">
        <v>4</v>
      </c>
      <c r="M160" s="19">
        <f t="shared" si="10"/>
        <v>340000</v>
      </c>
      <c r="N160" s="9">
        <v>0.2</v>
      </c>
      <c r="O160" s="19">
        <f t="shared" si="11"/>
        <v>68000</v>
      </c>
      <c r="P160" s="19">
        <f t="shared" si="12"/>
        <v>272000</v>
      </c>
      <c r="Q160" s="19">
        <f t="shared" si="13"/>
        <v>220000</v>
      </c>
      <c r="R160" s="19">
        <f t="shared" si="14"/>
        <v>52000</v>
      </c>
    </row>
    <row r="161" spans="1:18" x14ac:dyDescent="0.25">
      <c r="A161" t="str">
        <f>_xlfn.XLOOKUP(C161,Raw_Data_Transaksi!$A$1:$A$1001,Raw_Data_Transaksi!$D$1:$D$1001,,0)</f>
        <v>PRD-108</v>
      </c>
      <c r="B161" t="str">
        <f>_xlfn.XLOOKUP(C161,Raw_Data_Transaksi!$A$1:$A$1001,Raw_Data_Transaksi!$C$1:$C$1001,,0)</f>
        <v>SLS-07</v>
      </c>
      <c r="C161" s="6" t="s">
        <v>245</v>
      </c>
      <c r="D161" s="7">
        <v>45689</v>
      </c>
      <c r="E161" s="10" t="str">
        <f>VLOOKUP(B161,Master_Sales!$A$1:$D$9,2,FALSE)</f>
        <v>Gita Permata</v>
      </c>
      <c r="F161" s="10" t="str">
        <f>INDEX(Master_Sales!$D$1:$D$9,MATCH(Lembar_Kerja_Analisis!B161,Master_Sales!$A$1:$A$9,0))</f>
        <v>Tengah</v>
      </c>
      <c r="G161" s="10" t="str">
        <f>INDEX(Master_Sales!$C$1:$C$9,MATCH(Lembar_Kerja_Analisis!B161,Master_Sales!$A$1:$A$9,0))</f>
        <v>Denpasar</v>
      </c>
      <c r="H161" s="10" t="str">
        <f>VLOOKUP(A161,Master_Produk!$A$1:$E$16,2,FALSE)</f>
        <v>Sepatu Sneakers Pria/Wanita</v>
      </c>
      <c r="I161" s="10" t="str">
        <f>INDEX(Master_Produk!$C$1:$C$16,MATCH(Lembar_Kerja_Analisis!A161,Master_Produk!$A$1:$A$16,0))</f>
        <v>Fashion</v>
      </c>
      <c r="J161" s="19">
        <f>_xlfn.XLOOKUP(A161,Master_Produk!$A$1:$A$16,Master_Produk!$D$1:$D$16,,0)</f>
        <v>450000</v>
      </c>
      <c r="K161" s="19">
        <f>INDEX(Master_Produk!$E$1:$E$16,MATCH(Lembar_Kerja_Analisis!A161,Master_Produk!$A$1:$A$16,0))</f>
        <v>290000</v>
      </c>
      <c r="L161" s="8">
        <v>7</v>
      </c>
      <c r="M161" s="19">
        <f t="shared" si="10"/>
        <v>3150000</v>
      </c>
      <c r="N161" s="9">
        <v>0</v>
      </c>
      <c r="O161" s="19">
        <f t="shared" si="11"/>
        <v>0</v>
      </c>
      <c r="P161" s="19">
        <f t="shared" si="12"/>
        <v>3150000</v>
      </c>
      <c r="Q161" s="19">
        <f t="shared" si="13"/>
        <v>2030000</v>
      </c>
      <c r="R161" s="19">
        <f t="shared" si="14"/>
        <v>1120000</v>
      </c>
    </row>
    <row r="162" spans="1:18" x14ac:dyDescent="0.25">
      <c r="A162" t="str">
        <f>_xlfn.XLOOKUP(C162,Raw_Data_Transaksi!$A$1:$A$1001,Raw_Data_Transaksi!$D$1:$D$1001,,0)</f>
        <v>PRD-115</v>
      </c>
      <c r="B162" t="str">
        <f>_xlfn.XLOOKUP(C162,Raw_Data_Transaksi!$A$1:$A$1001,Raw_Data_Transaksi!$C$1:$C$1001,,0)</f>
        <v>SLS-02</v>
      </c>
      <c r="C162" s="6" t="s">
        <v>246</v>
      </c>
      <c r="D162" s="7">
        <v>45695</v>
      </c>
      <c r="E162" s="10" t="str">
        <f>VLOOKUP(B162,Master_Sales!$A$1:$D$9,2,FALSE)</f>
        <v>Budi Santoso</v>
      </c>
      <c r="F162" s="10" t="str">
        <f>INDEX(Master_Sales!$D$1:$D$9,MATCH(Lembar_Kerja_Analisis!B162,Master_Sales!$A$1:$A$9,0))</f>
        <v>Timur</v>
      </c>
      <c r="G162" s="10" t="str">
        <f>INDEX(Master_Sales!$C$1:$C$9,MATCH(Lembar_Kerja_Analisis!B162,Master_Sales!$A$1:$A$9,0))</f>
        <v>Surabaya</v>
      </c>
      <c r="H162" s="10" t="str">
        <f>VLOOKUP(A162,Master_Produk!$A$1:$E$16,2,FALSE)</f>
        <v>Set Pisau Dapur Stainless</v>
      </c>
      <c r="I162" s="10" t="str">
        <f>INDEX(Master_Produk!$C$1:$C$16,MATCH(Lembar_Kerja_Analisis!A162,Master_Produk!$A$1:$A$16,0))</f>
        <v>Peralatan Rumah</v>
      </c>
      <c r="J162" s="19">
        <f>_xlfn.XLOOKUP(A162,Master_Produk!$A$1:$A$16,Master_Produk!$D$1:$D$16,,0)</f>
        <v>165000</v>
      </c>
      <c r="K162" s="19">
        <f>INDEX(Master_Produk!$E$1:$E$16,MATCH(Lembar_Kerja_Analisis!A162,Master_Produk!$A$1:$A$16,0))</f>
        <v>105000</v>
      </c>
      <c r="L162" s="8">
        <v>6</v>
      </c>
      <c r="M162" s="19">
        <f t="shared" si="10"/>
        <v>990000</v>
      </c>
      <c r="N162" s="9">
        <v>0.2</v>
      </c>
      <c r="O162" s="19">
        <f t="shared" si="11"/>
        <v>198000</v>
      </c>
      <c r="P162" s="19">
        <f t="shared" si="12"/>
        <v>792000</v>
      </c>
      <c r="Q162" s="19">
        <f t="shared" si="13"/>
        <v>630000</v>
      </c>
      <c r="R162" s="19">
        <f t="shared" si="14"/>
        <v>162000</v>
      </c>
    </row>
    <row r="163" spans="1:18" x14ac:dyDescent="0.25">
      <c r="A163" t="str">
        <f>_xlfn.XLOOKUP(C163,Raw_Data_Transaksi!$A$1:$A$1001,Raw_Data_Transaksi!$D$1:$D$1001,,0)</f>
        <v>PRD-110</v>
      </c>
      <c r="B163" t="str">
        <f>_xlfn.XLOOKUP(C163,Raw_Data_Transaksi!$A$1:$A$1001,Raw_Data_Transaksi!$C$1:$C$1001,,0)</f>
        <v>SLS-06</v>
      </c>
      <c r="C163" s="6" t="s">
        <v>247</v>
      </c>
      <c r="D163" s="7">
        <v>45798</v>
      </c>
      <c r="E163" s="10" t="str">
        <f>VLOOKUP(B163,Master_Sales!$A$1:$D$9,2,FALSE)</f>
        <v>Fajar Nugraha</v>
      </c>
      <c r="F163" s="10" t="str">
        <f>INDEX(Master_Sales!$D$1:$D$9,MATCH(Lembar_Kerja_Analisis!B163,Master_Sales!$A$1:$A$9,0))</f>
        <v>Timur</v>
      </c>
      <c r="G163" s="10" t="str">
        <f>INDEX(Master_Sales!$C$1:$C$9,MATCH(Lembar_Kerja_Analisis!B163,Master_Sales!$A$1:$A$9,0))</f>
        <v>Makassar</v>
      </c>
      <c r="H163" s="10" t="str">
        <f>VLOOKUP(A163,Master_Produk!$A$1:$E$16,2,FALSE)</f>
        <v>Minyak Goreng Sawit 2L</v>
      </c>
      <c r="I163" s="10" t="str">
        <f>INDEX(Master_Produk!$C$1:$C$16,MATCH(Lembar_Kerja_Analisis!A163,Master_Produk!$A$1:$A$16,0))</f>
        <v>F&amp;B</v>
      </c>
      <c r="J163" s="19">
        <f>_xlfn.XLOOKUP(A163,Master_Produk!$A$1:$A$16,Master_Produk!$D$1:$D$16,,0)</f>
        <v>36000</v>
      </c>
      <c r="K163" s="19">
        <f>INDEX(Master_Produk!$E$1:$E$16,MATCH(Lembar_Kerja_Analisis!A163,Master_Produk!$A$1:$A$16,0))</f>
        <v>31000</v>
      </c>
      <c r="L163" s="8">
        <v>22</v>
      </c>
      <c r="M163" s="19">
        <f t="shared" si="10"/>
        <v>792000</v>
      </c>
      <c r="N163" s="9">
        <v>0.2</v>
      </c>
      <c r="O163" s="19">
        <f t="shared" si="11"/>
        <v>158400</v>
      </c>
      <c r="P163" s="19">
        <f t="shared" si="12"/>
        <v>633600</v>
      </c>
      <c r="Q163" s="19">
        <f t="shared" si="13"/>
        <v>682000</v>
      </c>
      <c r="R163" s="19">
        <f t="shared" si="14"/>
        <v>-48400</v>
      </c>
    </row>
    <row r="164" spans="1:18" x14ac:dyDescent="0.25">
      <c r="A164" t="str">
        <f>_xlfn.XLOOKUP(C164,Raw_Data_Transaksi!$A$1:$A$1001,Raw_Data_Transaksi!$D$1:$D$1001,,0)</f>
        <v>PRD-113</v>
      </c>
      <c r="B164" t="str">
        <f>_xlfn.XLOOKUP(C164,Raw_Data_Transaksi!$A$1:$A$1001,Raw_Data_Transaksi!$C$1:$C$1001,,0)</f>
        <v>SLS-02</v>
      </c>
      <c r="C164" s="6" t="s">
        <v>248</v>
      </c>
      <c r="D164" s="7">
        <v>45708</v>
      </c>
      <c r="E164" s="10" t="str">
        <f>VLOOKUP(B164,Master_Sales!$A$1:$D$9,2,FALSE)</f>
        <v>Budi Santoso</v>
      </c>
      <c r="F164" s="10" t="str">
        <f>INDEX(Master_Sales!$D$1:$D$9,MATCH(Lembar_Kerja_Analisis!B164,Master_Sales!$A$1:$A$9,0))</f>
        <v>Timur</v>
      </c>
      <c r="G164" s="10" t="str">
        <f>INDEX(Master_Sales!$C$1:$C$9,MATCH(Lembar_Kerja_Analisis!B164,Master_Sales!$A$1:$A$9,0))</f>
        <v>Surabaya</v>
      </c>
      <c r="H164" s="10" t="str">
        <f>VLOOKUP(A164,Master_Produk!$A$1:$E$16,2,FALSE)</f>
        <v>Wajan Anti Lengket 28cm</v>
      </c>
      <c r="I164" s="10" t="str">
        <f>INDEX(Master_Produk!$C$1:$C$16,MATCH(Lembar_Kerja_Analisis!A164,Master_Produk!$A$1:$A$16,0))</f>
        <v>Peralatan Rumah</v>
      </c>
      <c r="J164" s="19">
        <f>_xlfn.XLOOKUP(A164,Master_Produk!$A$1:$A$16,Master_Produk!$D$1:$D$16,,0)</f>
        <v>210000</v>
      </c>
      <c r="K164" s="19">
        <f>INDEX(Master_Produk!$E$1:$E$16,MATCH(Lembar_Kerja_Analisis!A164,Master_Produk!$A$1:$A$16,0))</f>
        <v>140000</v>
      </c>
      <c r="L164" s="8">
        <v>11</v>
      </c>
      <c r="M164" s="19">
        <f t="shared" si="10"/>
        <v>2310000</v>
      </c>
      <c r="N164" s="9">
        <v>0.2</v>
      </c>
      <c r="O164" s="19">
        <f t="shared" si="11"/>
        <v>462000</v>
      </c>
      <c r="P164" s="19">
        <f t="shared" si="12"/>
        <v>1848000</v>
      </c>
      <c r="Q164" s="19">
        <f t="shared" si="13"/>
        <v>1540000</v>
      </c>
      <c r="R164" s="19">
        <f t="shared" si="14"/>
        <v>308000</v>
      </c>
    </row>
    <row r="165" spans="1:18" x14ac:dyDescent="0.25">
      <c r="A165" t="str">
        <f>_xlfn.XLOOKUP(C165,Raw_Data_Transaksi!$A$1:$A$1001,Raw_Data_Transaksi!$D$1:$D$1001,,0)</f>
        <v>PRD-107</v>
      </c>
      <c r="B165" t="str">
        <f>_xlfn.XLOOKUP(C165,Raw_Data_Transaksi!$A$1:$A$1001,Raw_Data_Transaksi!$C$1:$C$1001,,0)</f>
        <v>SLS-06</v>
      </c>
      <c r="C165" s="6" t="s">
        <v>249</v>
      </c>
      <c r="D165" s="7">
        <v>45774</v>
      </c>
      <c r="E165" s="10" t="str">
        <f>VLOOKUP(B165,Master_Sales!$A$1:$D$9,2,FALSE)</f>
        <v>Fajar Nugraha</v>
      </c>
      <c r="F165" s="10" t="str">
        <f>INDEX(Master_Sales!$D$1:$D$9,MATCH(Lembar_Kerja_Analisis!B165,Master_Sales!$A$1:$A$9,0))</f>
        <v>Timur</v>
      </c>
      <c r="G165" s="10" t="str">
        <f>INDEX(Master_Sales!$C$1:$C$9,MATCH(Lembar_Kerja_Analisis!B165,Master_Sales!$A$1:$A$9,0))</f>
        <v>Makassar</v>
      </c>
      <c r="H165" s="10" t="str">
        <f>VLOOKUP(A165,Master_Produk!$A$1:$E$16,2,FALSE)</f>
        <v>Jaket Hoodie Casual</v>
      </c>
      <c r="I165" s="10" t="str">
        <f>INDEX(Master_Produk!$C$1:$C$16,MATCH(Lembar_Kerja_Analisis!A165,Master_Produk!$A$1:$A$16,0))</f>
        <v>Fashion</v>
      </c>
      <c r="J165" s="19">
        <f>_xlfn.XLOOKUP(A165,Master_Produk!$A$1:$A$16,Master_Produk!$D$1:$D$16,,0)</f>
        <v>350000</v>
      </c>
      <c r="K165" s="19">
        <f>INDEX(Master_Produk!$E$1:$E$16,MATCH(Lembar_Kerja_Analisis!A165,Master_Produk!$A$1:$A$16,0))</f>
        <v>220000</v>
      </c>
      <c r="L165" s="8">
        <v>8</v>
      </c>
      <c r="M165" s="19">
        <f t="shared" si="10"/>
        <v>2800000</v>
      </c>
      <c r="N165" s="9">
        <v>0.15</v>
      </c>
      <c r="O165" s="19">
        <f t="shared" si="11"/>
        <v>420000</v>
      </c>
      <c r="P165" s="19">
        <f t="shared" si="12"/>
        <v>2380000</v>
      </c>
      <c r="Q165" s="19">
        <f t="shared" si="13"/>
        <v>1760000</v>
      </c>
      <c r="R165" s="19">
        <f t="shared" si="14"/>
        <v>620000</v>
      </c>
    </row>
    <row r="166" spans="1:18" x14ac:dyDescent="0.25">
      <c r="A166" t="str">
        <f>_xlfn.XLOOKUP(C166,Raw_Data_Transaksi!$A$1:$A$1001,Raw_Data_Transaksi!$D$1:$D$1001,,0)</f>
        <v>PRD-107</v>
      </c>
      <c r="B166" t="str">
        <f>_xlfn.XLOOKUP(C166,Raw_Data_Transaksi!$A$1:$A$1001,Raw_Data_Transaksi!$C$1:$C$1001,,0)</f>
        <v>SLS-06</v>
      </c>
      <c r="C166" s="6" t="s">
        <v>250</v>
      </c>
      <c r="D166" s="7">
        <v>45818</v>
      </c>
      <c r="E166" s="10" t="str">
        <f>VLOOKUP(B166,Master_Sales!$A$1:$D$9,2,FALSE)</f>
        <v>Fajar Nugraha</v>
      </c>
      <c r="F166" s="10" t="str">
        <f>INDEX(Master_Sales!$D$1:$D$9,MATCH(Lembar_Kerja_Analisis!B166,Master_Sales!$A$1:$A$9,0))</f>
        <v>Timur</v>
      </c>
      <c r="G166" s="10" t="str">
        <f>INDEX(Master_Sales!$C$1:$C$9,MATCH(Lembar_Kerja_Analisis!B166,Master_Sales!$A$1:$A$9,0))</f>
        <v>Makassar</v>
      </c>
      <c r="H166" s="10" t="str">
        <f>VLOOKUP(A166,Master_Produk!$A$1:$E$16,2,FALSE)</f>
        <v>Jaket Hoodie Casual</v>
      </c>
      <c r="I166" s="10" t="str">
        <f>INDEX(Master_Produk!$C$1:$C$16,MATCH(Lembar_Kerja_Analisis!A166,Master_Produk!$A$1:$A$16,0))</f>
        <v>Fashion</v>
      </c>
      <c r="J166" s="19">
        <f>_xlfn.XLOOKUP(A166,Master_Produk!$A$1:$A$16,Master_Produk!$D$1:$D$16,,0)</f>
        <v>350000</v>
      </c>
      <c r="K166" s="19">
        <f>INDEX(Master_Produk!$E$1:$E$16,MATCH(Lembar_Kerja_Analisis!A166,Master_Produk!$A$1:$A$16,0))</f>
        <v>220000</v>
      </c>
      <c r="L166" s="8">
        <v>11</v>
      </c>
      <c r="M166" s="19">
        <f t="shared" si="10"/>
        <v>3850000</v>
      </c>
      <c r="N166" s="9">
        <v>0.1</v>
      </c>
      <c r="O166" s="19">
        <f t="shared" si="11"/>
        <v>385000</v>
      </c>
      <c r="P166" s="19">
        <f t="shared" si="12"/>
        <v>3465000</v>
      </c>
      <c r="Q166" s="19">
        <f t="shared" si="13"/>
        <v>2420000</v>
      </c>
      <c r="R166" s="19">
        <f t="shared" si="14"/>
        <v>1045000</v>
      </c>
    </row>
    <row r="167" spans="1:18" x14ac:dyDescent="0.25">
      <c r="A167" t="str">
        <f>_xlfn.XLOOKUP(C167,Raw_Data_Transaksi!$A$1:$A$1001,Raw_Data_Transaksi!$D$1:$D$1001,,0)</f>
        <v>PRD-102</v>
      </c>
      <c r="B167" t="str">
        <f>_xlfn.XLOOKUP(C167,Raw_Data_Transaksi!$A$1:$A$1001,Raw_Data_Transaksi!$C$1:$C$1001,,0)</f>
        <v>SLS-02</v>
      </c>
      <c r="C167" s="6" t="s">
        <v>251</v>
      </c>
      <c r="D167" s="7">
        <v>45692</v>
      </c>
      <c r="E167" s="10" t="str">
        <f>VLOOKUP(B167,Master_Sales!$A$1:$D$9,2,FALSE)</f>
        <v>Budi Santoso</v>
      </c>
      <c r="F167" s="10" t="str">
        <f>INDEX(Master_Sales!$D$1:$D$9,MATCH(Lembar_Kerja_Analisis!B167,Master_Sales!$A$1:$A$9,0))</f>
        <v>Timur</v>
      </c>
      <c r="G167" s="10" t="str">
        <f>INDEX(Master_Sales!$C$1:$C$9,MATCH(Lembar_Kerja_Analisis!B167,Master_Sales!$A$1:$A$9,0))</f>
        <v>Surabaya</v>
      </c>
      <c r="H167" s="10" t="str">
        <f>VLOOKUP(A167,Master_Produk!$A$1:$E$16,2,FALSE)</f>
        <v>Wireless Mouse Ergonomic</v>
      </c>
      <c r="I167" s="10" t="str">
        <f>INDEX(Master_Produk!$C$1:$C$16,MATCH(Lembar_Kerja_Analisis!A167,Master_Produk!$A$1:$A$16,0))</f>
        <v>Elektronik</v>
      </c>
      <c r="J167" s="19">
        <f>_xlfn.XLOOKUP(A167,Master_Produk!$A$1:$A$16,Master_Produk!$D$1:$D$16,,0)</f>
        <v>250000</v>
      </c>
      <c r="K167" s="19">
        <f>INDEX(Master_Produk!$E$1:$E$16,MATCH(Lembar_Kerja_Analisis!A167,Master_Produk!$A$1:$A$16,0))</f>
        <v>160000</v>
      </c>
      <c r="L167" s="8">
        <v>2</v>
      </c>
      <c r="M167" s="19">
        <f t="shared" si="10"/>
        <v>500000</v>
      </c>
      <c r="N167" s="9">
        <v>0.15</v>
      </c>
      <c r="O167" s="19">
        <f t="shared" si="11"/>
        <v>75000</v>
      </c>
      <c r="P167" s="19">
        <f t="shared" si="12"/>
        <v>425000</v>
      </c>
      <c r="Q167" s="19">
        <f t="shared" si="13"/>
        <v>320000</v>
      </c>
      <c r="R167" s="19">
        <f t="shared" si="14"/>
        <v>105000</v>
      </c>
    </row>
    <row r="168" spans="1:18" x14ac:dyDescent="0.25">
      <c r="A168" t="str">
        <f>_xlfn.XLOOKUP(C168,Raw_Data_Transaksi!$A$1:$A$1001,Raw_Data_Transaksi!$D$1:$D$1001,,0)</f>
        <v>PRD-109</v>
      </c>
      <c r="B168" t="str">
        <f>_xlfn.XLOOKUP(C168,Raw_Data_Transaksi!$A$1:$A$1001,Raw_Data_Transaksi!$C$1:$C$1001,,0)</f>
        <v>SLS-01</v>
      </c>
      <c r="C168" s="6" t="s">
        <v>252</v>
      </c>
      <c r="D168" s="7">
        <v>45724</v>
      </c>
      <c r="E168" s="10" t="str">
        <f>VLOOKUP(B168,Master_Sales!$A$1:$D$9,2,FALSE)</f>
        <v>Andi Pratama</v>
      </c>
      <c r="F168" s="10" t="str">
        <f>INDEX(Master_Sales!$D$1:$D$9,MATCH(Lembar_Kerja_Analisis!B168,Master_Sales!$A$1:$A$9,0))</f>
        <v>Barat</v>
      </c>
      <c r="G168" s="10" t="str">
        <f>INDEX(Master_Sales!$C$1:$C$9,MATCH(Lembar_Kerja_Analisis!B168,Master_Sales!$A$1:$A$9,0))</f>
        <v>Jakarta</v>
      </c>
      <c r="H168" s="10" t="str">
        <f>VLOOKUP(A168,Master_Produk!$A$1:$E$16,2,FALSE)</f>
        <v>Kopi Arabika Gayo 250g</v>
      </c>
      <c r="I168" s="10" t="str">
        <f>INDEX(Master_Produk!$C$1:$C$16,MATCH(Lembar_Kerja_Analisis!A168,Master_Produk!$A$1:$A$16,0))</f>
        <v>F&amp;B</v>
      </c>
      <c r="J168" s="19">
        <f>_xlfn.XLOOKUP(A168,Master_Produk!$A$1:$A$16,Master_Produk!$D$1:$D$16,,0)</f>
        <v>85000</v>
      </c>
      <c r="K168" s="19">
        <f>INDEX(Master_Produk!$E$1:$E$16,MATCH(Lembar_Kerja_Analisis!A168,Master_Produk!$A$1:$A$16,0))</f>
        <v>55000</v>
      </c>
      <c r="L168" s="8">
        <v>20</v>
      </c>
      <c r="M168" s="19">
        <f t="shared" si="10"/>
        <v>1700000</v>
      </c>
      <c r="N168" s="9">
        <v>0.2</v>
      </c>
      <c r="O168" s="19">
        <f t="shared" si="11"/>
        <v>340000</v>
      </c>
      <c r="P168" s="19">
        <f t="shared" si="12"/>
        <v>1360000</v>
      </c>
      <c r="Q168" s="19">
        <f t="shared" si="13"/>
        <v>1100000</v>
      </c>
      <c r="R168" s="19">
        <f t="shared" si="14"/>
        <v>260000</v>
      </c>
    </row>
    <row r="169" spans="1:18" x14ac:dyDescent="0.25">
      <c r="A169" t="str">
        <f>_xlfn.XLOOKUP(C169,Raw_Data_Transaksi!$A$1:$A$1001,Raw_Data_Transaksi!$D$1:$D$1001,,0)</f>
        <v>PRD-106</v>
      </c>
      <c r="B169" t="str">
        <f>_xlfn.XLOOKUP(C169,Raw_Data_Transaksi!$A$1:$A$1001,Raw_Data_Transaksi!$C$1:$C$1001,,0)</f>
        <v>SLS-07</v>
      </c>
      <c r="C169" s="6" t="s">
        <v>253</v>
      </c>
      <c r="D169" s="7">
        <v>45868</v>
      </c>
      <c r="E169" s="10" t="str">
        <f>VLOOKUP(B169,Master_Sales!$A$1:$D$9,2,FALSE)</f>
        <v>Gita Permata</v>
      </c>
      <c r="F169" s="10" t="str">
        <f>INDEX(Master_Sales!$D$1:$D$9,MATCH(Lembar_Kerja_Analisis!B169,Master_Sales!$A$1:$A$9,0))</f>
        <v>Tengah</v>
      </c>
      <c r="G169" s="10" t="str">
        <f>INDEX(Master_Sales!$C$1:$C$9,MATCH(Lembar_Kerja_Analisis!B169,Master_Sales!$A$1:$A$9,0))</f>
        <v>Denpasar</v>
      </c>
      <c r="H169" s="10" t="str">
        <f>VLOOKUP(A169,Master_Produk!$A$1:$E$16,2,FALSE)</f>
        <v>Celana Chino Slim Fit</v>
      </c>
      <c r="I169" s="10" t="str">
        <f>INDEX(Master_Produk!$C$1:$C$16,MATCH(Lembar_Kerja_Analisis!A169,Master_Produk!$A$1:$A$16,0))</f>
        <v>Fashion</v>
      </c>
      <c r="J169" s="19">
        <f>_xlfn.XLOOKUP(A169,Master_Produk!$A$1:$A$16,Master_Produk!$D$1:$D$16,,0)</f>
        <v>280000</v>
      </c>
      <c r="K169" s="19">
        <f>INDEX(Master_Produk!$E$1:$E$16,MATCH(Lembar_Kerja_Analisis!A169,Master_Produk!$A$1:$A$16,0))</f>
        <v>175000</v>
      </c>
      <c r="L169" s="8">
        <v>12</v>
      </c>
      <c r="M169" s="19">
        <f t="shared" si="10"/>
        <v>3360000</v>
      </c>
      <c r="N169" s="9">
        <v>0</v>
      </c>
      <c r="O169" s="19">
        <f t="shared" si="11"/>
        <v>0</v>
      </c>
      <c r="P169" s="19">
        <f t="shared" si="12"/>
        <v>3360000</v>
      </c>
      <c r="Q169" s="19">
        <f t="shared" si="13"/>
        <v>2100000</v>
      </c>
      <c r="R169" s="19">
        <f t="shared" si="14"/>
        <v>1260000</v>
      </c>
    </row>
    <row r="170" spans="1:18" x14ac:dyDescent="0.25">
      <c r="A170" t="str">
        <f>_xlfn.XLOOKUP(C170,Raw_Data_Transaksi!$A$1:$A$1001,Raw_Data_Transaksi!$D$1:$D$1001,,0)</f>
        <v>PRD-102</v>
      </c>
      <c r="B170" t="str">
        <f>_xlfn.XLOOKUP(C170,Raw_Data_Transaksi!$A$1:$A$1001,Raw_Data_Transaksi!$C$1:$C$1001,,0)</f>
        <v>SLS-04</v>
      </c>
      <c r="C170" s="6" t="s">
        <v>254</v>
      </c>
      <c r="D170" s="7">
        <v>45838</v>
      </c>
      <c r="E170" s="10" t="str">
        <f>VLOOKUP(B170,Master_Sales!$A$1:$D$9,2,FALSE)</f>
        <v>Dewi Anggraini</v>
      </c>
      <c r="F170" s="10" t="str">
        <f>INDEX(Master_Sales!$D$1:$D$9,MATCH(Lembar_Kerja_Analisis!B170,Master_Sales!$A$1:$A$9,0))</f>
        <v>Barat</v>
      </c>
      <c r="G170" s="10" t="str">
        <f>INDEX(Master_Sales!$C$1:$C$9,MATCH(Lembar_Kerja_Analisis!B170,Master_Sales!$A$1:$A$9,0))</f>
        <v>Medan</v>
      </c>
      <c r="H170" s="10" t="str">
        <f>VLOOKUP(A170,Master_Produk!$A$1:$E$16,2,FALSE)</f>
        <v>Wireless Mouse Ergonomic</v>
      </c>
      <c r="I170" s="10" t="str">
        <f>INDEX(Master_Produk!$C$1:$C$16,MATCH(Lembar_Kerja_Analisis!A170,Master_Produk!$A$1:$A$16,0))</f>
        <v>Elektronik</v>
      </c>
      <c r="J170" s="19">
        <f>_xlfn.XLOOKUP(A170,Master_Produk!$A$1:$A$16,Master_Produk!$D$1:$D$16,,0)</f>
        <v>250000</v>
      </c>
      <c r="K170" s="19">
        <f>INDEX(Master_Produk!$E$1:$E$16,MATCH(Lembar_Kerja_Analisis!A170,Master_Produk!$A$1:$A$16,0))</f>
        <v>160000</v>
      </c>
      <c r="L170" s="8">
        <v>3</v>
      </c>
      <c r="M170" s="19">
        <f t="shared" si="10"/>
        <v>750000</v>
      </c>
      <c r="N170" s="9">
        <v>0.15</v>
      </c>
      <c r="O170" s="19">
        <f t="shared" si="11"/>
        <v>112500</v>
      </c>
      <c r="P170" s="19">
        <f t="shared" si="12"/>
        <v>637500</v>
      </c>
      <c r="Q170" s="19">
        <f t="shared" si="13"/>
        <v>480000</v>
      </c>
      <c r="R170" s="19">
        <f t="shared" si="14"/>
        <v>157500</v>
      </c>
    </row>
    <row r="171" spans="1:18" x14ac:dyDescent="0.25">
      <c r="A171" t="str">
        <f>_xlfn.XLOOKUP(C171,Raw_Data_Transaksi!$A$1:$A$1001,Raw_Data_Transaksi!$D$1:$D$1001,,0)</f>
        <v>PRD-106</v>
      </c>
      <c r="B171" t="str">
        <f>_xlfn.XLOOKUP(C171,Raw_Data_Transaksi!$A$1:$A$1001,Raw_Data_Transaksi!$C$1:$C$1001,,0)</f>
        <v>SLS-02</v>
      </c>
      <c r="C171" s="6" t="s">
        <v>255</v>
      </c>
      <c r="D171" s="7">
        <v>45942</v>
      </c>
      <c r="E171" s="10" t="str">
        <f>VLOOKUP(B171,Master_Sales!$A$1:$D$9,2,FALSE)</f>
        <v>Budi Santoso</v>
      </c>
      <c r="F171" s="10" t="str">
        <f>INDEX(Master_Sales!$D$1:$D$9,MATCH(Lembar_Kerja_Analisis!B171,Master_Sales!$A$1:$A$9,0))</f>
        <v>Timur</v>
      </c>
      <c r="G171" s="10" t="str">
        <f>INDEX(Master_Sales!$C$1:$C$9,MATCH(Lembar_Kerja_Analisis!B171,Master_Sales!$A$1:$A$9,0))</f>
        <v>Surabaya</v>
      </c>
      <c r="H171" s="10" t="str">
        <f>VLOOKUP(A171,Master_Produk!$A$1:$E$16,2,FALSE)</f>
        <v>Celana Chino Slim Fit</v>
      </c>
      <c r="I171" s="10" t="str">
        <f>INDEX(Master_Produk!$C$1:$C$16,MATCH(Lembar_Kerja_Analisis!A171,Master_Produk!$A$1:$A$16,0))</f>
        <v>Fashion</v>
      </c>
      <c r="J171" s="19">
        <f>_xlfn.XLOOKUP(A171,Master_Produk!$A$1:$A$16,Master_Produk!$D$1:$D$16,,0)</f>
        <v>280000</v>
      </c>
      <c r="K171" s="19">
        <f>INDEX(Master_Produk!$E$1:$E$16,MATCH(Lembar_Kerja_Analisis!A171,Master_Produk!$A$1:$A$16,0))</f>
        <v>175000</v>
      </c>
      <c r="L171" s="8">
        <v>5</v>
      </c>
      <c r="M171" s="19">
        <f t="shared" si="10"/>
        <v>1400000</v>
      </c>
      <c r="N171" s="9">
        <v>0.2</v>
      </c>
      <c r="O171" s="19">
        <f t="shared" si="11"/>
        <v>280000</v>
      </c>
      <c r="P171" s="19">
        <f t="shared" si="12"/>
        <v>1120000</v>
      </c>
      <c r="Q171" s="19">
        <f t="shared" si="13"/>
        <v>875000</v>
      </c>
      <c r="R171" s="19">
        <f t="shared" si="14"/>
        <v>245000</v>
      </c>
    </row>
    <row r="172" spans="1:18" x14ac:dyDescent="0.25">
      <c r="A172" t="str">
        <f>_xlfn.XLOOKUP(C172,Raw_Data_Transaksi!$A$1:$A$1001,Raw_Data_Transaksi!$D$1:$D$1001,,0)</f>
        <v>PRD-115</v>
      </c>
      <c r="B172" t="str">
        <f>_xlfn.XLOOKUP(C172,Raw_Data_Transaksi!$A$1:$A$1001,Raw_Data_Transaksi!$C$1:$C$1001,,0)</f>
        <v>SLS-05</v>
      </c>
      <c r="C172" s="6" t="s">
        <v>256</v>
      </c>
      <c r="D172" s="7">
        <v>45969</v>
      </c>
      <c r="E172" s="10" t="str">
        <f>VLOOKUP(B172,Master_Sales!$A$1:$D$9,2,FALSE)</f>
        <v>Eko Prasetyo</v>
      </c>
      <c r="F172" s="10" t="str">
        <f>INDEX(Master_Sales!$D$1:$D$9,MATCH(Lembar_Kerja_Analisis!B172,Master_Sales!$A$1:$A$9,0))</f>
        <v>Tengah</v>
      </c>
      <c r="G172" s="10" t="str">
        <f>INDEX(Master_Sales!$C$1:$C$9,MATCH(Lembar_Kerja_Analisis!B172,Master_Sales!$A$1:$A$9,0))</f>
        <v>Semarang</v>
      </c>
      <c r="H172" s="10" t="str">
        <f>VLOOKUP(A172,Master_Produk!$A$1:$E$16,2,FALSE)</f>
        <v>Set Pisau Dapur Stainless</v>
      </c>
      <c r="I172" s="10" t="str">
        <f>INDEX(Master_Produk!$C$1:$C$16,MATCH(Lembar_Kerja_Analisis!A172,Master_Produk!$A$1:$A$16,0))</f>
        <v>Peralatan Rumah</v>
      </c>
      <c r="J172" s="19">
        <f>_xlfn.XLOOKUP(A172,Master_Produk!$A$1:$A$16,Master_Produk!$D$1:$D$16,,0)</f>
        <v>165000</v>
      </c>
      <c r="K172" s="19">
        <f>INDEX(Master_Produk!$E$1:$E$16,MATCH(Lembar_Kerja_Analisis!A172,Master_Produk!$A$1:$A$16,0))</f>
        <v>105000</v>
      </c>
      <c r="L172" s="8">
        <v>1</v>
      </c>
      <c r="M172" s="19">
        <f t="shared" si="10"/>
        <v>165000</v>
      </c>
      <c r="N172" s="9">
        <v>0.05</v>
      </c>
      <c r="O172" s="19">
        <f t="shared" si="11"/>
        <v>8250</v>
      </c>
      <c r="P172" s="19">
        <f t="shared" si="12"/>
        <v>156750</v>
      </c>
      <c r="Q172" s="19">
        <f t="shared" si="13"/>
        <v>105000</v>
      </c>
      <c r="R172" s="19">
        <f t="shared" si="14"/>
        <v>51750</v>
      </c>
    </row>
    <row r="173" spans="1:18" x14ac:dyDescent="0.25">
      <c r="A173" t="str">
        <f>_xlfn.XLOOKUP(C173,Raw_Data_Transaksi!$A$1:$A$1001,Raw_Data_Transaksi!$D$1:$D$1001,,0)</f>
        <v>PRD-106</v>
      </c>
      <c r="B173" t="str">
        <f>_xlfn.XLOOKUP(C173,Raw_Data_Transaksi!$A$1:$A$1001,Raw_Data_Transaksi!$C$1:$C$1001,,0)</f>
        <v>SLS-01</v>
      </c>
      <c r="C173" s="6" t="s">
        <v>257</v>
      </c>
      <c r="D173" s="7">
        <v>45831</v>
      </c>
      <c r="E173" s="10" t="str">
        <f>VLOOKUP(B173,Master_Sales!$A$1:$D$9,2,FALSE)</f>
        <v>Andi Pratama</v>
      </c>
      <c r="F173" s="10" t="str">
        <f>INDEX(Master_Sales!$D$1:$D$9,MATCH(Lembar_Kerja_Analisis!B173,Master_Sales!$A$1:$A$9,0))</f>
        <v>Barat</v>
      </c>
      <c r="G173" s="10" t="str">
        <f>INDEX(Master_Sales!$C$1:$C$9,MATCH(Lembar_Kerja_Analisis!B173,Master_Sales!$A$1:$A$9,0))</f>
        <v>Jakarta</v>
      </c>
      <c r="H173" s="10" t="str">
        <f>VLOOKUP(A173,Master_Produk!$A$1:$E$16,2,FALSE)</f>
        <v>Celana Chino Slim Fit</v>
      </c>
      <c r="I173" s="10" t="str">
        <f>INDEX(Master_Produk!$C$1:$C$16,MATCH(Lembar_Kerja_Analisis!A173,Master_Produk!$A$1:$A$16,0))</f>
        <v>Fashion</v>
      </c>
      <c r="J173" s="19">
        <f>_xlfn.XLOOKUP(A173,Master_Produk!$A$1:$A$16,Master_Produk!$D$1:$D$16,,0)</f>
        <v>280000</v>
      </c>
      <c r="K173" s="19">
        <f>INDEX(Master_Produk!$E$1:$E$16,MATCH(Lembar_Kerja_Analisis!A173,Master_Produk!$A$1:$A$16,0))</f>
        <v>175000</v>
      </c>
      <c r="L173" s="8">
        <v>3</v>
      </c>
      <c r="M173" s="19">
        <f t="shared" si="10"/>
        <v>840000</v>
      </c>
      <c r="N173" s="9">
        <v>0.05</v>
      </c>
      <c r="O173" s="19">
        <f t="shared" si="11"/>
        <v>42000</v>
      </c>
      <c r="P173" s="19">
        <f t="shared" si="12"/>
        <v>798000</v>
      </c>
      <c r="Q173" s="19">
        <f t="shared" si="13"/>
        <v>525000</v>
      </c>
      <c r="R173" s="19">
        <f t="shared" si="14"/>
        <v>273000</v>
      </c>
    </row>
    <row r="174" spans="1:18" x14ac:dyDescent="0.25">
      <c r="A174" t="str">
        <f>_xlfn.XLOOKUP(C174,Raw_Data_Transaksi!$A$1:$A$1001,Raw_Data_Transaksi!$D$1:$D$1001,,0)</f>
        <v>PRD-101</v>
      </c>
      <c r="B174" t="str">
        <f>_xlfn.XLOOKUP(C174,Raw_Data_Transaksi!$A$1:$A$1001,Raw_Data_Transaksi!$C$1:$C$1001,,0)</f>
        <v>SLS-02</v>
      </c>
      <c r="C174" s="6" t="s">
        <v>258</v>
      </c>
      <c r="D174" s="7">
        <v>45982</v>
      </c>
      <c r="E174" s="10" t="str">
        <f>VLOOKUP(B174,Master_Sales!$A$1:$D$9,2,FALSE)</f>
        <v>Budi Santoso</v>
      </c>
      <c r="F174" s="10" t="str">
        <f>INDEX(Master_Sales!$D$1:$D$9,MATCH(Lembar_Kerja_Analisis!B174,Master_Sales!$A$1:$A$9,0))</f>
        <v>Timur</v>
      </c>
      <c r="G174" s="10" t="str">
        <f>INDEX(Master_Sales!$C$1:$C$9,MATCH(Lembar_Kerja_Analisis!B174,Master_Sales!$A$1:$A$9,0))</f>
        <v>Surabaya</v>
      </c>
      <c r="H174" s="10" t="str">
        <f>VLOOKUP(A174,Master_Produk!$A$1:$E$16,2,FALSE)</f>
        <v>Laptop Ultrabook 14"</v>
      </c>
      <c r="I174" s="10" t="str">
        <f>INDEX(Master_Produk!$C$1:$C$16,MATCH(Lembar_Kerja_Analisis!A174,Master_Produk!$A$1:$A$16,0))</f>
        <v>Elektronik</v>
      </c>
      <c r="J174" s="19">
        <f>_xlfn.XLOOKUP(A174,Master_Produk!$A$1:$A$16,Master_Produk!$D$1:$D$16,,0)</f>
        <v>8500000</v>
      </c>
      <c r="K174" s="19">
        <f>INDEX(Master_Produk!$E$1:$E$16,MATCH(Lembar_Kerja_Analisis!A174,Master_Produk!$A$1:$A$16,0))</f>
        <v>7200000</v>
      </c>
      <c r="L174" s="8">
        <v>12</v>
      </c>
      <c r="M174" s="19">
        <f t="shared" si="10"/>
        <v>102000000</v>
      </c>
      <c r="N174" s="9">
        <v>0.2</v>
      </c>
      <c r="O174" s="19">
        <f t="shared" si="11"/>
        <v>20400000</v>
      </c>
      <c r="P174" s="19">
        <f t="shared" si="12"/>
        <v>81600000</v>
      </c>
      <c r="Q174" s="19">
        <f t="shared" si="13"/>
        <v>86400000</v>
      </c>
      <c r="R174" s="19">
        <f t="shared" si="14"/>
        <v>-4800000</v>
      </c>
    </row>
    <row r="175" spans="1:18" x14ac:dyDescent="0.25">
      <c r="A175" t="str">
        <f>_xlfn.XLOOKUP(C175,Raw_Data_Transaksi!$A$1:$A$1001,Raw_Data_Transaksi!$D$1:$D$1001,,0)</f>
        <v>PRD-106</v>
      </c>
      <c r="B175" t="str">
        <f>_xlfn.XLOOKUP(C175,Raw_Data_Transaksi!$A$1:$A$1001,Raw_Data_Transaksi!$C$1:$C$1001,,0)</f>
        <v>SLS-03</v>
      </c>
      <c r="C175" s="6" t="s">
        <v>259</v>
      </c>
      <c r="D175" s="7">
        <v>45890</v>
      </c>
      <c r="E175" s="10" t="str">
        <f>VLOOKUP(B175,Master_Sales!$A$1:$D$9,2,FALSE)</f>
        <v>Citra Lestari</v>
      </c>
      <c r="F175" s="10" t="str">
        <f>INDEX(Master_Sales!$D$1:$D$9,MATCH(Lembar_Kerja_Analisis!B175,Master_Sales!$A$1:$A$9,0))</f>
        <v>Barat</v>
      </c>
      <c r="G175" s="10" t="str">
        <f>INDEX(Master_Sales!$C$1:$C$9,MATCH(Lembar_Kerja_Analisis!B175,Master_Sales!$A$1:$A$9,0))</f>
        <v>Bandung</v>
      </c>
      <c r="H175" s="10" t="str">
        <f>VLOOKUP(A175,Master_Produk!$A$1:$E$16,2,FALSE)</f>
        <v>Celana Chino Slim Fit</v>
      </c>
      <c r="I175" s="10" t="str">
        <f>INDEX(Master_Produk!$C$1:$C$16,MATCH(Lembar_Kerja_Analisis!A175,Master_Produk!$A$1:$A$16,0))</f>
        <v>Fashion</v>
      </c>
      <c r="J175" s="19">
        <f>_xlfn.XLOOKUP(A175,Master_Produk!$A$1:$A$16,Master_Produk!$D$1:$D$16,,0)</f>
        <v>280000</v>
      </c>
      <c r="K175" s="19">
        <f>INDEX(Master_Produk!$E$1:$E$16,MATCH(Lembar_Kerja_Analisis!A175,Master_Produk!$A$1:$A$16,0))</f>
        <v>175000</v>
      </c>
      <c r="L175" s="8">
        <v>6</v>
      </c>
      <c r="M175" s="19">
        <f t="shared" si="10"/>
        <v>1680000</v>
      </c>
      <c r="N175" s="9">
        <v>0.1</v>
      </c>
      <c r="O175" s="19">
        <f t="shared" si="11"/>
        <v>168000</v>
      </c>
      <c r="P175" s="19">
        <f t="shared" si="12"/>
        <v>1512000</v>
      </c>
      <c r="Q175" s="19">
        <f t="shared" si="13"/>
        <v>1050000</v>
      </c>
      <c r="R175" s="19">
        <f t="shared" si="14"/>
        <v>462000</v>
      </c>
    </row>
    <row r="176" spans="1:18" x14ac:dyDescent="0.25">
      <c r="A176" t="str">
        <f>_xlfn.XLOOKUP(C176,Raw_Data_Transaksi!$A$1:$A$1001,Raw_Data_Transaksi!$D$1:$D$1001,,0)</f>
        <v>PRD-103</v>
      </c>
      <c r="B176" t="str">
        <f>_xlfn.XLOOKUP(C176,Raw_Data_Transaksi!$A$1:$A$1001,Raw_Data_Transaksi!$C$1:$C$1001,,0)</f>
        <v>SLS-03</v>
      </c>
      <c r="C176" s="6" t="s">
        <v>260</v>
      </c>
      <c r="D176" s="7">
        <v>45684</v>
      </c>
      <c r="E176" s="10" t="str">
        <f>VLOOKUP(B176,Master_Sales!$A$1:$D$9,2,FALSE)</f>
        <v>Citra Lestari</v>
      </c>
      <c r="F176" s="10" t="str">
        <f>INDEX(Master_Sales!$D$1:$D$9,MATCH(Lembar_Kerja_Analisis!B176,Master_Sales!$A$1:$A$9,0))</f>
        <v>Barat</v>
      </c>
      <c r="G176" s="10" t="str">
        <f>INDEX(Master_Sales!$C$1:$C$9,MATCH(Lembar_Kerja_Analisis!B176,Master_Sales!$A$1:$A$9,0))</f>
        <v>Bandung</v>
      </c>
      <c r="H176" s="10" t="str">
        <f>VLOOKUP(A176,Master_Produk!$A$1:$E$16,2,FALSE)</f>
        <v>Mechanical Keyboard RGB</v>
      </c>
      <c r="I176" s="10" t="str">
        <f>INDEX(Master_Produk!$C$1:$C$16,MATCH(Lembar_Kerja_Analisis!A176,Master_Produk!$A$1:$A$16,0))</f>
        <v>Elektronik</v>
      </c>
      <c r="J176" s="19">
        <f>_xlfn.XLOOKUP(A176,Master_Produk!$A$1:$A$16,Master_Produk!$D$1:$D$16,,0)</f>
        <v>750000</v>
      </c>
      <c r="K176" s="19">
        <f>INDEX(Master_Produk!$E$1:$E$16,MATCH(Lembar_Kerja_Analisis!A176,Master_Produk!$A$1:$A$16,0))</f>
        <v>520000</v>
      </c>
      <c r="L176" s="8">
        <v>10</v>
      </c>
      <c r="M176" s="19">
        <f t="shared" si="10"/>
        <v>7500000</v>
      </c>
      <c r="N176" s="9">
        <v>0</v>
      </c>
      <c r="O176" s="19">
        <f t="shared" si="11"/>
        <v>0</v>
      </c>
      <c r="P176" s="19">
        <f t="shared" si="12"/>
        <v>7500000</v>
      </c>
      <c r="Q176" s="19">
        <f t="shared" si="13"/>
        <v>5200000</v>
      </c>
      <c r="R176" s="19">
        <f t="shared" si="14"/>
        <v>2300000</v>
      </c>
    </row>
    <row r="177" spans="1:18" x14ac:dyDescent="0.25">
      <c r="A177" t="str">
        <f>_xlfn.XLOOKUP(C177,Raw_Data_Transaksi!$A$1:$A$1001,Raw_Data_Transaksi!$D$1:$D$1001,,0)</f>
        <v>PRD-107</v>
      </c>
      <c r="B177" t="str">
        <f>_xlfn.XLOOKUP(C177,Raw_Data_Transaksi!$A$1:$A$1001,Raw_Data_Transaksi!$C$1:$C$1001,,0)</f>
        <v>SLS-08</v>
      </c>
      <c r="C177" s="6" t="s">
        <v>261</v>
      </c>
      <c r="D177" s="7">
        <v>45996</v>
      </c>
      <c r="E177" s="10" t="str">
        <f>VLOOKUP(B177,Master_Sales!$A$1:$D$9,2,FALSE)</f>
        <v>Hendra Wijaya</v>
      </c>
      <c r="F177" s="10" t="str">
        <f>INDEX(Master_Sales!$D$1:$D$9,MATCH(Lembar_Kerja_Analisis!B177,Master_Sales!$A$1:$A$9,0))</f>
        <v>Tengah</v>
      </c>
      <c r="G177" s="10" t="str">
        <f>INDEX(Master_Sales!$C$1:$C$9,MATCH(Lembar_Kerja_Analisis!B177,Master_Sales!$A$1:$A$9,0))</f>
        <v>Yogyakarta</v>
      </c>
      <c r="H177" s="10" t="str">
        <f>VLOOKUP(A177,Master_Produk!$A$1:$E$16,2,FALSE)</f>
        <v>Jaket Hoodie Casual</v>
      </c>
      <c r="I177" s="10" t="str">
        <f>INDEX(Master_Produk!$C$1:$C$16,MATCH(Lembar_Kerja_Analisis!A177,Master_Produk!$A$1:$A$16,0))</f>
        <v>Fashion</v>
      </c>
      <c r="J177" s="19">
        <f>_xlfn.XLOOKUP(A177,Master_Produk!$A$1:$A$16,Master_Produk!$D$1:$D$16,,0)</f>
        <v>350000</v>
      </c>
      <c r="K177" s="19">
        <f>INDEX(Master_Produk!$E$1:$E$16,MATCH(Lembar_Kerja_Analisis!A177,Master_Produk!$A$1:$A$16,0))</f>
        <v>220000</v>
      </c>
      <c r="L177" s="8">
        <v>10</v>
      </c>
      <c r="M177" s="19">
        <f t="shared" si="10"/>
        <v>3500000</v>
      </c>
      <c r="N177" s="9">
        <v>0.15</v>
      </c>
      <c r="O177" s="19">
        <f t="shared" si="11"/>
        <v>525000</v>
      </c>
      <c r="P177" s="19">
        <f t="shared" si="12"/>
        <v>2975000</v>
      </c>
      <c r="Q177" s="19">
        <f t="shared" si="13"/>
        <v>2200000</v>
      </c>
      <c r="R177" s="19">
        <f t="shared" si="14"/>
        <v>775000</v>
      </c>
    </row>
    <row r="178" spans="1:18" x14ac:dyDescent="0.25">
      <c r="A178" t="str">
        <f>_xlfn.XLOOKUP(C178,Raw_Data_Transaksi!$A$1:$A$1001,Raw_Data_Transaksi!$D$1:$D$1001,,0)</f>
        <v>PRD-102</v>
      </c>
      <c r="B178" t="str">
        <f>_xlfn.XLOOKUP(C178,Raw_Data_Transaksi!$A$1:$A$1001,Raw_Data_Transaksi!$C$1:$C$1001,,0)</f>
        <v>SLS-06</v>
      </c>
      <c r="C178" s="6" t="s">
        <v>262</v>
      </c>
      <c r="D178" s="7">
        <v>45920</v>
      </c>
      <c r="E178" s="10" t="str">
        <f>VLOOKUP(B178,Master_Sales!$A$1:$D$9,2,FALSE)</f>
        <v>Fajar Nugraha</v>
      </c>
      <c r="F178" s="10" t="str">
        <f>INDEX(Master_Sales!$D$1:$D$9,MATCH(Lembar_Kerja_Analisis!B178,Master_Sales!$A$1:$A$9,0))</f>
        <v>Timur</v>
      </c>
      <c r="G178" s="10" t="str">
        <f>INDEX(Master_Sales!$C$1:$C$9,MATCH(Lembar_Kerja_Analisis!B178,Master_Sales!$A$1:$A$9,0))</f>
        <v>Makassar</v>
      </c>
      <c r="H178" s="10" t="str">
        <f>VLOOKUP(A178,Master_Produk!$A$1:$E$16,2,FALSE)</f>
        <v>Wireless Mouse Ergonomic</v>
      </c>
      <c r="I178" s="10" t="str">
        <f>INDEX(Master_Produk!$C$1:$C$16,MATCH(Lembar_Kerja_Analisis!A178,Master_Produk!$A$1:$A$16,0))</f>
        <v>Elektronik</v>
      </c>
      <c r="J178" s="19">
        <f>_xlfn.XLOOKUP(A178,Master_Produk!$A$1:$A$16,Master_Produk!$D$1:$D$16,,0)</f>
        <v>250000</v>
      </c>
      <c r="K178" s="19">
        <f>INDEX(Master_Produk!$E$1:$E$16,MATCH(Lembar_Kerja_Analisis!A178,Master_Produk!$A$1:$A$16,0))</f>
        <v>160000</v>
      </c>
      <c r="L178" s="8">
        <v>7</v>
      </c>
      <c r="M178" s="19">
        <f t="shared" si="10"/>
        <v>1750000</v>
      </c>
      <c r="N178" s="9">
        <v>0</v>
      </c>
      <c r="O178" s="19">
        <f t="shared" si="11"/>
        <v>0</v>
      </c>
      <c r="P178" s="19">
        <f t="shared" si="12"/>
        <v>1750000</v>
      </c>
      <c r="Q178" s="19">
        <f t="shared" si="13"/>
        <v>1120000</v>
      </c>
      <c r="R178" s="19">
        <f t="shared" si="14"/>
        <v>630000</v>
      </c>
    </row>
    <row r="179" spans="1:18" x14ac:dyDescent="0.25">
      <c r="A179" t="str">
        <f>_xlfn.XLOOKUP(C179,Raw_Data_Transaksi!$A$1:$A$1001,Raw_Data_Transaksi!$D$1:$D$1001,,0)</f>
        <v>PRD-111</v>
      </c>
      <c r="B179" t="str">
        <f>_xlfn.XLOOKUP(C179,Raw_Data_Transaksi!$A$1:$A$1001,Raw_Data_Transaksi!$C$1:$C$1001,,0)</f>
        <v>SLS-05</v>
      </c>
      <c r="C179" s="6" t="s">
        <v>263</v>
      </c>
      <c r="D179" s="7">
        <v>45927</v>
      </c>
      <c r="E179" s="10" t="str">
        <f>VLOOKUP(B179,Master_Sales!$A$1:$D$9,2,FALSE)</f>
        <v>Eko Prasetyo</v>
      </c>
      <c r="F179" s="10" t="str">
        <f>INDEX(Master_Sales!$D$1:$D$9,MATCH(Lembar_Kerja_Analisis!B179,Master_Sales!$A$1:$A$9,0))</f>
        <v>Tengah</v>
      </c>
      <c r="G179" s="10" t="str">
        <f>INDEX(Master_Sales!$C$1:$C$9,MATCH(Lembar_Kerja_Analisis!B179,Master_Sales!$A$1:$A$9,0))</f>
        <v>Semarang</v>
      </c>
      <c r="H179" s="10" t="str">
        <f>VLOOKUP(A179,Master_Produk!$A$1:$E$16,2,FALSE)</f>
        <v>Beras Premium 5kg</v>
      </c>
      <c r="I179" s="10" t="str">
        <f>INDEX(Master_Produk!$C$1:$C$16,MATCH(Lembar_Kerja_Analisis!A179,Master_Produk!$A$1:$A$16,0))</f>
        <v>F&amp;B</v>
      </c>
      <c r="J179" s="19">
        <f>_xlfn.XLOOKUP(A179,Master_Produk!$A$1:$A$16,Master_Produk!$D$1:$D$16,,0)</f>
        <v>74000</v>
      </c>
      <c r="K179" s="19">
        <f>INDEX(Master_Produk!$E$1:$E$16,MATCH(Lembar_Kerja_Analisis!A179,Master_Produk!$A$1:$A$16,0))</f>
        <v>65000</v>
      </c>
      <c r="L179" s="8">
        <v>10</v>
      </c>
      <c r="M179" s="19">
        <f t="shared" si="10"/>
        <v>740000</v>
      </c>
      <c r="N179" s="9">
        <v>0.15</v>
      </c>
      <c r="O179" s="19">
        <f t="shared" si="11"/>
        <v>111000</v>
      </c>
      <c r="P179" s="19">
        <f t="shared" si="12"/>
        <v>629000</v>
      </c>
      <c r="Q179" s="19">
        <f t="shared" si="13"/>
        <v>650000</v>
      </c>
      <c r="R179" s="19">
        <f t="shared" si="14"/>
        <v>-21000</v>
      </c>
    </row>
    <row r="180" spans="1:18" x14ac:dyDescent="0.25">
      <c r="A180" t="str">
        <f>_xlfn.XLOOKUP(C180,Raw_Data_Transaksi!$A$1:$A$1001,Raw_Data_Transaksi!$D$1:$D$1001,,0)</f>
        <v>PRD-104</v>
      </c>
      <c r="B180" t="str">
        <f>_xlfn.XLOOKUP(C180,Raw_Data_Transaksi!$A$1:$A$1001,Raw_Data_Transaksi!$C$1:$C$1001,,0)</f>
        <v>SLS-03</v>
      </c>
      <c r="C180" s="6" t="s">
        <v>264</v>
      </c>
      <c r="D180" s="7">
        <v>45812</v>
      </c>
      <c r="E180" s="10" t="str">
        <f>VLOOKUP(B180,Master_Sales!$A$1:$D$9,2,FALSE)</f>
        <v>Citra Lestari</v>
      </c>
      <c r="F180" s="10" t="str">
        <f>INDEX(Master_Sales!$D$1:$D$9,MATCH(Lembar_Kerja_Analisis!B180,Master_Sales!$A$1:$A$9,0))</f>
        <v>Barat</v>
      </c>
      <c r="G180" s="10" t="str">
        <f>INDEX(Master_Sales!$C$1:$C$9,MATCH(Lembar_Kerja_Analisis!B180,Master_Sales!$A$1:$A$9,0))</f>
        <v>Bandung</v>
      </c>
      <c r="H180" s="10" t="str">
        <f>VLOOKUP(A180,Master_Produk!$A$1:$E$16,2,FALSE)</f>
        <v>Monitor 24" FHD 144Hz</v>
      </c>
      <c r="I180" s="10" t="str">
        <f>INDEX(Master_Produk!$C$1:$C$16,MATCH(Lembar_Kerja_Analisis!A180,Master_Produk!$A$1:$A$16,0))</f>
        <v>Elektronik</v>
      </c>
      <c r="J180" s="19">
        <f>_xlfn.XLOOKUP(A180,Master_Produk!$A$1:$A$16,Master_Produk!$D$1:$D$16,,0)</f>
        <v>1950000</v>
      </c>
      <c r="K180" s="19">
        <f>INDEX(Master_Produk!$E$1:$E$16,MATCH(Lembar_Kerja_Analisis!A180,Master_Produk!$A$1:$A$16,0))</f>
        <v>1500000</v>
      </c>
      <c r="L180" s="8">
        <v>5</v>
      </c>
      <c r="M180" s="19">
        <f t="shared" si="10"/>
        <v>9750000</v>
      </c>
      <c r="N180" s="9">
        <v>0.1</v>
      </c>
      <c r="O180" s="19">
        <f t="shared" si="11"/>
        <v>975000</v>
      </c>
      <c r="P180" s="19">
        <f t="shared" si="12"/>
        <v>8775000</v>
      </c>
      <c r="Q180" s="19">
        <f t="shared" si="13"/>
        <v>7500000</v>
      </c>
      <c r="R180" s="19">
        <f t="shared" si="14"/>
        <v>1275000</v>
      </c>
    </row>
    <row r="181" spans="1:18" x14ac:dyDescent="0.25">
      <c r="A181" t="str">
        <f>_xlfn.XLOOKUP(C181,Raw_Data_Transaksi!$A$1:$A$1001,Raw_Data_Transaksi!$D$1:$D$1001,,0)</f>
        <v>PRD-112</v>
      </c>
      <c r="B181" t="str">
        <f>_xlfn.XLOOKUP(C181,Raw_Data_Transaksi!$A$1:$A$1001,Raw_Data_Transaksi!$C$1:$C$1001,,0)</f>
        <v>SLS-07</v>
      </c>
      <c r="C181" s="6" t="s">
        <v>265</v>
      </c>
      <c r="D181" s="7">
        <v>45912</v>
      </c>
      <c r="E181" s="10" t="str">
        <f>VLOOKUP(B181,Master_Sales!$A$1:$D$9,2,FALSE)</f>
        <v>Gita Permata</v>
      </c>
      <c r="F181" s="10" t="str">
        <f>INDEX(Master_Sales!$D$1:$D$9,MATCH(Lembar_Kerja_Analisis!B181,Master_Sales!$A$1:$A$9,0))</f>
        <v>Tengah</v>
      </c>
      <c r="G181" s="10" t="str">
        <f>INDEX(Master_Sales!$C$1:$C$9,MATCH(Lembar_Kerja_Analisis!B181,Master_Sales!$A$1:$A$9,0))</f>
        <v>Denpasar</v>
      </c>
      <c r="H181" s="10" t="str">
        <f>VLOOKUP(A181,Master_Produk!$A$1:$E$16,2,FALSE)</f>
        <v>Susu UHT Full Cream 1L</v>
      </c>
      <c r="I181" s="10" t="str">
        <f>INDEX(Master_Produk!$C$1:$C$16,MATCH(Lembar_Kerja_Analisis!A181,Master_Produk!$A$1:$A$16,0))</f>
        <v>F&amp;B</v>
      </c>
      <c r="J181" s="19">
        <f>_xlfn.XLOOKUP(A181,Master_Produk!$A$1:$A$16,Master_Produk!$D$1:$D$16,,0)</f>
        <v>22000</v>
      </c>
      <c r="K181" s="19">
        <f>INDEX(Master_Produk!$E$1:$E$16,MATCH(Lembar_Kerja_Analisis!A181,Master_Produk!$A$1:$A$16,0))</f>
        <v>18000</v>
      </c>
      <c r="L181" s="8">
        <v>7</v>
      </c>
      <c r="M181" s="19">
        <f t="shared" si="10"/>
        <v>154000</v>
      </c>
      <c r="N181" s="9">
        <v>0.15</v>
      </c>
      <c r="O181" s="19">
        <f t="shared" si="11"/>
        <v>23100</v>
      </c>
      <c r="P181" s="19">
        <f t="shared" si="12"/>
        <v>130900</v>
      </c>
      <c r="Q181" s="19">
        <f t="shared" si="13"/>
        <v>126000</v>
      </c>
      <c r="R181" s="19">
        <f t="shared" si="14"/>
        <v>4900</v>
      </c>
    </row>
    <row r="182" spans="1:18" x14ac:dyDescent="0.25">
      <c r="A182" t="str">
        <f>_xlfn.XLOOKUP(C182,Raw_Data_Transaksi!$A$1:$A$1001,Raw_Data_Transaksi!$D$1:$D$1001,,0)</f>
        <v>PRD-107</v>
      </c>
      <c r="B182" t="str">
        <f>_xlfn.XLOOKUP(C182,Raw_Data_Transaksi!$A$1:$A$1001,Raw_Data_Transaksi!$C$1:$C$1001,,0)</f>
        <v>SLS-01</v>
      </c>
      <c r="C182" s="6" t="s">
        <v>266</v>
      </c>
      <c r="D182" s="7">
        <v>45694</v>
      </c>
      <c r="E182" s="10" t="str">
        <f>VLOOKUP(B182,Master_Sales!$A$1:$D$9,2,FALSE)</f>
        <v>Andi Pratama</v>
      </c>
      <c r="F182" s="10" t="str">
        <f>INDEX(Master_Sales!$D$1:$D$9,MATCH(Lembar_Kerja_Analisis!B182,Master_Sales!$A$1:$A$9,0))</f>
        <v>Barat</v>
      </c>
      <c r="G182" s="10" t="str">
        <f>INDEX(Master_Sales!$C$1:$C$9,MATCH(Lembar_Kerja_Analisis!B182,Master_Sales!$A$1:$A$9,0))</f>
        <v>Jakarta</v>
      </c>
      <c r="H182" s="10" t="str">
        <f>VLOOKUP(A182,Master_Produk!$A$1:$E$16,2,FALSE)</f>
        <v>Jaket Hoodie Casual</v>
      </c>
      <c r="I182" s="10" t="str">
        <f>INDEX(Master_Produk!$C$1:$C$16,MATCH(Lembar_Kerja_Analisis!A182,Master_Produk!$A$1:$A$16,0))</f>
        <v>Fashion</v>
      </c>
      <c r="J182" s="19">
        <f>_xlfn.XLOOKUP(A182,Master_Produk!$A$1:$A$16,Master_Produk!$D$1:$D$16,,0)</f>
        <v>350000</v>
      </c>
      <c r="K182" s="19">
        <f>INDEX(Master_Produk!$E$1:$E$16,MATCH(Lembar_Kerja_Analisis!A182,Master_Produk!$A$1:$A$16,0))</f>
        <v>220000</v>
      </c>
      <c r="L182" s="8">
        <v>7</v>
      </c>
      <c r="M182" s="19">
        <f t="shared" si="10"/>
        <v>2450000</v>
      </c>
      <c r="N182" s="9">
        <v>0</v>
      </c>
      <c r="O182" s="19">
        <f t="shared" si="11"/>
        <v>0</v>
      </c>
      <c r="P182" s="19">
        <f t="shared" si="12"/>
        <v>2450000</v>
      </c>
      <c r="Q182" s="19">
        <f t="shared" si="13"/>
        <v>1540000</v>
      </c>
      <c r="R182" s="19">
        <f t="shared" si="14"/>
        <v>910000</v>
      </c>
    </row>
    <row r="183" spans="1:18" x14ac:dyDescent="0.25">
      <c r="A183" t="str">
        <f>_xlfn.XLOOKUP(C183,Raw_Data_Transaksi!$A$1:$A$1001,Raw_Data_Transaksi!$D$1:$D$1001,,0)</f>
        <v>PRD-107</v>
      </c>
      <c r="B183" t="str">
        <f>_xlfn.XLOOKUP(C183,Raw_Data_Transaksi!$A$1:$A$1001,Raw_Data_Transaksi!$C$1:$C$1001,,0)</f>
        <v>SLS-07</v>
      </c>
      <c r="C183" s="6" t="s">
        <v>267</v>
      </c>
      <c r="D183" s="7">
        <v>45952</v>
      </c>
      <c r="E183" s="10" t="str">
        <f>VLOOKUP(B183,Master_Sales!$A$1:$D$9,2,FALSE)</f>
        <v>Gita Permata</v>
      </c>
      <c r="F183" s="10" t="str">
        <f>INDEX(Master_Sales!$D$1:$D$9,MATCH(Lembar_Kerja_Analisis!B183,Master_Sales!$A$1:$A$9,0))</f>
        <v>Tengah</v>
      </c>
      <c r="G183" s="10" t="str">
        <f>INDEX(Master_Sales!$C$1:$C$9,MATCH(Lembar_Kerja_Analisis!B183,Master_Sales!$A$1:$A$9,0))</f>
        <v>Denpasar</v>
      </c>
      <c r="H183" s="10" t="str">
        <f>VLOOKUP(A183,Master_Produk!$A$1:$E$16,2,FALSE)</f>
        <v>Jaket Hoodie Casual</v>
      </c>
      <c r="I183" s="10" t="str">
        <f>INDEX(Master_Produk!$C$1:$C$16,MATCH(Lembar_Kerja_Analisis!A183,Master_Produk!$A$1:$A$16,0))</f>
        <v>Fashion</v>
      </c>
      <c r="J183" s="19">
        <f>_xlfn.XLOOKUP(A183,Master_Produk!$A$1:$A$16,Master_Produk!$D$1:$D$16,,0)</f>
        <v>350000</v>
      </c>
      <c r="K183" s="19">
        <f>INDEX(Master_Produk!$E$1:$E$16,MATCH(Lembar_Kerja_Analisis!A183,Master_Produk!$A$1:$A$16,0))</f>
        <v>220000</v>
      </c>
      <c r="L183" s="8">
        <v>12</v>
      </c>
      <c r="M183" s="19">
        <f t="shared" si="10"/>
        <v>4200000</v>
      </c>
      <c r="N183" s="9">
        <v>0.15</v>
      </c>
      <c r="O183" s="19">
        <f t="shared" si="11"/>
        <v>630000</v>
      </c>
      <c r="P183" s="19">
        <f t="shared" si="12"/>
        <v>3570000</v>
      </c>
      <c r="Q183" s="19">
        <f t="shared" si="13"/>
        <v>2640000</v>
      </c>
      <c r="R183" s="19">
        <f t="shared" si="14"/>
        <v>930000</v>
      </c>
    </row>
    <row r="184" spans="1:18" x14ac:dyDescent="0.25">
      <c r="A184" t="str">
        <f>_xlfn.XLOOKUP(C184,Raw_Data_Transaksi!$A$1:$A$1001,Raw_Data_Transaksi!$D$1:$D$1001,,0)</f>
        <v>PRD-106</v>
      </c>
      <c r="B184" t="str">
        <f>_xlfn.XLOOKUP(C184,Raw_Data_Transaksi!$A$1:$A$1001,Raw_Data_Transaksi!$C$1:$C$1001,,0)</f>
        <v>SLS-03</v>
      </c>
      <c r="C184" s="6" t="s">
        <v>268</v>
      </c>
      <c r="D184" s="7">
        <v>45668</v>
      </c>
      <c r="E184" s="10" t="str">
        <f>VLOOKUP(B184,Master_Sales!$A$1:$D$9,2,FALSE)</f>
        <v>Citra Lestari</v>
      </c>
      <c r="F184" s="10" t="str">
        <f>INDEX(Master_Sales!$D$1:$D$9,MATCH(Lembar_Kerja_Analisis!B184,Master_Sales!$A$1:$A$9,0))</f>
        <v>Barat</v>
      </c>
      <c r="G184" s="10" t="str">
        <f>INDEX(Master_Sales!$C$1:$C$9,MATCH(Lembar_Kerja_Analisis!B184,Master_Sales!$A$1:$A$9,0))</f>
        <v>Bandung</v>
      </c>
      <c r="H184" s="10" t="str">
        <f>VLOOKUP(A184,Master_Produk!$A$1:$E$16,2,FALSE)</f>
        <v>Celana Chino Slim Fit</v>
      </c>
      <c r="I184" s="10" t="str">
        <f>INDEX(Master_Produk!$C$1:$C$16,MATCH(Lembar_Kerja_Analisis!A184,Master_Produk!$A$1:$A$16,0))</f>
        <v>Fashion</v>
      </c>
      <c r="J184" s="19">
        <f>_xlfn.XLOOKUP(A184,Master_Produk!$A$1:$A$16,Master_Produk!$D$1:$D$16,,0)</f>
        <v>280000</v>
      </c>
      <c r="K184" s="19">
        <f>INDEX(Master_Produk!$E$1:$E$16,MATCH(Lembar_Kerja_Analisis!A184,Master_Produk!$A$1:$A$16,0))</f>
        <v>175000</v>
      </c>
      <c r="L184" s="8">
        <v>10</v>
      </c>
      <c r="M184" s="19">
        <f t="shared" si="10"/>
        <v>2800000</v>
      </c>
      <c r="N184" s="9">
        <v>0.15</v>
      </c>
      <c r="O184" s="19">
        <f t="shared" si="11"/>
        <v>420000</v>
      </c>
      <c r="P184" s="19">
        <f t="shared" si="12"/>
        <v>2380000</v>
      </c>
      <c r="Q184" s="19">
        <f t="shared" si="13"/>
        <v>1750000</v>
      </c>
      <c r="R184" s="19">
        <f t="shared" si="14"/>
        <v>630000</v>
      </c>
    </row>
    <row r="185" spans="1:18" x14ac:dyDescent="0.25">
      <c r="A185" t="str">
        <f>_xlfn.XLOOKUP(C185,Raw_Data_Transaksi!$A$1:$A$1001,Raw_Data_Transaksi!$D$1:$D$1001,,0)</f>
        <v>PRD-104</v>
      </c>
      <c r="B185" t="str">
        <f>_xlfn.XLOOKUP(C185,Raw_Data_Transaksi!$A$1:$A$1001,Raw_Data_Transaksi!$C$1:$C$1001,,0)</f>
        <v>SLS-07</v>
      </c>
      <c r="C185" s="6" t="s">
        <v>269</v>
      </c>
      <c r="D185" s="7">
        <v>45712</v>
      </c>
      <c r="E185" s="10" t="str">
        <f>VLOOKUP(B185,Master_Sales!$A$1:$D$9,2,FALSE)</f>
        <v>Gita Permata</v>
      </c>
      <c r="F185" s="10" t="str">
        <f>INDEX(Master_Sales!$D$1:$D$9,MATCH(Lembar_Kerja_Analisis!B185,Master_Sales!$A$1:$A$9,0))</f>
        <v>Tengah</v>
      </c>
      <c r="G185" s="10" t="str">
        <f>INDEX(Master_Sales!$C$1:$C$9,MATCH(Lembar_Kerja_Analisis!B185,Master_Sales!$A$1:$A$9,0))</f>
        <v>Denpasar</v>
      </c>
      <c r="H185" s="10" t="str">
        <f>VLOOKUP(A185,Master_Produk!$A$1:$E$16,2,FALSE)</f>
        <v>Monitor 24" FHD 144Hz</v>
      </c>
      <c r="I185" s="10" t="str">
        <f>INDEX(Master_Produk!$C$1:$C$16,MATCH(Lembar_Kerja_Analisis!A185,Master_Produk!$A$1:$A$16,0))</f>
        <v>Elektronik</v>
      </c>
      <c r="J185" s="19">
        <f>_xlfn.XLOOKUP(A185,Master_Produk!$A$1:$A$16,Master_Produk!$D$1:$D$16,,0)</f>
        <v>1950000</v>
      </c>
      <c r="K185" s="19">
        <f>INDEX(Master_Produk!$E$1:$E$16,MATCH(Lembar_Kerja_Analisis!A185,Master_Produk!$A$1:$A$16,0))</f>
        <v>1500000</v>
      </c>
      <c r="L185" s="8">
        <v>10</v>
      </c>
      <c r="M185" s="19">
        <f t="shared" si="10"/>
        <v>19500000</v>
      </c>
      <c r="N185" s="9">
        <v>0.15</v>
      </c>
      <c r="O185" s="19">
        <f t="shared" si="11"/>
        <v>2925000</v>
      </c>
      <c r="P185" s="19">
        <f t="shared" si="12"/>
        <v>16575000</v>
      </c>
      <c r="Q185" s="19">
        <f t="shared" si="13"/>
        <v>15000000</v>
      </c>
      <c r="R185" s="19">
        <f t="shared" si="14"/>
        <v>1575000</v>
      </c>
    </row>
    <row r="186" spans="1:18" x14ac:dyDescent="0.25">
      <c r="A186" t="str">
        <f>_xlfn.XLOOKUP(C186,Raw_Data_Transaksi!$A$1:$A$1001,Raw_Data_Transaksi!$D$1:$D$1001,,0)</f>
        <v>PRD-104</v>
      </c>
      <c r="B186" t="str">
        <f>_xlfn.XLOOKUP(C186,Raw_Data_Transaksi!$A$1:$A$1001,Raw_Data_Transaksi!$C$1:$C$1001,,0)</f>
        <v>SLS-06</v>
      </c>
      <c r="C186" s="6" t="s">
        <v>270</v>
      </c>
      <c r="D186" s="7">
        <v>45831</v>
      </c>
      <c r="E186" s="10" t="str">
        <f>VLOOKUP(B186,Master_Sales!$A$1:$D$9,2,FALSE)</f>
        <v>Fajar Nugraha</v>
      </c>
      <c r="F186" s="10" t="str">
        <f>INDEX(Master_Sales!$D$1:$D$9,MATCH(Lembar_Kerja_Analisis!B186,Master_Sales!$A$1:$A$9,0))</f>
        <v>Timur</v>
      </c>
      <c r="G186" s="10" t="str">
        <f>INDEX(Master_Sales!$C$1:$C$9,MATCH(Lembar_Kerja_Analisis!B186,Master_Sales!$A$1:$A$9,0))</f>
        <v>Makassar</v>
      </c>
      <c r="H186" s="10" t="str">
        <f>VLOOKUP(A186,Master_Produk!$A$1:$E$16,2,FALSE)</f>
        <v>Monitor 24" FHD 144Hz</v>
      </c>
      <c r="I186" s="10" t="str">
        <f>INDEX(Master_Produk!$C$1:$C$16,MATCH(Lembar_Kerja_Analisis!A186,Master_Produk!$A$1:$A$16,0))</f>
        <v>Elektronik</v>
      </c>
      <c r="J186" s="19">
        <f>_xlfn.XLOOKUP(A186,Master_Produk!$A$1:$A$16,Master_Produk!$D$1:$D$16,,0)</f>
        <v>1950000</v>
      </c>
      <c r="K186" s="19">
        <f>INDEX(Master_Produk!$E$1:$E$16,MATCH(Lembar_Kerja_Analisis!A186,Master_Produk!$A$1:$A$16,0))</f>
        <v>1500000</v>
      </c>
      <c r="L186" s="8">
        <v>3</v>
      </c>
      <c r="M186" s="19">
        <f t="shared" si="10"/>
        <v>5850000</v>
      </c>
      <c r="N186" s="9">
        <v>0</v>
      </c>
      <c r="O186" s="19">
        <f t="shared" si="11"/>
        <v>0</v>
      </c>
      <c r="P186" s="19">
        <f t="shared" si="12"/>
        <v>5850000</v>
      </c>
      <c r="Q186" s="19">
        <f t="shared" si="13"/>
        <v>4500000</v>
      </c>
      <c r="R186" s="19">
        <f t="shared" si="14"/>
        <v>1350000</v>
      </c>
    </row>
    <row r="187" spans="1:18" x14ac:dyDescent="0.25">
      <c r="A187" t="str">
        <f>_xlfn.XLOOKUP(C187,Raw_Data_Transaksi!$A$1:$A$1001,Raw_Data_Transaksi!$D$1:$D$1001,,0)</f>
        <v>PRD-106</v>
      </c>
      <c r="B187" t="str">
        <f>_xlfn.XLOOKUP(C187,Raw_Data_Transaksi!$A$1:$A$1001,Raw_Data_Transaksi!$C$1:$C$1001,,0)</f>
        <v>SLS-03</v>
      </c>
      <c r="C187" s="6" t="s">
        <v>271</v>
      </c>
      <c r="D187" s="7">
        <v>45836</v>
      </c>
      <c r="E187" s="10" t="str">
        <f>VLOOKUP(B187,Master_Sales!$A$1:$D$9,2,FALSE)</f>
        <v>Citra Lestari</v>
      </c>
      <c r="F187" s="10" t="str">
        <f>INDEX(Master_Sales!$D$1:$D$9,MATCH(Lembar_Kerja_Analisis!B187,Master_Sales!$A$1:$A$9,0))</f>
        <v>Barat</v>
      </c>
      <c r="G187" s="10" t="str">
        <f>INDEX(Master_Sales!$C$1:$C$9,MATCH(Lembar_Kerja_Analisis!B187,Master_Sales!$A$1:$A$9,0))</f>
        <v>Bandung</v>
      </c>
      <c r="H187" s="10" t="str">
        <f>VLOOKUP(A187,Master_Produk!$A$1:$E$16,2,FALSE)</f>
        <v>Celana Chino Slim Fit</v>
      </c>
      <c r="I187" s="10" t="str">
        <f>INDEX(Master_Produk!$C$1:$C$16,MATCH(Lembar_Kerja_Analisis!A187,Master_Produk!$A$1:$A$16,0))</f>
        <v>Fashion</v>
      </c>
      <c r="J187" s="19">
        <f>_xlfn.XLOOKUP(A187,Master_Produk!$A$1:$A$16,Master_Produk!$D$1:$D$16,,0)</f>
        <v>280000</v>
      </c>
      <c r="K187" s="19">
        <f>INDEX(Master_Produk!$E$1:$E$16,MATCH(Lembar_Kerja_Analisis!A187,Master_Produk!$A$1:$A$16,0))</f>
        <v>175000</v>
      </c>
      <c r="L187" s="8">
        <v>4</v>
      </c>
      <c r="M187" s="19">
        <f t="shared" si="10"/>
        <v>1120000</v>
      </c>
      <c r="N187" s="9">
        <v>0</v>
      </c>
      <c r="O187" s="19">
        <f t="shared" si="11"/>
        <v>0</v>
      </c>
      <c r="P187" s="19">
        <f t="shared" si="12"/>
        <v>1120000</v>
      </c>
      <c r="Q187" s="19">
        <f t="shared" si="13"/>
        <v>700000</v>
      </c>
      <c r="R187" s="19">
        <f t="shared" si="14"/>
        <v>420000</v>
      </c>
    </row>
    <row r="188" spans="1:18" x14ac:dyDescent="0.25">
      <c r="A188" t="str">
        <f>_xlfn.XLOOKUP(C188,Raw_Data_Transaksi!$A$1:$A$1001,Raw_Data_Transaksi!$D$1:$D$1001,,0)</f>
        <v>PRD-110</v>
      </c>
      <c r="B188" t="str">
        <f>_xlfn.XLOOKUP(C188,Raw_Data_Transaksi!$A$1:$A$1001,Raw_Data_Transaksi!$C$1:$C$1001,,0)</f>
        <v>SLS-03</v>
      </c>
      <c r="C188" s="6" t="s">
        <v>272</v>
      </c>
      <c r="D188" s="7">
        <v>45746</v>
      </c>
      <c r="E188" s="10" t="str">
        <f>VLOOKUP(B188,Master_Sales!$A$1:$D$9,2,FALSE)</f>
        <v>Citra Lestari</v>
      </c>
      <c r="F188" s="10" t="str">
        <f>INDEX(Master_Sales!$D$1:$D$9,MATCH(Lembar_Kerja_Analisis!B188,Master_Sales!$A$1:$A$9,0))</f>
        <v>Barat</v>
      </c>
      <c r="G188" s="10" t="str">
        <f>INDEX(Master_Sales!$C$1:$C$9,MATCH(Lembar_Kerja_Analisis!B188,Master_Sales!$A$1:$A$9,0))</f>
        <v>Bandung</v>
      </c>
      <c r="H188" s="10" t="str">
        <f>VLOOKUP(A188,Master_Produk!$A$1:$E$16,2,FALSE)</f>
        <v>Minyak Goreng Sawit 2L</v>
      </c>
      <c r="I188" s="10" t="str">
        <f>INDEX(Master_Produk!$C$1:$C$16,MATCH(Lembar_Kerja_Analisis!A188,Master_Produk!$A$1:$A$16,0))</f>
        <v>F&amp;B</v>
      </c>
      <c r="J188" s="19">
        <f>_xlfn.XLOOKUP(A188,Master_Produk!$A$1:$A$16,Master_Produk!$D$1:$D$16,,0)</f>
        <v>36000</v>
      </c>
      <c r="K188" s="19">
        <f>INDEX(Master_Produk!$E$1:$E$16,MATCH(Lembar_Kerja_Analisis!A188,Master_Produk!$A$1:$A$16,0))</f>
        <v>31000</v>
      </c>
      <c r="L188" s="8">
        <v>5</v>
      </c>
      <c r="M188" s="19">
        <f t="shared" si="10"/>
        <v>180000</v>
      </c>
      <c r="N188" s="9">
        <v>0.05</v>
      </c>
      <c r="O188" s="19">
        <f t="shared" si="11"/>
        <v>9000</v>
      </c>
      <c r="P188" s="19">
        <f t="shared" si="12"/>
        <v>171000</v>
      </c>
      <c r="Q188" s="19">
        <f t="shared" si="13"/>
        <v>155000</v>
      </c>
      <c r="R188" s="19">
        <f t="shared" si="14"/>
        <v>16000</v>
      </c>
    </row>
    <row r="189" spans="1:18" x14ac:dyDescent="0.25">
      <c r="A189" t="str">
        <f>_xlfn.XLOOKUP(C189,Raw_Data_Transaksi!$A$1:$A$1001,Raw_Data_Transaksi!$D$1:$D$1001,,0)</f>
        <v>PRD-115</v>
      </c>
      <c r="B189" t="str">
        <f>_xlfn.XLOOKUP(C189,Raw_Data_Transaksi!$A$1:$A$1001,Raw_Data_Transaksi!$C$1:$C$1001,,0)</f>
        <v>SLS-06</v>
      </c>
      <c r="C189" s="6" t="s">
        <v>273</v>
      </c>
      <c r="D189" s="7">
        <v>46006</v>
      </c>
      <c r="E189" s="10" t="str">
        <f>VLOOKUP(B189,Master_Sales!$A$1:$D$9,2,FALSE)</f>
        <v>Fajar Nugraha</v>
      </c>
      <c r="F189" s="10" t="str">
        <f>INDEX(Master_Sales!$D$1:$D$9,MATCH(Lembar_Kerja_Analisis!B189,Master_Sales!$A$1:$A$9,0))</f>
        <v>Timur</v>
      </c>
      <c r="G189" s="10" t="str">
        <f>INDEX(Master_Sales!$C$1:$C$9,MATCH(Lembar_Kerja_Analisis!B189,Master_Sales!$A$1:$A$9,0))</f>
        <v>Makassar</v>
      </c>
      <c r="H189" s="10" t="str">
        <f>VLOOKUP(A189,Master_Produk!$A$1:$E$16,2,FALSE)</f>
        <v>Set Pisau Dapur Stainless</v>
      </c>
      <c r="I189" s="10" t="str">
        <f>INDEX(Master_Produk!$C$1:$C$16,MATCH(Lembar_Kerja_Analisis!A189,Master_Produk!$A$1:$A$16,0))</f>
        <v>Peralatan Rumah</v>
      </c>
      <c r="J189" s="19">
        <f>_xlfn.XLOOKUP(A189,Master_Produk!$A$1:$A$16,Master_Produk!$D$1:$D$16,,0)</f>
        <v>165000</v>
      </c>
      <c r="K189" s="19">
        <f>INDEX(Master_Produk!$E$1:$E$16,MATCH(Lembar_Kerja_Analisis!A189,Master_Produk!$A$1:$A$16,0))</f>
        <v>105000</v>
      </c>
      <c r="L189" s="8">
        <v>11</v>
      </c>
      <c r="M189" s="19">
        <f t="shared" si="10"/>
        <v>1815000</v>
      </c>
      <c r="N189" s="9">
        <v>0.1</v>
      </c>
      <c r="O189" s="19">
        <f t="shared" si="11"/>
        <v>181500</v>
      </c>
      <c r="P189" s="19">
        <f t="shared" si="12"/>
        <v>1633500</v>
      </c>
      <c r="Q189" s="19">
        <f t="shared" si="13"/>
        <v>1155000</v>
      </c>
      <c r="R189" s="19">
        <f t="shared" si="14"/>
        <v>478500</v>
      </c>
    </row>
    <row r="190" spans="1:18" x14ac:dyDescent="0.25">
      <c r="A190" t="str">
        <f>_xlfn.XLOOKUP(C190,Raw_Data_Transaksi!$A$1:$A$1001,Raw_Data_Transaksi!$D$1:$D$1001,,0)</f>
        <v>PRD-108</v>
      </c>
      <c r="B190" t="str">
        <f>_xlfn.XLOOKUP(C190,Raw_Data_Transaksi!$A$1:$A$1001,Raw_Data_Transaksi!$C$1:$C$1001,,0)</f>
        <v>SLS-05</v>
      </c>
      <c r="C190" s="6" t="s">
        <v>274</v>
      </c>
      <c r="D190" s="7">
        <v>45898</v>
      </c>
      <c r="E190" s="10" t="str">
        <f>VLOOKUP(B190,Master_Sales!$A$1:$D$9,2,FALSE)</f>
        <v>Eko Prasetyo</v>
      </c>
      <c r="F190" s="10" t="str">
        <f>INDEX(Master_Sales!$D$1:$D$9,MATCH(Lembar_Kerja_Analisis!B190,Master_Sales!$A$1:$A$9,0))</f>
        <v>Tengah</v>
      </c>
      <c r="G190" s="10" t="str">
        <f>INDEX(Master_Sales!$C$1:$C$9,MATCH(Lembar_Kerja_Analisis!B190,Master_Sales!$A$1:$A$9,0))</f>
        <v>Semarang</v>
      </c>
      <c r="H190" s="10" t="str">
        <f>VLOOKUP(A190,Master_Produk!$A$1:$E$16,2,FALSE)</f>
        <v>Sepatu Sneakers Pria/Wanita</v>
      </c>
      <c r="I190" s="10" t="str">
        <f>INDEX(Master_Produk!$C$1:$C$16,MATCH(Lembar_Kerja_Analisis!A190,Master_Produk!$A$1:$A$16,0))</f>
        <v>Fashion</v>
      </c>
      <c r="J190" s="19">
        <f>_xlfn.XLOOKUP(A190,Master_Produk!$A$1:$A$16,Master_Produk!$D$1:$D$16,,0)</f>
        <v>450000</v>
      </c>
      <c r="K190" s="19">
        <f>INDEX(Master_Produk!$E$1:$E$16,MATCH(Lembar_Kerja_Analisis!A190,Master_Produk!$A$1:$A$16,0))</f>
        <v>290000</v>
      </c>
      <c r="L190" s="8">
        <v>5</v>
      </c>
      <c r="M190" s="19">
        <f t="shared" si="10"/>
        <v>2250000</v>
      </c>
      <c r="N190" s="9">
        <v>0.2</v>
      </c>
      <c r="O190" s="19">
        <f t="shared" si="11"/>
        <v>450000</v>
      </c>
      <c r="P190" s="19">
        <f t="shared" si="12"/>
        <v>1800000</v>
      </c>
      <c r="Q190" s="19">
        <f t="shared" si="13"/>
        <v>1450000</v>
      </c>
      <c r="R190" s="19">
        <f t="shared" si="14"/>
        <v>350000</v>
      </c>
    </row>
    <row r="191" spans="1:18" x14ac:dyDescent="0.25">
      <c r="A191" t="str">
        <f>_xlfn.XLOOKUP(C191,Raw_Data_Transaksi!$A$1:$A$1001,Raw_Data_Transaksi!$D$1:$D$1001,,0)</f>
        <v>PRD-108</v>
      </c>
      <c r="B191" t="str">
        <f>_xlfn.XLOOKUP(C191,Raw_Data_Transaksi!$A$1:$A$1001,Raw_Data_Transaksi!$C$1:$C$1001,,0)</f>
        <v>SLS-08</v>
      </c>
      <c r="C191" s="6" t="s">
        <v>275</v>
      </c>
      <c r="D191" s="7">
        <v>45816</v>
      </c>
      <c r="E191" s="10" t="str">
        <f>VLOOKUP(B191,Master_Sales!$A$1:$D$9,2,FALSE)</f>
        <v>Hendra Wijaya</v>
      </c>
      <c r="F191" s="10" t="str">
        <f>INDEX(Master_Sales!$D$1:$D$9,MATCH(Lembar_Kerja_Analisis!B191,Master_Sales!$A$1:$A$9,0))</f>
        <v>Tengah</v>
      </c>
      <c r="G191" s="10" t="str">
        <f>INDEX(Master_Sales!$C$1:$C$9,MATCH(Lembar_Kerja_Analisis!B191,Master_Sales!$A$1:$A$9,0))</f>
        <v>Yogyakarta</v>
      </c>
      <c r="H191" s="10" t="str">
        <f>VLOOKUP(A191,Master_Produk!$A$1:$E$16,2,FALSE)</f>
        <v>Sepatu Sneakers Pria/Wanita</v>
      </c>
      <c r="I191" s="10" t="str">
        <f>INDEX(Master_Produk!$C$1:$C$16,MATCH(Lembar_Kerja_Analisis!A191,Master_Produk!$A$1:$A$16,0))</f>
        <v>Fashion</v>
      </c>
      <c r="J191" s="19">
        <f>_xlfn.XLOOKUP(A191,Master_Produk!$A$1:$A$16,Master_Produk!$D$1:$D$16,,0)</f>
        <v>450000</v>
      </c>
      <c r="K191" s="19">
        <f>INDEX(Master_Produk!$E$1:$E$16,MATCH(Lembar_Kerja_Analisis!A191,Master_Produk!$A$1:$A$16,0))</f>
        <v>290000</v>
      </c>
      <c r="L191" s="8">
        <v>1</v>
      </c>
      <c r="M191" s="19">
        <f t="shared" si="10"/>
        <v>450000</v>
      </c>
      <c r="N191" s="9">
        <v>0</v>
      </c>
      <c r="O191" s="19">
        <f t="shared" si="11"/>
        <v>0</v>
      </c>
      <c r="P191" s="19">
        <f t="shared" si="12"/>
        <v>450000</v>
      </c>
      <c r="Q191" s="19">
        <f t="shared" si="13"/>
        <v>290000</v>
      </c>
      <c r="R191" s="19">
        <f t="shared" si="14"/>
        <v>160000</v>
      </c>
    </row>
    <row r="192" spans="1:18" x14ac:dyDescent="0.25">
      <c r="A192" t="str">
        <f>_xlfn.XLOOKUP(C192,Raw_Data_Transaksi!$A$1:$A$1001,Raw_Data_Transaksi!$D$1:$D$1001,,0)</f>
        <v>PRD-114</v>
      </c>
      <c r="B192" t="str">
        <f>_xlfn.XLOOKUP(C192,Raw_Data_Transaksi!$A$1:$A$1001,Raw_Data_Transaksi!$C$1:$C$1001,,0)</f>
        <v>SLS-02</v>
      </c>
      <c r="C192" s="6" t="s">
        <v>276</v>
      </c>
      <c r="D192" s="7">
        <v>45988</v>
      </c>
      <c r="E192" s="10" t="str">
        <f>VLOOKUP(B192,Master_Sales!$A$1:$D$9,2,FALSE)</f>
        <v>Budi Santoso</v>
      </c>
      <c r="F192" s="10" t="str">
        <f>INDEX(Master_Sales!$D$1:$D$9,MATCH(Lembar_Kerja_Analisis!B192,Master_Sales!$A$1:$A$9,0))</f>
        <v>Timur</v>
      </c>
      <c r="G192" s="10" t="str">
        <f>INDEX(Master_Sales!$C$1:$C$9,MATCH(Lembar_Kerja_Analisis!B192,Master_Sales!$A$1:$A$9,0))</f>
        <v>Surabaya</v>
      </c>
      <c r="H192" s="10" t="str">
        <f>VLOOKUP(A192,Master_Produk!$A$1:$E$16,2,FALSE)</f>
        <v>Blender Multifungsi 2-in-1</v>
      </c>
      <c r="I192" s="10" t="str">
        <f>INDEX(Master_Produk!$C$1:$C$16,MATCH(Lembar_Kerja_Analisis!A192,Master_Produk!$A$1:$A$16,0))</f>
        <v>Peralatan Rumah</v>
      </c>
      <c r="J192" s="19">
        <f>_xlfn.XLOOKUP(A192,Master_Produk!$A$1:$A$16,Master_Produk!$D$1:$D$16,,0)</f>
        <v>340000</v>
      </c>
      <c r="K192" s="19">
        <f>INDEX(Master_Produk!$E$1:$E$16,MATCH(Lembar_Kerja_Analisis!A192,Master_Produk!$A$1:$A$16,0))</f>
        <v>240000</v>
      </c>
      <c r="L192" s="8">
        <v>10</v>
      </c>
      <c r="M192" s="19">
        <f t="shared" si="10"/>
        <v>3400000</v>
      </c>
      <c r="N192" s="9">
        <v>0.2</v>
      </c>
      <c r="O192" s="19">
        <f t="shared" si="11"/>
        <v>680000</v>
      </c>
      <c r="P192" s="19">
        <f t="shared" si="12"/>
        <v>2720000</v>
      </c>
      <c r="Q192" s="19">
        <f t="shared" si="13"/>
        <v>2400000</v>
      </c>
      <c r="R192" s="19">
        <f t="shared" si="14"/>
        <v>320000</v>
      </c>
    </row>
    <row r="193" spans="1:18" x14ac:dyDescent="0.25">
      <c r="A193" t="str">
        <f>_xlfn.XLOOKUP(C193,Raw_Data_Transaksi!$A$1:$A$1001,Raw_Data_Transaksi!$D$1:$D$1001,,0)</f>
        <v>PRD-115</v>
      </c>
      <c r="B193" t="str">
        <f>_xlfn.XLOOKUP(C193,Raw_Data_Transaksi!$A$1:$A$1001,Raw_Data_Transaksi!$C$1:$C$1001,,0)</f>
        <v>SLS-04</v>
      </c>
      <c r="C193" s="6" t="s">
        <v>277</v>
      </c>
      <c r="D193" s="7">
        <v>45888</v>
      </c>
      <c r="E193" s="10" t="str">
        <f>VLOOKUP(B193,Master_Sales!$A$1:$D$9,2,FALSE)</f>
        <v>Dewi Anggraini</v>
      </c>
      <c r="F193" s="10" t="str">
        <f>INDEX(Master_Sales!$D$1:$D$9,MATCH(Lembar_Kerja_Analisis!B193,Master_Sales!$A$1:$A$9,0))</f>
        <v>Barat</v>
      </c>
      <c r="G193" s="10" t="str">
        <f>INDEX(Master_Sales!$C$1:$C$9,MATCH(Lembar_Kerja_Analisis!B193,Master_Sales!$A$1:$A$9,0))</f>
        <v>Medan</v>
      </c>
      <c r="H193" s="10" t="str">
        <f>VLOOKUP(A193,Master_Produk!$A$1:$E$16,2,FALSE)</f>
        <v>Set Pisau Dapur Stainless</v>
      </c>
      <c r="I193" s="10" t="str">
        <f>INDEX(Master_Produk!$C$1:$C$16,MATCH(Lembar_Kerja_Analisis!A193,Master_Produk!$A$1:$A$16,0))</f>
        <v>Peralatan Rumah</v>
      </c>
      <c r="J193" s="19">
        <f>_xlfn.XLOOKUP(A193,Master_Produk!$A$1:$A$16,Master_Produk!$D$1:$D$16,,0)</f>
        <v>165000</v>
      </c>
      <c r="K193" s="19">
        <f>INDEX(Master_Produk!$E$1:$E$16,MATCH(Lembar_Kerja_Analisis!A193,Master_Produk!$A$1:$A$16,0))</f>
        <v>105000</v>
      </c>
      <c r="L193" s="8">
        <v>6</v>
      </c>
      <c r="M193" s="19">
        <f t="shared" si="10"/>
        <v>990000</v>
      </c>
      <c r="N193" s="9">
        <v>0.2</v>
      </c>
      <c r="O193" s="19">
        <f t="shared" si="11"/>
        <v>198000</v>
      </c>
      <c r="P193" s="19">
        <f t="shared" si="12"/>
        <v>792000</v>
      </c>
      <c r="Q193" s="19">
        <f t="shared" si="13"/>
        <v>630000</v>
      </c>
      <c r="R193" s="19">
        <f t="shared" si="14"/>
        <v>162000</v>
      </c>
    </row>
    <row r="194" spans="1:18" x14ac:dyDescent="0.25">
      <c r="A194" t="str">
        <f>_xlfn.XLOOKUP(C194,Raw_Data_Transaksi!$A$1:$A$1001,Raw_Data_Transaksi!$D$1:$D$1001,,0)</f>
        <v>PRD-108</v>
      </c>
      <c r="B194" t="str">
        <f>_xlfn.XLOOKUP(C194,Raw_Data_Transaksi!$A$1:$A$1001,Raw_Data_Transaksi!$C$1:$C$1001,,0)</f>
        <v>SLS-02</v>
      </c>
      <c r="C194" s="6" t="s">
        <v>278</v>
      </c>
      <c r="D194" s="7">
        <v>45689</v>
      </c>
      <c r="E194" s="10" t="str">
        <f>VLOOKUP(B194,Master_Sales!$A$1:$D$9,2,FALSE)</f>
        <v>Budi Santoso</v>
      </c>
      <c r="F194" s="10" t="str">
        <f>INDEX(Master_Sales!$D$1:$D$9,MATCH(Lembar_Kerja_Analisis!B194,Master_Sales!$A$1:$A$9,0))</f>
        <v>Timur</v>
      </c>
      <c r="G194" s="10" t="str">
        <f>INDEX(Master_Sales!$C$1:$C$9,MATCH(Lembar_Kerja_Analisis!B194,Master_Sales!$A$1:$A$9,0))</f>
        <v>Surabaya</v>
      </c>
      <c r="H194" s="10" t="str">
        <f>VLOOKUP(A194,Master_Produk!$A$1:$E$16,2,FALSE)</f>
        <v>Sepatu Sneakers Pria/Wanita</v>
      </c>
      <c r="I194" s="10" t="str">
        <f>INDEX(Master_Produk!$C$1:$C$16,MATCH(Lembar_Kerja_Analisis!A194,Master_Produk!$A$1:$A$16,0))</f>
        <v>Fashion</v>
      </c>
      <c r="J194" s="19">
        <f>_xlfn.XLOOKUP(A194,Master_Produk!$A$1:$A$16,Master_Produk!$D$1:$D$16,,0)</f>
        <v>450000</v>
      </c>
      <c r="K194" s="19">
        <f>INDEX(Master_Produk!$E$1:$E$16,MATCH(Lembar_Kerja_Analisis!A194,Master_Produk!$A$1:$A$16,0))</f>
        <v>290000</v>
      </c>
      <c r="L194" s="8">
        <v>6</v>
      </c>
      <c r="M194" s="19">
        <f t="shared" si="10"/>
        <v>2700000</v>
      </c>
      <c r="N194" s="9">
        <v>0</v>
      </c>
      <c r="O194" s="19">
        <f t="shared" si="11"/>
        <v>0</v>
      </c>
      <c r="P194" s="19">
        <f t="shared" si="12"/>
        <v>2700000</v>
      </c>
      <c r="Q194" s="19">
        <f t="shared" si="13"/>
        <v>1740000</v>
      </c>
      <c r="R194" s="19">
        <f t="shared" si="14"/>
        <v>960000</v>
      </c>
    </row>
    <row r="195" spans="1:18" x14ac:dyDescent="0.25">
      <c r="A195" t="str">
        <f>_xlfn.XLOOKUP(C195,Raw_Data_Transaksi!$A$1:$A$1001,Raw_Data_Transaksi!$D$1:$D$1001,,0)</f>
        <v>PRD-108</v>
      </c>
      <c r="B195" t="str">
        <f>_xlfn.XLOOKUP(C195,Raw_Data_Transaksi!$A$1:$A$1001,Raw_Data_Transaksi!$C$1:$C$1001,,0)</f>
        <v>SLS-08</v>
      </c>
      <c r="C195" s="6" t="s">
        <v>279</v>
      </c>
      <c r="D195" s="7">
        <v>46020</v>
      </c>
      <c r="E195" s="10" t="str">
        <f>VLOOKUP(B195,Master_Sales!$A$1:$D$9,2,FALSE)</f>
        <v>Hendra Wijaya</v>
      </c>
      <c r="F195" s="10" t="str">
        <f>INDEX(Master_Sales!$D$1:$D$9,MATCH(Lembar_Kerja_Analisis!B195,Master_Sales!$A$1:$A$9,0))</f>
        <v>Tengah</v>
      </c>
      <c r="G195" s="10" t="str">
        <f>INDEX(Master_Sales!$C$1:$C$9,MATCH(Lembar_Kerja_Analisis!B195,Master_Sales!$A$1:$A$9,0))</f>
        <v>Yogyakarta</v>
      </c>
      <c r="H195" s="10" t="str">
        <f>VLOOKUP(A195,Master_Produk!$A$1:$E$16,2,FALSE)</f>
        <v>Sepatu Sneakers Pria/Wanita</v>
      </c>
      <c r="I195" s="10" t="str">
        <f>INDEX(Master_Produk!$C$1:$C$16,MATCH(Lembar_Kerja_Analisis!A195,Master_Produk!$A$1:$A$16,0))</f>
        <v>Fashion</v>
      </c>
      <c r="J195" s="19">
        <f>_xlfn.XLOOKUP(A195,Master_Produk!$A$1:$A$16,Master_Produk!$D$1:$D$16,,0)</f>
        <v>450000</v>
      </c>
      <c r="K195" s="19">
        <f>INDEX(Master_Produk!$E$1:$E$16,MATCH(Lembar_Kerja_Analisis!A195,Master_Produk!$A$1:$A$16,0))</f>
        <v>290000</v>
      </c>
      <c r="L195" s="8">
        <v>9</v>
      </c>
      <c r="M195" s="19">
        <f t="shared" ref="M195:M258" si="15">L195*J195</f>
        <v>4050000</v>
      </c>
      <c r="N195" s="9">
        <v>0.2</v>
      </c>
      <c r="O195" s="19">
        <f t="shared" ref="O195:O258" si="16">M195*N195</f>
        <v>810000</v>
      </c>
      <c r="P195" s="19">
        <f t="shared" ref="P195:P258" si="17">M195-O195</f>
        <v>3240000</v>
      </c>
      <c r="Q195" s="19">
        <f t="shared" ref="Q195:Q258" si="18">L195*K195</f>
        <v>2610000</v>
      </c>
      <c r="R195" s="19">
        <f t="shared" ref="R195:R258" si="19">P195-Q195</f>
        <v>630000</v>
      </c>
    </row>
    <row r="196" spans="1:18" x14ac:dyDescent="0.25">
      <c r="A196" t="str">
        <f>_xlfn.XLOOKUP(C196,Raw_Data_Transaksi!$A$1:$A$1001,Raw_Data_Transaksi!$D$1:$D$1001,,0)</f>
        <v>PRD-107</v>
      </c>
      <c r="B196" t="str">
        <f>_xlfn.XLOOKUP(C196,Raw_Data_Transaksi!$A$1:$A$1001,Raw_Data_Transaksi!$C$1:$C$1001,,0)</f>
        <v>SLS-07</v>
      </c>
      <c r="C196" s="6" t="s">
        <v>280</v>
      </c>
      <c r="D196" s="7">
        <v>45802</v>
      </c>
      <c r="E196" s="10" t="str">
        <f>VLOOKUP(B196,Master_Sales!$A$1:$D$9,2,FALSE)</f>
        <v>Gita Permata</v>
      </c>
      <c r="F196" s="10" t="str">
        <f>INDEX(Master_Sales!$D$1:$D$9,MATCH(Lembar_Kerja_Analisis!B196,Master_Sales!$A$1:$A$9,0))</f>
        <v>Tengah</v>
      </c>
      <c r="G196" s="10" t="str">
        <f>INDEX(Master_Sales!$C$1:$C$9,MATCH(Lembar_Kerja_Analisis!B196,Master_Sales!$A$1:$A$9,0))</f>
        <v>Denpasar</v>
      </c>
      <c r="H196" s="10" t="str">
        <f>VLOOKUP(A196,Master_Produk!$A$1:$E$16,2,FALSE)</f>
        <v>Jaket Hoodie Casual</v>
      </c>
      <c r="I196" s="10" t="str">
        <f>INDEX(Master_Produk!$C$1:$C$16,MATCH(Lembar_Kerja_Analisis!A196,Master_Produk!$A$1:$A$16,0))</f>
        <v>Fashion</v>
      </c>
      <c r="J196" s="19">
        <f>_xlfn.XLOOKUP(A196,Master_Produk!$A$1:$A$16,Master_Produk!$D$1:$D$16,,0)</f>
        <v>350000</v>
      </c>
      <c r="K196" s="19">
        <f>INDEX(Master_Produk!$E$1:$E$16,MATCH(Lembar_Kerja_Analisis!A196,Master_Produk!$A$1:$A$16,0))</f>
        <v>220000</v>
      </c>
      <c r="L196" s="8">
        <v>6</v>
      </c>
      <c r="M196" s="19">
        <f t="shared" si="15"/>
        <v>2100000</v>
      </c>
      <c r="N196" s="9">
        <v>0.2</v>
      </c>
      <c r="O196" s="19">
        <f t="shared" si="16"/>
        <v>420000</v>
      </c>
      <c r="P196" s="19">
        <f t="shared" si="17"/>
        <v>1680000</v>
      </c>
      <c r="Q196" s="19">
        <f t="shared" si="18"/>
        <v>1320000</v>
      </c>
      <c r="R196" s="19">
        <f t="shared" si="19"/>
        <v>360000</v>
      </c>
    </row>
    <row r="197" spans="1:18" x14ac:dyDescent="0.25">
      <c r="A197" t="str">
        <f>_xlfn.XLOOKUP(C197,Raw_Data_Transaksi!$A$1:$A$1001,Raw_Data_Transaksi!$D$1:$D$1001,,0)</f>
        <v>PRD-106</v>
      </c>
      <c r="B197" t="str">
        <f>_xlfn.XLOOKUP(C197,Raw_Data_Transaksi!$A$1:$A$1001,Raw_Data_Transaksi!$C$1:$C$1001,,0)</f>
        <v>SLS-02</v>
      </c>
      <c r="C197" s="6" t="s">
        <v>281</v>
      </c>
      <c r="D197" s="7">
        <v>45691</v>
      </c>
      <c r="E197" s="10" t="str">
        <f>VLOOKUP(B197,Master_Sales!$A$1:$D$9,2,FALSE)</f>
        <v>Budi Santoso</v>
      </c>
      <c r="F197" s="10" t="str">
        <f>INDEX(Master_Sales!$D$1:$D$9,MATCH(Lembar_Kerja_Analisis!B197,Master_Sales!$A$1:$A$9,0))</f>
        <v>Timur</v>
      </c>
      <c r="G197" s="10" t="str">
        <f>INDEX(Master_Sales!$C$1:$C$9,MATCH(Lembar_Kerja_Analisis!B197,Master_Sales!$A$1:$A$9,0))</f>
        <v>Surabaya</v>
      </c>
      <c r="H197" s="10" t="str">
        <f>VLOOKUP(A197,Master_Produk!$A$1:$E$16,2,FALSE)</f>
        <v>Celana Chino Slim Fit</v>
      </c>
      <c r="I197" s="10" t="str">
        <f>INDEX(Master_Produk!$C$1:$C$16,MATCH(Lembar_Kerja_Analisis!A197,Master_Produk!$A$1:$A$16,0))</f>
        <v>Fashion</v>
      </c>
      <c r="J197" s="19">
        <f>_xlfn.XLOOKUP(A197,Master_Produk!$A$1:$A$16,Master_Produk!$D$1:$D$16,,0)</f>
        <v>280000</v>
      </c>
      <c r="K197" s="19">
        <f>INDEX(Master_Produk!$E$1:$E$16,MATCH(Lembar_Kerja_Analisis!A197,Master_Produk!$A$1:$A$16,0))</f>
        <v>175000</v>
      </c>
      <c r="L197" s="8">
        <v>9</v>
      </c>
      <c r="M197" s="19">
        <f t="shared" si="15"/>
        <v>2520000</v>
      </c>
      <c r="N197" s="9">
        <v>0.15</v>
      </c>
      <c r="O197" s="19">
        <f t="shared" si="16"/>
        <v>378000</v>
      </c>
      <c r="P197" s="19">
        <f t="shared" si="17"/>
        <v>2142000</v>
      </c>
      <c r="Q197" s="19">
        <f t="shared" si="18"/>
        <v>1575000</v>
      </c>
      <c r="R197" s="19">
        <f t="shared" si="19"/>
        <v>567000</v>
      </c>
    </row>
    <row r="198" spans="1:18" x14ac:dyDescent="0.25">
      <c r="A198" t="str">
        <f>_xlfn.XLOOKUP(C198,Raw_Data_Transaksi!$A$1:$A$1001,Raw_Data_Transaksi!$D$1:$D$1001,,0)</f>
        <v>PRD-102</v>
      </c>
      <c r="B198" t="str">
        <f>_xlfn.XLOOKUP(C198,Raw_Data_Transaksi!$A$1:$A$1001,Raw_Data_Transaksi!$C$1:$C$1001,,0)</f>
        <v>SLS-03</v>
      </c>
      <c r="C198" s="6" t="s">
        <v>282</v>
      </c>
      <c r="D198" s="7">
        <v>45828</v>
      </c>
      <c r="E198" s="10" t="str">
        <f>VLOOKUP(B198,Master_Sales!$A$1:$D$9,2,FALSE)</f>
        <v>Citra Lestari</v>
      </c>
      <c r="F198" s="10" t="str">
        <f>INDEX(Master_Sales!$D$1:$D$9,MATCH(Lembar_Kerja_Analisis!B198,Master_Sales!$A$1:$A$9,0))</f>
        <v>Barat</v>
      </c>
      <c r="G198" s="10" t="str">
        <f>INDEX(Master_Sales!$C$1:$C$9,MATCH(Lembar_Kerja_Analisis!B198,Master_Sales!$A$1:$A$9,0))</f>
        <v>Bandung</v>
      </c>
      <c r="H198" s="10" t="str">
        <f>VLOOKUP(A198,Master_Produk!$A$1:$E$16,2,FALSE)</f>
        <v>Wireless Mouse Ergonomic</v>
      </c>
      <c r="I198" s="10" t="str">
        <f>INDEX(Master_Produk!$C$1:$C$16,MATCH(Lembar_Kerja_Analisis!A198,Master_Produk!$A$1:$A$16,0))</f>
        <v>Elektronik</v>
      </c>
      <c r="J198" s="19">
        <f>_xlfn.XLOOKUP(A198,Master_Produk!$A$1:$A$16,Master_Produk!$D$1:$D$16,,0)</f>
        <v>250000</v>
      </c>
      <c r="K198" s="19">
        <f>INDEX(Master_Produk!$E$1:$E$16,MATCH(Lembar_Kerja_Analisis!A198,Master_Produk!$A$1:$A$16,0))</f>
        <v>160000</v>
      </c>
      <c r="L198" s="8">
        <v>6</v>
      </c>
      <c r="M198" s="19">
        <f t="shared" si="15"/>
        <v>1500000</v>
      </c>
      <c r="N198" s="9">
        <v>0.1</v>
      </c>
      <c r="O198" s="19">
        <f t="shared" si="16"/>
        <v>150000</v>
      </c>
      <c r="P198" s="19">
        <f t="shared" si="17"/>
        <v>1350000</v>
      </c>
      <c r="Q198" s="19">
        <f t="shared" si="18"/>
        <v>960000</v>
      </c>
      <c r="R198" s="19">
        <f t="shared" si="19"/>
        <v>390000</v>
      </c>
    </row>
    <row r="199" spans="1:18" x14ac:dyDescent="0.25">
      <c r="A199" t="str">
        <f>_xlfn.XLOOKUP(C199,Raw_Data_Transaksi!$A$1:$A$1001,Raw_Data_Transaksi!$D$1:$D$1001,,0)</f>
        <v>PRD-109</v>
      </c>
      <c r="B199" t="str">
        <f>_xlfn.XLOOKUP(C199,Raw_Data_Transaksi!$A$1:$A$1001,Raw_Data_Transaksi!$C$1:$C$1001,,0)</f>
        <v>SLS-07</v>
      </c>
      <c r="C199" s="6" t="s">
        <v>283</v>
      </c>
      <c r="D199" s="7">
        <v>45816</v>
      </c>
      <c r="E199" s="10" t="str">
        <f>VLOOKUP(B199,Master_Sales!$A$1:$D$9,2,FALSE)</f>
        <v>Gita Permata</v>
      </c>
      <c r="F199" s="10" t="str">
        <f>INDEX(Master_Sales!$D$1:$D$9,MATCH(Lembar_Kerja_Analisis!B199,Master_Sales!$A$1:$A$9,0))</f>
        <v>Tengah</v>
      </c>
      <c r="G199" s="10" t="str">
        <f>INDEX(Master_Sales!$C$1:$C$9,MATCH(Lembar_Kerja_Analisis!B199,Master_Sales!$A$1:$A$9,0))</f>
        <v>Denpasar</v>
      </c>
      <c r="H199" s="10" t="str">
        <f>VLOOKUP(A199,Master_Produk!$A$1:$E$16,2,FALSE)</f>
        <v>Kopi Arabika Gayo 250g</v>
      </c>
      <c r="I199" s="10" t="str">
        <f>INDEX(Master_Produk!$C$1:$C$16,MATCH(Lembar_Kerja_Analisis!A199,Master_Produk!$A$1:$A$16,0))</f>
        <v>F&amp;B</v>
      </c>
      <c r="J199" s="19">
        <f>_xlfn.XLOOKUP(A199,Master_Produk!$A$1:$A$16,Master_Produk!$D$1:$D$16,,0)</f>
        <v>85000</v>
      </c>
      <c r="K199" s="19">
        <f>INDEX(Master_Produk!$E$1:$E$16,MATCH(Lembar_Kerja_Analisis!A199,Master_Produk!$A$1:$A$16,0))</f>
        <v>55000</v>
      </c>
      <c r="L199" s="8">
        <v>28</v>
      </c>
      <c r="M199" s="19">
        <f t="shared" si="15"/>
        <v>2380000</v>
      </c>
      <c r="N199" s="9">
        <v>0.1</v>
      </c>
      <c r="O199" s="19">
        <f t="shared" si="16"/>
        <v>238000</v>
      </c>
      <c r="P199" s="19">
        <f t="shared" si="17"/>
        <v>2142000</v>
      </c>
      <c r="Q199" s="19">
        <f t="shared" si="18"/>
        <v>1540000</v>
      </c>
      <c r="R199" s="19">
        <f t="shared" si="19"/>
        <v>602000</v>
      </c>
    </row>
    <row r="200" spans="1:18" x14ac:dyDescent="0.25">
      <c r="A200" t="str">
        <f>_xlfn.XLOOKUP(C200,Raw_Data_Transaksi!$A$1:$A$1001,Raw_Data_Transaksi!$D$1:$D$1001,,0)</f>
        <v>PRD-111</v>
      </c>
      <c r="B200" t="str">
        <f>_xlfn.XLOOKUP(C200,Raw_Data_Transaksi!$A$1:$A$1001,Raw_Data_Transaksi!$C$1:$C$1001,,0)</f>
        <v>SLS-07</v>
      </c>
      <c r="C200" s="6" t="s">
        <v>284</v>
      </c>
      <c r="D200" s="7">
        <v>45988</v>
      </c>
      <c r="E200" s="10" t="str">
        <f>VLOOKUP(B200,Master_Sales!$A$1:$D$9,2,FALSE)</f>
        <v>Gita Permata</v>
      </c>
      <c r="F200" s="10" t="str">
        <f>INDEX(Master_Sales!$D$1:$D$9,MATCH(Lembar_Kerja_Analisis!B200,Master_Sales!$A$1:$A$9,0))</f>
        <v>Tengah</v>
      </c>
      <c r="G200" s="10" t="str">
        <f>INDEX(Master_Sales!$C$1:$C$9,MATCH(Lembar_Kerja_Analisis!B200,Master_Sales!$A$1:$A$9,0))</f>
        <v>Denpasar</v>
      </c>
      <c r="H200" s="10" t="str">
        <f>VLOOKUP(A200,Master_Produk!$A$1:$E$16,2,FALSE)</f>
        <v>Beras Premium 5kg</v>
      </c>
      <c r="I200" s="10" t="str">
        <f>INDEX(Master_Produk!$C$1:$C$16,MATCH(Lembar_Kerja_Analisis!A200,Master_Produk!$A$1:$A$16,0))</f>
        <v>F&amp;B</v>
      </c>
      <c r="J200" s="19">
        <f>_xlfn.XLOOKUP(A200,Master_Produk!$A$1:$A$16,Master_Produk!$D$1:$D$16,,0)</f>
        <v>74000</v>
      </c>
      <c r="K200" s="19">
        <f>INDEX(Master_Produk!$E$1:$E$16,MATCH(Lembar_Kerja_Analisis!A200,Master_Produk!$A$1:$A$16,0))</f>
        <v>65000</v>
      </c>
      <c r="L200" s="8">
        <v>14</v>
      </c>
      <c r="M200" s="19">
        <f t="shared" si="15"/>
        <v>1036000</v>
      </c>
      <c r="N200" s="9">
        <v>0</v>
      </c>
      <c r="O200" s="19">
        <f t="shared" si="16"/>
        <v>0</v>
      </c>
      <c r="P200" s="19">
        <f t="shared" si="17"/>
        <v>1036000</v>
      </c>
      <c r="Q200" s="19">
        <f t="shared" si="18"/>
        <v>910000</v>
      </c>
      <c r="R200" s="19">
        <f t="shared" si="19"/>
        <v>126000</v>
      </c>
    </row>
    <row r="201" spans="1:18" x14ac:dyDescent="0.25">
      <c r="A201" t="str">
        <f>_xlfn.XLOOKUP(C201,Raw_Data_Transaksi!$A$1:$A$1001,Raw_Data_Transaksi!$D$1:$D$1001,,0)</f>
        <v>PRD-106</v>
      </c>
      <c r="B201" t="str">
        <f>_xlfn.XLOOKUP(C201,Raw_Data_Transaksi!$A$1:$A$1001,Raw_Data_Transaksi!$C$1:$C$1001,,0)</f>
        <v>SLS-08</v>
      </c>
      <c r="C201" s="6" t="s">
        <v>285</v>
      </c>
      <c r="D201" s="7">
        <v>45767</v>
      </c>
      <c r="E201" s="10" t="str">
        <f>VLOOKUP(B201,Master_Sales!$A$1:$D$9,2,FALSE)</f>
        <v>Hendra Wijaya</v>
      </c>
      <c r="F201" s="10" t="str">
        <f>INDEX(Master_Sales!$D$1:$D$9,MATCH(Lembar_Kerja_Analisis!B201,Master_Sales!$A$1:$A$9,0))</f>
        <v>Tengah</v>
      </c>
      <c r="G201" s="10" t="str">
        <f>INDEX(Master_Sales!$C$1:$C$9,MATCH(Lembar_Kerja_Analisis!B201,Master_Sales!$A$1:$A$9,0))</f>
        <v>Yogyakarta</v>
      </c>
      <c r="H201" s="10" t="str">
        <f>VLOOKUP(A201,Master_Produk!$A$1:$E$16,2,FALSE)</f>
        <v>Celana Chino Slim Fit</v>
      </c>
      <c r="I201" s="10" t="str">
        <f>INDEX(Master_Produk!$C$1:$C$16,MATCH(Lembar_Kerja_Analisis!A201,Master_Produk!$A$1:$A$16,0))</f>
        <v>Fashion</v>
      </c>
      <c r="J201" s="19">
        <f>_xlfn.XLOOKUP(A201,Master_Produk!$A$1:$A$16,Master_Produk!$D$1:$D$16,,0)</f>
        <v>280000</v>
      </c>
      <c r="K201" s="19">
        <f>INDEX(Master_Produk!$E$1:$E$16,MATCH(Lembar_Kerja_Analisis!A201,Master_Produk!$A$1:$A$16,0))</f>
        <v>175000</v>
      </c>
      <c r="L201" s="8">
        <v>4</v>
      </c>
      <c r="M201" s="19">
        <f t="shared" si="15"/>
        <v>1120000</v>
      </c>
      <c r="N201" s="9">
        <v>0.05</v>
      </c>
      <c r="O201" s="19">
        <f t="shared" si="16"/>
        <v>56000</v>
      </c>
      <c r="P201" s="19">
        <f t="shared" si="17"/>
        <v>1064000</v>
      </c>
      <c r="Q201" s="19">
        <f t="shared" si="18"/>
        <v>700000</v>
      </c>
      <c r="R201" s="19">
        <f t="shared" si="19"/>
        <v>364000</v>
      </c>
    </row>
    <row r="202" spans="1:18" x14ac:dyDescent="0.25">
      <c r="A202" t="str">
        <f>_xlfn.XLOOKUP(C202,Raw_Data_Transaksi!$A$1:$A$1001,Raw_Data_Transaksi!$D$1:$D$1001,,0)</f>
        <v>PRD-114</v>
      </c>
      <c r="B202" t="str">
        <f>_xlfn.XLOOKUP(C202,Raw_Data_Transaksi!$A$1:$A$1001,Raw_Data_Transaksi!$C$1:$C$1001,,0)</f>
        <v>SLS-02</v>
      </c>
      <c r="C202" s="6" t="s">
        <v>286</v>
      </c>
      <c r="D202" s="7">
        <v>45809</v>
      </c>
      <c r="E202" s="10" t="str">
        <f>VLOOKUP(B202,Master_Sales!$A$1:$D$9,2,FALSE)</f>
        <v>Budi Santoso</v>
      </c>
      <c r="F202" s="10" t="str">
        <f>INDEX(Master_Sales!$D$1:$D$9,MATCH(Lembar_Kerja_Analisis!B202,Master_Sales!$A$1:$A$9,0))</f>
        <v>Timur</v>
      </c>
      <c r="G202" s="10" t="str">
        <f>INDEX(Master_Sales!$C$1:$C$9,MATCH(Lembar_Kerja_Analisis!B202,Master_Sales!$A$1:$A$9,0))</f>
        <v>Surabaya</v>
      </c>
      <c r="H202" s="10" t="str">
        <f>VLOOKUP(A202,Master_Produk!$A$1:$E$16,2,FALSE)</f>
        <v>Blender Multifungsi 2-in-1</v>
      </c>
      <c r="I202" s="10" t="str">
        <f>INDEX(Master_Produk!$C$1:$C$16,MATCH(Lembar_Kerja_Analisis!A202,Master_Produk!$A$1:$A$16,0))</f>
        <v>Peralatan Rumah</v>
      </c>
      <c r="J202" s="19">
        <f>_xlfn.XLOOKUP(A202,Master_Produk!$A$1:$A$16,Master_Produk!$D$1:$D$16,,0)</f>
        <v>340000</v>
      </c>
      <c r="K202" s="19">
        <f>INDEX(Master_Produk!$E$1:$E$16,MATCH(Lembar_Kerja_Analisis!A202,Master_Produk!$A$1:$A$16,0))</f>
        <v>240000</v>
      </c>
      <c r="L202" s="8">
        <v>9</v>
      </c>
      <c r="M202" s="19">
        <f t="shared" si="15"/>
        <v>3060000</v>
      </c>
      <c r="N202" s="9">
        <v>0.2</v>
      </c>
      <c r="O202" s="19">
        <f t="shared" si="16"/>
        <v>612000</v>
      </c>
      <c r="P202" s="19">
        <f t="shared" si="17"/>
        <v>2448000</v>
      </c>
      <c r="Q202" s="19">
        <f t="shared" si="18"/>
        <v>2160000</v>
      </c>
      <c r="R202" s="19">
        <f t="shared" si="19"/>
        <v>288000</v>
      </c>
    </row>
    <row r="203" spans="1:18" x14ac:dyDescent="0.25">
      <c r="A203" t="str">
        <f>_xlfn.XLOOKUP(C203,Raw_Data_Transaksi!$A$1:$A$1001,Raw_Data_Transaksi!$D$1:$D$1001,,0)</f>
        <v>PRD-103</v>
      </c>
      <c r="B203" t="str">
        <f>_xlfn.XLOOKUP(C203,Raw_Data_Transaksi!$A$1:$A$1001,Raw_Data_Transaksi!$C$1:$C$1001,,0)</f>
        <v>SLS-07</v>
      </c>
      <c r="C203" s="6" t="s">
        <v>287</v>
      </c>
      <c r="D203" s="7">
        <v>45974</v>
      </c>
      <c r="E203" s="10" t="str">
        <f>VLOOKUP(B203,Master_Sales!$A$1:$D$9,2,FALSE)</f>
        <v>Gita Permata</v>
      </c>
      <c r="F203" s="10" t="str">
        <f>INDEX(Master_Sales!$D$1:$D$9,MATCH(Lembar_Kerja_Analisis!B203,Master_Sales!$A$1:$A$9,0))</f>
        <v>Tengah</v>
      </c>
      <c r="G203" s="10" t="str">
        <f>INDEX(Master_Sales!$C$1:$C$9,MATCH(Lembar_Kerja_Analisis!B203,Master_Sales!$A$1:$A$9,0))</f>
        <v>Denpasar</v>
      </c>
      <c r="H203" s="10" t="str">
        <f>VLOOKUP(A203,Master_Produk!$A$1:$E$16,2,FALSE)</f>
        <v>Mechanical Keyboard RGB</v>
      </c>
      <c r="I203" s="10" t="str">
        <f>INDEX(Master_Produk!$C$1:$C$16,MATCH(Lembar_Kerja_Analisis!A203,Master_Produk!$A$1:$A$16,0))</f>
        <v>Elektronik</v>
      </c>
      <c r="J203" s="19">
        <f>_xlfn.XLOOKUP(A203,Master_Produk!$A$1:$A$16,Master_Produk!$D$1:$D$16,,0)</f>
        <v>750000</v>
      </c>
      <c r="K203" s="19">
        <f>INDEX(Master_Produk!$E$1:$E$16,MATCH(Lembar_Kerja_Analisis!A203,Master_Produk!$A$1:$A$16,0))</f>
        <v>520000</v>
      </c>
      <c r="L203" s="8">
        <v>3</v>
      </c>
      <c r="M203" s="19">
        <f t="shared" si="15"/>
        <v>2250000</v>
      </c>
      <c r="N203" s="9">
        <v>0.05</v>
      </c>
      <c r="O203" s="19">
        <f t="shared" si="16"/>
        <v>112500</v>
      </c>
      <c r="P203" s="19">
        <f t="shared" si="17"/>
        <v>2137500</v>
      </c>
      <c r="Q203" s="19">
        <f t="shared" si="18"/>
        <v>1560000</v>
      </c>
      <c r="R203" s="19">
        <f t="shared" si="19"/>
        <v>577500</v>
      </c>
    </row>
    <row r="204" spans="1:18" x14ac:dyDescent="0.25">
      <c r="A204" t="str">
        <f>_xlfn.XLOOKUP(C204,Raw_Data_Transaksi!$A$1:$A$1001,Raw_Data_Transaksi!$D$1:$D$1001,,0)</f>
        <v>PRD-101</v>
      </c>
      <c r="B204" t="str">
        <f>_xlfn.XLOOKUP(C204,Raw_Data_Transaksi!$A$1:$A$1001,Raw_Data_Transaksi!$C$1:$C$1001,,0)</f>
        <v>SLS-07</v>
      </c>
      <c r="C204" s="6" t="s">
        <v>288</v>
      </c>
      <c r="D204" s="7">
        <v>45882</v>
      </c>
      <c r="E204" s="10" t="str">
        <f>VLOOKUP(B204,Master_Sales!$A$1:$D$9,2,FALSE)</f>
        <v>Gita Permata</v>
      </c>
      <c r="F204" s="10" t="str">
        <f>INDEX(Master_Sales!$D$1:$D$9,MATCH(Lembar_Kerja_Analisis!B204,Master_Sales!$A$1:$A$9,0))</f>
        <v>Tengah</v>
      </c>
      <c r="G204" s="10" t="str">
        <f>INDEX(Master_Sales!$C$1:$C$9,MATCH(Lembar_Kerja_Analisis!B204,Master_Sales!$A$1:$A$9,0))</f>
        <v>Denpasar</v>
      </c>
      <c r="H204" s="10" t="str">
        <f>VLOOKUP(A204,Master_Produk!$A$1:$E$16,2,FALSE)</f>
        <v>Laptop Ultrabook 14"</v>
      </c>
      <c r="I204" s="10" t="str">
        <f>INDEX(Master_Produk!$C$1:$C$16,MATCH(Lembar_Kerja_Analisis!A204,Master_Produk!$A$1:$A$16,0))</f>
        <v>Elektronik</v>
      </c>
      <c r="J204" s="19">
        <f>_xlfn.XLOOKUP(A204,Master_Produk!$A$1:$A$16,Master_Produk!$D$1:$D$16,,0)</f>
        <v>8500000</v>
      </c>
      <c r="K204" s="19">
        <f>INDEX(Master_Produk!$E$1:$E$16,MATCH(Lembar_Kerja_Analisis!A204,Master_Produk!$A$1:$A$16,0))</f>
        <v>7200000</v>
      </c>
      <c r="L204" s="8">
        <v>6</v>
      </c>
      <c r="M204" s="19">
        <f t="shared" si="15"/>
        <v>51000000</v>
      </c>
      <c r="N204" s="9">
        <v>0.05</v>
      </c>
      <c r="O204" s="19">
        <f t="shared" si="16"/>
        <v>2550000</v>
      </c>
      <c r="P204" s="19">
        <f t="shared" si="17"/>
        <v>48450000</v>
      </c>
      <c r="Q204" s="19">
        <f t="shared" si="18"/>
        <v>43200000</v>
      </c>
      <c r="R204" s="19">
        <f t="shared" si="19"/>
        <v>5250000</v>
      </c>
    </row>
    <row r="205" spans="1:18" x14ac:dyDescent="0.25">
      <c r="A205" t="str">
        <f>_xlfn.XLOOKUP(C205,Raw_Data_Transaksi!$A$1:$A$1001,Raw_Data_Transaksi!$D$1:$D$1001,,0)</f>
        <v>PRD-104</v>
      </c>
      <c r="B205" t="str">
        <f>_xlfn.XLOOKUP(C205,Raw_Data_Transaksi!$A$1:$A$1001,Raw_Data_Transaksi!$C$1:$C$1001,,0)</f>
        <v>SLS-04</v>
      </c>
      <c r="C205" s="6" t="s">
        <v>289</v>
      </c>
      <c r="D205" s="7">
        <v>45887</v>
      </c>
      <c r="E205" s="10" t="str">
        <f>VLOOKUP(B205,Master_Sales!$A$1:$D$9,2,FALSE)</f>
        <v>Dewi Anggraini</v>
      </c>
      <c r="F205" s="10" t="str">
        <f>INDEX(Master_Sales!$D$1:$D$9,MATCH(Lembar_Kerja_Analisis!B205,Master_Sales!$A$1:$A$9,0))</f>
        <v>Barat</v>
      </c>
      <c r="G205" s="10" t="str">
        <f>INDEX(Master_Sales!$C$1:$C$9,MATCH(Lembar_Kerja_Analisis!B205,Master_Sales!$A$1:$A$9,0))</f>
        <v>Medan</v>
      </c>
      <c r="H205" s="10" t="str">
        <f>VLOOKUP(A205,Master_Produk!$A$1:$E$16,2,FALSE)</f>
        <v>Monitor 24" FHD 144Hz</v>
      </c>
      <c r="I205" s="10" t="str">
        <f>INDEX(Master_Produk!$C$1:$C$16,MATCH(Lembar_Kerja_Analisis!A205,Master_Produk!$A$1:$A$16,0))</f>
        <v>Elektronik</v>
      </c>
      <c r="J205" s="19">
        <f>_xlfn.XLOOKUP(A205,Master_Produk!$A$1:$A$16,Master_Produk!$D$1:$D$16,,0)</f>
        <v>1950000</v>
      </c>
      <c r="K205" s="19">
        <f>INDEX(Master_Produk!$E$1:$E$16,MATCH(Lembar_Kerja_Analisis!A205,Master_Produk!$A$1:$A$16,0))</f>
        <v>1500000</v>
      </c>
      <c r="L205" s="8">
        <v>5</v>
      </c>
      <c r="M205" s="19">
        <f t="shared" si="15"/>
        <v>9750000</v>
      </c>
      <c r="N205" s="9">
        <v>0.15</v>
      </c>
      <c r="O205" s="19">
        <f t="shared" si="16"/>
        <v>1462500</v>
      </c>
      <c r="P205" s="19">
        <f t="shared" si="17"/>
        <v>8287500</v>
      </c>
      <c r="Q205" s="19">
        <f t="shared" si="18"/>
        <v>7500000</v>
      </c>
      <c r="R205" s="19">
        <f t="shared" si="19"/>
        <v>787500</v>
      </c>
    </row>
    <row r="206" spans="1:18" x14ac:dyDescent="0.25">
      <c r="A206" t="str">
        <f>_xlfn.XLOOKUP(C206,Raw_Data_Transaksi!$A$1:$A$1001,Raw_Data_Transaksi!$D$1:$D$1001,,0)</f>
        <v>PRD-113</v>
      </c>
      <c r="B206" t="str">
        <f>_xlfn.XLOOKUP(C206,Raw_Data_Transaksi!$A$1:$A$1001,Raw_Data_Transaksi!$C$1:$C$1001,,0)</f>
        <v>SLS-05</v>
      </c>
      <c r="C206" s="6" t="s">
        <v>290</v>
      </c>
      <c r="D206" s="7">
        <v>45894</v>
      </c>
      <c r="E206" s="10" t="str">
        <f>VLOOKUP(B206,Master_Sales!$A$1:$D$9,2,FALSE)</f>
        <v>Eko Prasetyo</v>
      </c>
      <c r="F206" s="10" t="str">
        <f>INDEX(Master_Sales!$D$1:$D$9,MATCH(Lembar_Kerja_Analisis!B206,Master_Sales!$A$1:$A$9,0))</f>
        <v>Tengah</v>
      </c>
      <c r="G206" s="10" t="str">
        <f>INDEX(Master_Sales!$C$1:$C$9,MATCH(Lembar_Kerja_Analisis!B206,Master_Sales!$A$1:$A$9,0))</f>
        <v>Semarang</v>
      </c>
      <c r="H206" s="10" t="str">
        <f>VLOOKUP(A206,Master_Produk!$A$1:$E$16,2,FALSE)</f>
        <v>Wajan Anti Lengket 28cm</v>
      </c>
      <c r="I206" s="10" t="str">
        <f>INDEX(Master_Produk!$C$1:$C$16,MATCH(Lembar_Kerja_Analisis!A206,Master_Produk!$A$1:$A$16,0))</f>
        <v>Peralatan Rumah</v>
      </c>
      <c r="J206" s="19">
        <f>_xlfn.XLOOKUP(A206,Master_Produk!$A$1:$A$16,Master_Produk!$D$1:$D$16,,0)</f>
        <v>210000</v>
      </c>
      <c r="K206" s="19">
        <f>INDEX(Master_Produk!$E$1:$E$16,MATCH(Lembar_Kerja_Analisis!A206,Master_Produk!$A$1:$A$16,0))</f>
        <v>140000</v>
      </c>
      <c r="L206" s="8">
        <v>7</v>
      </c>
      <c r="M206" s="19">
        <f t="shared" si="15"/>
        <v>1470000</v>
      </c>
      <c r="N206" s="9">
        <v>0.2</v>
      </c>
      <c r="O206" s="19">
        <f t="shared" si="16"/>
        <v>294000</v>
      </c>
      <c r="P206" s="19">
        <f t="shared" si="17"/>
        <v>1176000</v>
      </c>
      <c r="Q206" s="19">
        <f t="shared" si="18"/>
        <v>980000</v>
      </c>
      <c r="R206" s="19">
        <f t="shared" si="19"/>
        <v>196000</v>
      </c>
    </row>
    <row r="207" spans="1:18" x14ac:dyDescent="0.25">
      <c r="A207" t="str">
        <f>_xlfn.XLOOKUP(C207,Raw_Data_Transaksi!$A$1:$A$1001,Raw_Data_Transaksi!$D$1:$D$1001,,0)</f>
        <v>PRD-103</v>
      </c>
      <c r="B207" t="str">
        <f>_xlfn.XLOOKUP(C207,Raw_Data_Transaksi!$A$1:$A$1001,Raw_Data_Transaksi!$C$1:$C$1001,,0)</f>
        <v>SLS-05</v>
      </c>
      <c r="C207" s="6" t="s">
        <v>291</v>
      </c>
      <c r="D207" s="7">
        <v>45967</v>
      </c>
      <c r="E207" s="10" t="str">
        <f>VLOOKUP(B207,Master_Sales!$A$1:$D$9,2,FALSE)</f>
        <v>Eko Prasetyo</v>
      </c>
      <c r="F207" s="10" t="str">
        <f>INDEX(Master_Sales!$D$1:$D$9,MATCH(Lembar_Kerja_Analisis!B207,Master_Sales!$A$1:$A$9,0))</f>
        <v>Tengah</v>
      </c>
      <c r="G207" s="10" t="str">
        <f>INDEX(Master_Sales!$C$1:$C$9,MATCH(Lembar_Kerja_Analisis!B207,Master_Sales!$A$1:$A$9,0))</f>
        <v>Semarang</v>
      </c>
      <c r="H207" s="10" t="str">
        <f>VLOOKUP(A207,Master_Produk!$A$1:$E$16,2,FALSE)</f>
        <v>Mechanical Keyboard RGB</v>
      </c>
      <c r="I207" s="10" t="str">
        <f>INDEX(Master_Produk!$C$1:$C$16,MATCH(Lembar_Kerja_Analisis!A207,Master_Produk!$A$1:$A$16,0))</f>
        <v>Elektronik</v>
      </c>
      <c r="J207" s="19">
        <f>_xlfn.XLOOKUP(A207,Master_Produk!$A$1:$A$16,Master_Produk!$D$1:$D$16,,0)</f>
        <v>750000</v>
      </c>
      <c r="K207" s="19">
        <f>INDEX(Master_Produk!$E$1:$E$16,MATCH(Lembar_Kerja_Analisis!A207,Master_Produk!$A$1:$A$16,0))</f>
        <v>520000</v>
      </c>
      <c r="L207" s="8">
        <v>1</v>
      </c>
      <c r="M207" s="19">
        <f t="shared" si="15"/>
        <v>750000</v>
      </c>
      <c r="N207" s="9">
        <v>0.15</v>
      </c>
      <c r="O207" s="19">
        <f t="shared" si="16"/>
        <v>112500</v>
      </c>
      <c r="P207" s="19">
        <f t="shared" si="17"/>
        <v>637500</v>
      </c>
      <c r="Q207" s="19">
        <f t="shared" si="18"/>
        <v>520000</v>
      </c>
      <c r="R207" s="19">
        <f t="shared" si="19"/>
        <v>117500</v>
      </c>
    </row>
    <row r="208" spans="1:18" x14ac:dyDescent="0.25">
      <c r="A208" t="str">
        <f>_xlfn.XLOOKUP(C208,Raw_Data_Transaksi!$A$1:$A$1001,Raw_Data_Transaksi!$D$1:$D$1001,,0)</f>
        <v>PRD-114</v>
      </c>
      <c r="B208" t="str">
        <f>_xlfn.XLOOKUP(C208,Raw_Data_Transaksi!$A$1:$A$1001,Raw_Data_Transaksi!$C$1:$C$1001,,0)</f>
        <v>SLS-02</v>
      </c>
      <c r="C208" s="6" t="s">
        <v>292</v>
      </c>
      <c r="D208" s="7">
        <v>46022</v>
      </c>
      <c r="E208" s="10" t="str">
        <f>VLOOKUP(B208,Master_Sales!$A$1:$D$9,2,FALSE)</f>
        <v>Budi Santoso</v>
      </c>
      <c r="F208" s="10" t="str">
        <f>INDEX(Master_Sales!$D$1:$D$9,MATCH(Lembar_Kerja_Analisis!B208,Master_Sales!$A$1:$A$9,0))</f>
        <v>Timur</v>
      </c>
      <c r="G208" s="10" t="str">
        <f>INDEX(Master_Sales!$C$1:$C$9,MATCH(Lembar_Kerja_Analisis!B208,Master_Sales!$A$1:$A$9,0))</f>
        <v>Surabaya</v>
      </c>
      <c r="H208" s="10" t="str">
        <f>VLOOKUP(A208,Master_Produk!$A$1:$E$16,2,FALSE)</f>
        <v>Blender Multifungsi 2-in-1</v>
      </c>
      <c r="I208" s="10" t="str">
        <f>INDEX(Master_Produk!$C$1:$C$16,MATCH(Lembar_Kerja_Analisis!A208,Master_Produk!$A$1:$A$16,0))</f>
        <v>Peralatan Rumah</v>
      </c>
      <c r="J208" s="19">
        <f>_xlfn.XLOOKUP(A208,Master_Produk!$A$1:$A$16,Master_Produk!$D$1:$D$16,,0)</f>
        <v>340000</v>
      </c>
      <c r="K208" s="19">
        <f>INDEX(Master_Produk!$E$1:$E$16,MATCH(Lembar_Kerja_Analisis!A208,Master_Produk!$A$1:$A$16,0))</f>
        <v>240000</v>
      </c>
      <c r="L208" s="8">
        <v>5</v>
      </c>
      <c r="M208" s="19">
        <f t="shared" si="15"/>
        <v>1700000</v>
      </c>
      <c r="N208" s="9">
        <v>0</v>
      </c>
      <c r="O208" s="19">
        <f t="shared" si="16"/>
        <v>0</v>
      </c>
      <c r="P208" s="19">
        <f t="shared" si="17"/>
        <v>1700000</v>
      </c>
      <c r="Q208" s="19">
        <f t="shared" si="18"/>
        <v>1200000</v>
      </c>
      <c r="R208" s="19">
        <f t="shared" si="19"/>
        <v>500000</v>
      </c>
    </row>
    <row r="209" spans="1:18" x14ac:dyDescent="0.25">
      <c r="A209" t="str">
        <f>_xlfn.XLOOKUP(C209,Raw_Data_Transaksi!$A$1:$A$1001,Raw_Data_Transaksi!$D$1:$D$1001,,0)</f>
        <v>PRD-103</v>
      </c>
      <c r="B209" t="str">
        <f>_xlfn.XLOOKUP(C209,Raw_Data_Transaksi!$A$1:$A$1001,Raw_Data_Transaksi!$C$1:$C$1001,,0)</f>
        <v>SLS-07</v>
      </c>
      <c r="C209" s="6" t="s">
        <v>293</v>
      </c>
      <c r="D209" s="7">
        <v>45920</v>
      </c>
      <c r="E209" s="10" t="str">
        <f>VLOOKUP(B209,Master_Sales!$A$1:$D$9,2,FALSE)</f>
        <v>Gita Permata</v>
      </c>
      <c r="F209" s="10" t="str">
        <f>INDEX(Master_Sales!$D$1:$D$9,MATCH(Lembar_Kerja_Analisis!B209,Master_Sales!$A$1:$A$9,0))</f>
        <v>Tengah</v>
      </c>
      <c r="G209" s="10" t="str">
        <f>INDEX(Master_Sales!$C$1:$C$9,MATCH(Lembar_Kerja_Analisis!B209,Master_Sales!$A$1:$A$9,0))</f>
        <v>Denpasar</v>
      </c>
      <c r="H209" s="10" t="str">
        <f>VLOOKUP(A209,Master_Produk!$A$1:$E$16,2,FALSE)</f>
        <v>Mechanical Keyboard RGB</v>
      </c>
      <c r="I209" s="10" t="str">
        <f>INDEX(Master_Produk!$C$1:$C$16,MATCH(Lembar_Kerja_Analisis!A209,Master_Produk!$A$1:$A$16,0))</f>
        <v>Elektronik</v>
      </c>
      <c r="J209" s="19">
        <f>_xlfn.XLOOKUP(A209,Master_Produk!$A$1:$A$16,Master_Produk!$D$1:$D$16,,0)</f>
        <v>750000</v>
      </c>
      <c r="K209" s="19">
        <f>INDEX(Master_Produk!$E$1:$E$16,MATCH(Lembar_Kerja_Analisis!A209,Master_Produk!$A$1:$A$16,0))</f>
        <v>520000</v>
      </c>
      <c r="L209" s="8">
        <v>2</v>
      </c>
      <c r="M209" s="19">
        <f t="shared" si="15"/>
        <v>1500000</v>
      </c>
      <c r="N209" s="9">
        <v>0.05</v>
      </c>
      <c r="O209" s="19">
        <f t="shared" si="16"/>
        <v>75000</v>
      </c>
      <c r="P209" s="19">
        <f t="shared" si="17"/>
        <v>1425000</v>
      </c>
      <c r="Q209" s="19">
        <f t="shared" si="18"/>
        <v>1040000</v>
      </c>
      <c r="R209" s="19">
        <f t="shared" si="19"/>
        <v>385000</v>
      </c>
    </row>
    <row r="210" spans="1:18" x14ac:dyDescent="0.25">
      <c r="A210" t="str">
        <f>_xlfn.XLOOKUP(C210,Raw_Data_Transaksi!$A$1:$A$1001,Raw_Data_Transaksi!$D$1:$D$1001,,0)</f>
        <v>PRD-101</v>
      </c>
      <c r="B210" t="str">
        <f>_xlfn.XLOOKUP(C210,Raw_Data_Transaksi!$A$1:$A$1001,Raw_Data_Transaksi!$C$1:$C$1001,,0)</f>
        <v>SLS-07</v>
      </c>
      <c r="C210" s="6" t="s">
        <v>294</v>
      </c>
      <c r="D210" s="7">
        <v>45870</v>
      </c>
      <c r="E210" s="10" t="str">
        <f>VLOOKUP(B210,Master_Sales!$A$1:$D$9,2,FALSE)</f>
        <v>Gita Permata</v>
      </c>
      <c r="F210" s="10" t="str">
        <f>INDEX(Master_Sales!$D$1:$D$9,MATCH(Lembar_Kerja_Analisis!B210,Master_Sales!$A$1:$A$9,0))</f>
        <v>Tengah</v>
      </c>
      <c r="G210" s="10" t="str">
        <f>INDEX(Master_Sales!$C$1:$C$9,MATCH(Lembar_Kerja_Analisis!B210,Master_Sales!$A$1:$A$9,0))</f>
        <v>Denpasar</v>
      </c>
      <c r="H210" s="10" t="str">
        <f>VLOOKUP(A210,Master_Produk!$A$1:$E$16,2,FALSE)</f>
        <v>Laptop Ultrabook 14"</v>
      </c>
      <c r="I210" s="10" t="str">
        <f>INDEX(Master_Produk!$C$1:$C$16,MATCH(Lembar_Kerja_Analisis!A210,Master_Produk!$A$1:$A$16,0))</f>
        <v>Elektronik</v>
      </c>
      <c r="J210" s="19">
        <f>_xlfn.XLOOKUP(A210,Master_Produk!$A$1:$A$16,Master_Produk!$D$1:$D$16,,0)</f>
        <v>8500000</v>
      </c>
      <c r="K210" s="19">
        <f>INDEX(Master_Produk!$E$1:$E$16,MATCH(Lembar_Kerja_Analisis!A210,Master_Produk!$A$1:$A$16,0))</f>
        <v>7200000</v>
      </c>
      <c r="L210" s="8">
        <v>9</v>
      </c>
      <c r="M210" s="19">
        <f t="shared" si="15"/>
        <v>76500000</v>
      </c>
      <c r="N210" s="9">
        <v>0.1</v>
      </c>
      <c r="O210" s="19">
        <f t="shared" si="16"/>
        <v>7650000</v>
      </c>
      <c r="P210" s="19">
        <f t="shared" si="17"/>
        <v>68850000</v>
      </c>
      <c r="Q210" s="19">
        <f t="shared" si="18"/>
        <v>64800000</v>
      </c>
      <c r="R210" s="19">
        <f t="shared" si="19"/>
        <v>4050000</v>
      </c>
    </row>
    <row r="211" spans="1:18" x14ac:dyDescent="0.25">
      <c r="A211" t="str">
        <f>_xlfn.XLOOKUP(C211,Raw_Data_Transaksi!$A$1:$A$1001,Raw_Data_Transaksi!$D$1:$D$1001,,0)</f>
        <v>PRD-104</v>
      </c>
      <c r="B211" t="str">
        <f>_xlfn.XLOOKUP(C211,Raw_Data_Transaksi!$A$1:$A$1001,Raw_Data_Transaksi!$C$1:$C$1001,,0)</f>
        <v>SLS-01</v>
      </c>
      <c r="C211" s="6" t="s">
        <v>295</v>
      </c>
      <c r="D211" s="7">
        <v>45849</v>
      </c>
      <c r="E211" s="10" t="str">
        <f>VLOOKUP(B211,Master_Sales!$A$1:$D$9,2,FALSE)</f>
        <v>Andi Pratama</v>
      </c>
      <c r="F211" s="10" t="str">
        <f>INDEX(Master_Sales!$D$1:$D$9,MATCH(Lembar_Kerja_Analisis!B211,Master_Sales!$A$1:$A$9,0))</f>
        <v>Barat</v>
      </c>
      <c r="G211" s="10" t="str">
        <f>INDEX(Master_Sales!$C$1:$C$9,MATCH(Lembar_Kerja_Analisis!B211,Master_Sales!$A$1:$A$9,0))</f>
        <v>Jakarta</v>
      </c>
      <c r="H211" s="10" t="str">
        <f>VLOOKUP(A211,Master_Produk!$A$1:$E$16,2,FALSE)</f>
        <v>Monitor 24" FHD 144Hz</v>
      </c>
      <c r="I211" s="10" t="str">
        <f>INDEX(Master_Produk!$C$1:$C$16,MATCH(Lembar_Kerja_Analisis!A211,Master_Produk!$A$1:$A$16,0))</f>
        <v>Elektronik</v>
      </c>
      <c r="J211" s="19">
        <f>_xlfn.XLOOKUP(A211,Master_Produk!$A$1:$A$16,Master_Produk!$D$1:$D$16,,0)</f>
        <v>1950000</v>
      </c>
      <c r="K211" s="19">
        <f>INDEX(Master_Produk!$E$1:$E$16,MATCH(Lembar_Kerja_Analisis!A211,Master_Produk!$A$1:$A$16,0))</f>
        <v>1500000</v>
      </c>
      <c r="L211" s="8">
        <v>6</v>
      </c>
      <c r="M211" s="19">
        <f t="shared" si="15"/>
        <v>11700000</v>
      </c>
      <c r="N211" s="9">
        <v>0</v>
      </c>
      <c r="O211" s="19">
        <f t="shared" si="16"/>
        <v>0</v>
      </c>
      <c r="P211" s="19">
        <f t="shared" si="17"/>
        <v>11700000</v>
      </c>
      <c r="Q211" s="19">
        <f t="shared" si="18"/>
        <v>9000000</v>
      </c>
      <c r="R211" s="19">
        <f t="shared" si="19"/>
        <v>2700000</v>
      </c>
    </row>
    <row r="212" spans="1:18" x14ac:dyDescent="0.25">
      <c r="A212" t="str">
        <f>_xlfn.XLOOKUP(C212,Raw_Data_Transaksi!$A$1:$A$1001,Raw_Data_Transaksi!$D$1:$D$1001,,0)</f>
        <v>PRD-105</v>
      </c>
      <c r="B212" t="str">
        <f>_xlfn.XLOOKUP(C212,Raw_Data_Transaksi!$A$1:$A$1001,Raw_Data_Transaksi!$C$1:$C$1001,,0)</f>
        <v>SLS-08</v>
      </c>
      <c r="C212" s="6" t="s">
        <v>296</v>
      </c>
      <c r="D212" s="7">
        <v>45677</v>
      </c>
      <c r="E212" s="10" t="str">
        <f>VLOOKUP(B212,Master_Sales!$A$1:$D$9,2,FALSE)</f>
        <v>Hendra Wijaya</v>
      </c>
      <c r="F212" s="10" t="str">
        <f>INDEX(Master_Sales!$D$1:$D$9,MATCH(Lembar_Kerja_Analisis!B212,Master_Sales!$A$1:$A$9,0))</f>
        <v>Tengah</v>
      </c>
      <c r="G212" s="10" t="str">
        <f>INDEX(Master_Sales!$C$1:$C$9,MATCH(Lembar_Kerja_Analisis!B212,Master_Sales!$A$1:$A$9,0))</f>
        <v>Yogyakarta</v>
      </c>
      <c r="H212" s="10" t="str">
        <f>VLOOKUP(A212,Master_Produk!$A$1:$E$16,2,FALSE)</f>
        <v>Kemeja Batik Katun Premium</v>
      </c>
      <c r="I212" s="10" t="str">
        <f>INDEX(Master_Produk!$C$1:$C$16,MATCH(Lembar_Kerja_Analisis!A212,Master_Produk!$A$1:$A$16,0))</f>
        <v>Fashion</v>
      </c>
      <c r="J212" s="19">
        <f>_xlfn.XLOOKUP(A212,Master_Produk!$A$1:$A$16,Master_Produk!$D$1:$D$16,,0)</f>
        <v>320000</v>
      </c>
      <c r="K212" s="19">
        <f>INDEX(Master_Produk!$E$1:$E$16,MATCH(Lembar_Kerja_Analisis!A212,Master_Produk!$A$1:$A$16,0))</f>
        <v>190000</v>
      </c>
      <c r="L212" s="8">
        <v>12</v>
      </c>
      <c r="M212" s="19">
        <f t="shared" si="15"/>
        <v>3840000</v>
      </c>
      <c r="N212" s="9">
        <v>0.05</v>
      </c>
      <c r="O212" s="19">
        <f t="shared" si="16"/>
        <v>192000</v>
      </c>
      <c r="P212" s="19">
        <f t="shared" si="17"/>
        <v>3648000</v>
      </c>
      <c r="Q212" s="19">
        <f t="shared" si="18"/>
        <v>2280000</v>
      </c>
      <c r="R212" s="19">
        <f t="shared" si="19"/>
        <v>1368000</v>
      </c>
    </row>
    <row r="213" spans="1:18" x14ac:dyDescent="0.25">
      <c r="A213" t="str">
        <f>_xlfn.XLOOKUP(C213,Raw_Data_Transaksi!$A$1:$A$1001,Raw_Data_Transaksi!$D$1:$D$1001,,0)</f>
        <v>PRD-101</v>
      </c>
      <c r="B213" t="str">
        <f>_xlfn.XLOOKUP(C213,Raw_Data_Transaksi!$A$1:$A$1001,Raw_Data_Transaksi!$C$1:$C$1001,,0)</f>
        <v>SLS-05</v>
      </c>
      <c r="C213" s="6" t="s">
        <v>297</v>
      </c>
      <c r="D213" s="7">
        <v>45698</v>
      </c>
      <c r="E213" s="10" t="str">
        <f>VLOOKUP(B213,Master_Sales!$A$1:$D$9,2,FALSE)</f>
        <v>Eko Prasetyo</v>
      </c>
      <c r="F213" s="10" t="str">
        <f>INDEX(Master_Sales!$D$1:$D$9,MATCH(Lembar_Kerja_Analisis!B213,Master_Sales!$A$1:$A$9,0))</f>
        <v>Tengah</v>
      </c>
      <c r="G213" s="10" t="str">
        <f>INDEX(Master_Sales!$C$1:$C$9,MATCH(Lembar_Kerja_Analisis!B213,Master_Sales!$A$1:$A$9,0))</f>
        <v>Semarang</v>
      </c>
      <c r="H213" s="10" t="str">
        <f>VLOOKUP(A213,Master_Produk!$A$1:$E$16,2,FALSE)</f>
        <v>Laptop Ultrabook 14"</v>
      </c>
      <c r="I213" s="10" t="str">
        <f>INDEX(Master_Produk!$C$1:$C$16,MATCH(Lembar_Kerja_Analisis!A213,Master_Produk!$A$1:$A$16,0))</f>
        <v>Elektronik</v>
      </c>
      <c r="J213" s="19">
        <f>_xlfn.XLOOKUP(A213,Master_Produk!$A$1:$A$16,Master_Produk!$D$1:$D$16,,0)</f>
        <v>8500000</v>
      </c>
      <c r="K213" s="19">
        <f>INDEX(Master_Produk!$E$1:$E$16,MATCH(Lembar_Kerja_Analisis!A213,Master_Produk!$A$1:$A$16,0))</f>
        <v>7200000</v>
      </c>
      <c r="L213" s="8">
        <v>4</v>
      </c>
      <c r="M213" s="19">
        <f t="shared" si="15"/>
        <v>34000000</v>
      </c>
      <c r="N213" s="9">
        <v>0.05</v>
      </c>
      <c r="O213" s="19">
        <f t="shared" si="16"/>
        <v>1700000</v>
      </c>
      <c r="P213" s="19">
        <f t="shared" si="17"/>
        <v>32300000</v>
      </c>
      <c r="Q213" s="19">
        <f t="shared" si="18"/>
        <v>28800000</v>
      </c>
      <c r="R213" s="19">
        <f t="shared" si="19"/>
        <v>3500000</v>
      </c>
    </row>
    <row r="214" spans="1:18" x14ac:dyDescent="0.25">
      <c r="A214" t="str">
        <f>_xlfn.XLOOKUP(C214,Raw_Data_Transaksi!$A$1:$A$1001,Raw_Data_Transaksi!$D$1:$D$1001,,0)</f>
        <v>PRD-105</v>
      </c>
      <c r="B214" t="str">
        <f>_xlfn.XLOOKUP(C214,Raw_Data_Transaksi!$A$1:$A$1001,Raw_Data_Transaksi!$C$1:$C$1001,,0)</f>
        <v>SLS-02</v>
      </c>
      <c r="C214" s="6" t="s">
        <v>298</v>
      </c>
      <c r="D214" s="7">
        <v>45779</v>
      </c>
      <c r="E214" s="10" t="str">
        <f>VLOOKUP(B214,Master_Sales!$A$1:$D$9,2,FALSE)</f>
        <v>Budi Santoso</v>
      </c>
      <c r="F214" s="10" t="str">
        <f>INDEX(Master_Sales!$D$1:$D$9,MATCH(Lembar_Kerja_Analisis!B214,Master_Sales!$A$1:$A$9,0))</f>
        <v>Timur</v>
      </c>
      <c r="G214" s="10" t="str">
        <f>INDEX(Master_Sales!$C$1:$C$9,MATCH(Lembar_Kerja_Analisis!B214,Master_Sales!$A$1:$A$9,0))</f>
        <v>Surabaya</v>
      </c>
      <c r="H214" s="10" t="str">
        <f>VLOOKUP(A214,Master_Produk!$A$1:$E$16,2,FALSE)</f>
        <v>Kemeja Batik Katun Premium</v>
      </c>
      <c r="I214" s="10" t="str">
        <f>INDEX(Master_Produk!$C$1:$C$16,MATCH(Lembar_Kerja_Analisis!A214,Master_Produk!$A$1:$A$16,0))</f>
        <v>Fashion</v>
      </c>
      <c r="J214" s="19">
        <f>_xlfn.XLOOKUP(A214,Master_Produk!$A$1:$A$16,Master_Produk!$D$1:$D$16,,0)</f>
        <v>320000</v>
      </c>
      <c r="K214" s="19">
        <f>INDEX(Master_Produk!$E$1:$E$16,MATCH(Lembar_Kerja_Analisis!A214,Master_Produk!$A$1:$A$16,0))</f>
        <v>190000</v>
      </c>
      <c r="L214" s="8">
        <v>1</v>
      </c>
      <c r="M214" s="19">
        <f t="shared" si="15"/>
        <v>320000</v>
      </c>
      <c r="N214" s="9">
        <v>0.05</v>
      </c>
      <c r="O214" s="19">
        <f t="shared" si="16"/>
        <v>16000</v>
      </c>
      <c r="P214" s="19">
        <f t="shared" si="17"/>
        <v>304000</v>
      </c>
      <c r="Q214" s="19">
        <f t="shared" si="18"/>
        <v>190000</v>
      </c>
      <c r="R214" s="19">
        <f t="shared" si="19"/>
        <v>114000</v>
      </c>
    </row>
    <row r="215" spans="1:18" x14ac:dyDescent="0.25">
      <c r="A215" t="str">
        <f>_xlfn.XLOOKUP(C215,Raw_Data_Transaksi!$A$1:$A$1001,Raw_Data_Transaksi!$D$1:$D$1001,,0)</f>
        <v>PRD-102</v>
      </c>
      <c r="B215" t="str">
        <f>_xlfn.XLOOKUP(C215,Raw_Data_Transaksi!$A$1:$A$1001,Raw_Data_Transaksi!$C$1:$C$1001,,0)</f>
        <v>SLS-08</v>
      </c>
      <c r="C215" s="6" t="s">
        <v>299</v>
      </c>
      <c r="D215" s="7">
        <v>45690</v>
      </c>
      <c r="E215" s="10" t="str">
        <f>VLOOKUP(B215,Master_Sales!$A$1:$D$9,2,FALSE)</f>
        <v>Hendra Wijaya</v>
      </c>
      <c r="F215" s="10" t="str">
        <f>INDEX(Master_Sales!$D$1:$D$9,MATCH(Lembar_Kerja_Analisis!B215,Master_Sales!$A$1:$A$9,0))</f>
        <v>Tengah</v>
      </c>
      <c r="G215" s="10" t="str">
        <f>INDEX(Master_Sales!$C$1:$C$9,MATCH(Lembar_Kerja_Analisis!B215,Master_Sales!$A$1:$A$9,0))</f>
        <v>Yogyakarta</v>
      </c>
      <c r="H215" s="10" t="str">
        <f>VLOOKUP(A215,Master_Produk!$A$1:$E$16,2,FALSE)</f>
        <v>Wireless Mouse Ergonomic</v>
      </c>
      <c r="I215" s="10" t="str">
        <f>INDEX(Master_Produk!$C$1:$C$16,MATCH(Lembar_Kerja_Analisis!A215,Master_Produk!$A$1:$A$16,0))</f>
        <v>Elektronik</v>
      </c>
      <c r="J215" s="19">
        <f>_xlfn.XLOOKUP(A215,Master_Produk!$A$1:$A$16,Master_Produk!$D$1:$D$16,,0)</f>
        <v>250000</v>
      </c>
      <c r="K215" s="19">
        <f>INDEX(Master_Produk!$E$1:$E$16,MATCH(Lembar_Kerja_Analisis!A215,Master_Produk!$A$1:$A$16,0))</f>
        <v>160000</v>
      </c>
      <c r="L215" s="8">
        <v>10</v>
      </c>
      <c r="M215" s="19">
        <f t="shared" si="15"/>
        <v>2500000</v>
      </c>
      <c r="N215" s="9">
        <v>0.2</v>
      </c>
      <c r="O215" s="19">
        <f t="shared" si="16"/>
        <v>500000</v>
      </c>
      <c r="P215" s="19">
        <f t="shared" si="17"/>
        <v>2000000</v>
      </c>
      <c r="Q215" s="19">
        <f t="shared" si="18"/>
        <v>1600000</v>
      </c>
      <c r="R215" s="19">
        <f t="shared" si="19"/>
        <v>400000</v>
      </c>
    </row>
    <row r="216" spans="1:18" x14ac:dyDescent="0.25">
      <c r="A216" t="str">
        <f>_xlfn.XLOOKUP(C216,Raw_Data_Transaksi!$A$1:$A$1001,Raw_Data_Transaksi!$D$1:$D$1001,,0)</f>
        <v>PRD-105</v>
      </c>
      <c r="B216" t="str">
        <f>_xlfn.XLOOKUP(C216,Raw_Data_Transaksi!$A$1:$A$1001,Raw_Data_Transaksi!$C$1:$C$1001,,0)</f>
        <v>SLS-07</v>
      </c>
      <c r="C216" s="6" t="s">
        <v>300</v>
      </c>
      <c r="D216" s="7">
        <v>45731</v>
      </c>
      <c r="E216" s="10" t="str">
        <f>VLOOKUP(B216,Master_Sales!$A$1:$D$9,2,FALSE)</f>
        <v>Gita Permata</v>
      </c>
      <c r="F216" s="10" t="str">
        <f>INDEX(Master_Sales!$D$1:$D$9,MATCH(Lembar_Kerja_Analisis!B216,Master_Sales!$A$1:$A$9,0))</f>
        <v>Tengah</v>
      </c>
      <c r="G216" s="10" t="str">
        <f>INDEX(Master_Sales!$C$1:$C$9,MATCH(Lembar_Kerja_Analisis!B216,Master_Sales!$A$1:$A$9,0))</f>
        <v>Denpasar</v>
      </c>
      <c r="H216" s="10" t="str">
        <f>VLOOKUP(A216,Master_Produk!$A$1:$E$16,2,FALSE)</f>
        <v>Kemeja Batik Katun Premium</v>
      </c>
      <c r="I216" s="10" t="str">
        <f>INDEX(Master_Produk!$C$1:$C$16,MATCH(Lembar_Kerja_Analisis!A216,Master_Produk!$A$1:$A$16,0))</f>
        <v>Fashion</v>
      </c>
      <c r="J216" s="19">
        <f>_xlfn.XLOOKUP(A216,Master_Produk!$A$1:$A$16,Master_Produk!$D$1:$D$16,,0)</f>
        <v>320000</v>
      </c>
      <c r="K216" s="19">
        <f>INDEX(Master_Produk!$E$1:$E$16,MATCH(Lembar_Kerja_Analisis!A216,Master_Produk!$A$1:$A$16,0))</f>
        <v>190000</v>
      </c>
      <c r="L216" s="8">
        <v>1</v>
      </c>
      <c r="M216" s="19">
        <f t="shared" si="15"/>
        <v>320000</v>
      </c>
      <c r="N216" s="9">
        <v>0.2</v>
      </c>
      <c r="O216" s="19">
        <f t="shared" si="16"/>
        <v>64000</v>
      </c>
      <c r="P216" s="19">
        <f t="shared" si="17"/>
        <v>256000</v>
      </c>
      <c r="Q216" s="19">
        <f t="shared" si="18"/>
        <v>190000</v>
      </c>
      <c r="R216" s="19">
        <f t="shared" si="19"/>
        <v>66000</v>
      </c>
    </row>
    <row r="217" spans="1:18" x14ac:dyDescent="0.25">
      <c r="A217" t="str">
        <f>_xlfn.XLOOKUP(C217,Raw_Data_Transaksi!$A$1:$A$1001,Raw_Data_Transaksi!$D$1:$D$1001,,0)</f>
        <v>PRD-111</v>
      </c>
      <c r="B217" t="str">
        <f>_xlfn.XLOOKUP(C217,Raw_Data_Transaksi!$A$1:$A$1001,Raw_Data_Transaksi!$C$1:$C$1001,,0)</f>
        <v>SLS-02</v>
      </c>
      <c r="C217" s="6" t="s">
        <v>301</v>
      </c>
      <c r="D217" s="7">
        <v>45753</v>
      </c>
      <c r="E217" s="10" t="str">
        <f>VLOOKUP(B217,Master_Sales!$A$1:$D$9,2,FALSE)</f>
        <v>Budi Santoso</v>
      </c>
      <c r="F217" s="10" t="str">
        <f>INDEX(Master_Sales!$D$1:$D$9,MATCH(Lembar_Kerja_Analisis!B217,Master_Sales!$A$1:$A$9,0))</f>
        <v>Timur</v>
      </c>
      <c r="G217" s="10" t="str">
        <f>INDEX(Master_Sales!$C$1:$C$9,MATCH(Lembar_Kerja_Analisis!B217,Master_Sales!$A$1:$A$9,0))</f>
        <v>Surabaya</v>
      </c>
      <c r="H217" s="10" t="str">
        <f>VLOOKUP(A217,Master_Produk!$A$1:$E$16,2,FALSE)</f>
        <v>Beras Premium 5kg</v>
      </c>
      <c r="I217" s="10" t="str">
        <f>INDEX(Master_Produk!$C$1:$C$16,MATCH(Lembar_Kerja_Analisis!A217,Master_Produk!$A$1:$A$16,0))</f>
        <v>F&amp;B</v>
      </c>
      <c r="J217" s="19">
        <f>_xlfn.XLOOKUP(A217,Master_Produk!$A$1:$A$16,Master_Produk!$D$1:$D$16,,0)</f>
        <v>74000</v>
      </c>
      <c r="K217" s="19">
        <f>INDEX(Master_Produk!$E$1:$E$16,MATCH(Lembar_Kerja_Analisis!A217,Master_Produk!$A$1:$A$16,0))</f>
        <v>65000</v>
      </c>
      <c r="L217" s="8">
        <v>14</v>
      </c>
      <c r="M217" s="19">
        <f t="shared" si="15"/>
        <v>1036000</v>
      </c>
      <c r="N217" s="9">
        <v>0</v>
      </c>
      <c r="O217" s="19">
        <f t="shared" si="16"/>
        <v>0</v>
      </c>
      <c r="P217" s="19">
        <f t="shared" si="17"/>
        <v>1036000</v>
      </c>
      <c r="Q217" s="19">
        <f t="shared" si="18"/>
        <v>910000</v>
      </c>
      <c r="R217" s="19">
        <f t="shared" si="19"/>
        <v>126000</v>
      </c>
    </row>
    <row r="218" spans="1:18" x14ac:dyDescent="0.25">
      <c r="A218" t="str">
        <f>_xlfn.XLOOKUP(C218,Raw_Data_Transaksi!$A$1:$A$1001,Raw_Data_Transaksi!$D$1:$D$1001,,0)</f>
        <v>PRD-111</v>
      </c>
      <c r="B218" t="str">
        <f>_xlfn.XLOOKUP(C218,Raw_Data_Transaksi!$A$1:$A$1001,Raw_Data_Transaksi!$C$1:$C$1001,,0)</f>
        <v>SLS-07</v>
      </c>
      <c r="C218" s="6" t="s">
        <v>302</v>
      </c>
      <c r="D218" s="7">
        <v>45680</v>
      </c>
      <c r="E218" s="10" t="str">
        <f>VLOOKUP(B218,Master_Sales!$A$1:$D$9,2,FALSE)</f>
        <v>Gita Permata</v>
      </c>
      <c r="F218" s="10" t="str">
        <f>INDEX(Master_Sales!$D$1:$D$9,MATCH(Lembar_Kerja_Analisis!B218,Master_Sales!$A$1:$A$9,0))</f>
        <v>Tengah</v>
      </c>
      <c r="G218" s="10" t="str">
        <f>INDEX(Master_Sales!$C$1:$C$9,MATCH(Lembar_Kerja_Analisis!B218,Master_Sales!$A$1:$A$9,0))</f>
        <v>Denpasar</v>
      </c>
      <c r="H218" s="10" t="str">
        <f>VLOOKUP(A218,Master_Produk!$A$1:$E$16,2,FALSE)</f>
        <v>Beras Premium 5kg</v>
      </c>
      <c r="I218" s="10" t="str">
        <f>INDEX(Master_Produk!$C$1:$C$16,MATCH(Lembar_Kerja_Analisis!A218,Master_Produk!$A$1:$A$16,0))</f>
        <v>F&amp;B</v>
      </c>
      <c r="J218" s="19">
        <f>_xlfn.XLOOKUP(A218,Master_Produk!$A$1:$A$16,Master_Produk!$D$1:$D$16,,0)</f>
        <v>74000</v>
      </c>
      <c r="K218" s="19">
        <f>INDEX(Master_Produk!$E$1:$E$16,MATCH(Lembar_Kerja_Analisis!A218,Master_Produk!$A$1:$A$16,0))</f>
        <v>65000</v>
      </c>
      <c r="L218" s="8">
        <v>11</v>
      </c>
      <c r="M218" s="19">
        <f t="shared" si="15"/>
        <v>814000</v>
      </c>
      <c r="N218" s="9">
        <v>0</v>
      </c>
      <c r="O218" s="19">
        <f t="shared" si="16"/>
        <v>0</v>
      </c>
      <c r="P218" s="19">
        <f t="shared" si="17"/>
        <v>814000</v>
      </c>
      <c r="Q218" s="19">
        <f t="shared" si="18"/>
        <v>715000</v>
      </c>
      <c r="R218" s="19">
        <f t="shared" si="19"/>
        <v>99000</v>
      </c>
    </row>
    <row r="219" spans="1:18" x14ac:dyDescent="0.25">
      <c r="A219" t="str">
        <f>_xlfn.XLOOKUP(C219,Raw_Data_Transaksi!$A$1:$A$1001,Raw_Data_Transaksi!$D$1:$D$1001,,0)</f>
        <v>PRD-112</v>
      </c>
      <c r="B219" t="str">
        <f>_xlfn.XLOOKUP(C219,Raw_Data_Transaksi!$A$1:$A$1001,Raw_Data_Transaksi!$C$1:$C$1001,,0)</f>
        <v>SLS-02</v>
      </c>
      <c r="C219" s="6" t="s">
        <v>303</v>
      </c>
      <c r="D219" s="7">
        <v>45781</v>
      </c>
      <c r="E219" s="10" t="str">
        <f>VLOOKUP(B219,Master_Sales!$A$1:$D$9,2,FALSE)</f>
        <v>Budi Santoso</v>
      </c>
      <c r="F219" s="10" t="str">
        <f>INDEX(Master_Sales!$D$1:$D$9,MATCH(Lembar_Kerja_Analisis!B219,Master_Sales!$A$1:$A$9,0))</f>
        <v>Timur</v>
      </c>
      <c r="G219" s="10" t="str">
        <f>INDEX(Master_Sales!$C$1:$C$9,MATCH(Lembar_Kerja_Analisis!B219,Master_Sales!$A$1:$A$9,0))</f>
        <v>Surabaya</v>
      </c>
      <c r="H219" s="10" t="str">
        <f>VLOOKUP(A219,Master_Produk!$A$1:$E$16,2,FALSE)</f>
        <v>Susu UHT Full Cream 1L</v>
      </c>
      <c r="I219" s="10" t="str">
        <f>INDEX(Master_Produk!$C$1:$C$16,MATCH(Lembar_Kerja_Analisis!A219,Master_Produk!$A$1:$A$16,0))</f>
        <v>F&amp;B</v>
      </c>
      <c r="J219" s="19">
        <f>_xlfn.XLOOKUP(A219,Master_Produk!$A$1:$A$16,Master_Produk!$D$1:$D$16,,0)</f>
        <v>22000</v>
      </c>
      <c r="K219" s="19">
        <f>INDEX(Master_Produk!$E$1:$E$16,MATCH(Lembar_Kerja_Analisis!A219,Master_Produk!$A$1:$A$16,0))</f>
        <v>18000</v>
      </c>
      <c r="L219" s="8">
        <v>26</v>
      </c>
      <c r="M219" s="19">
        <f t="shared" si="15"/>
        <v>572000</v>
      </c>
      <c r="N219" s="9">
        <v>0.1</v>
      </c>
      <c r="O219" s="19">
        <f t="shared" si="16"/>
        <v>57200</v>
      </c>
      <c r="P219" s="19">
        <f t="shared" si="17"/>
        <v>514800</v>
      </c>
      <c r="Q219" s="19">
        <f t="shared" si="18"/>
        <v>468000</v>
      </c>
      <c r="R219" s="19">
        <f t="shared" si="19"/>
        <v>46800</v>
      </c>
    </row>
    <row r="220" spans="1:18" x14ac:dyDescent="0.25">
      <c r="A220" t="str">
        <f>_xlfn.XLOOKUP(C220,Raw_Data_Transaksi!$A$1:$A$1001,Raw_Data_Transaksi!$D$1:$D$1001,,0)</f>
        <v>PRD-106</v>
      </c>
      <c r="B220" t="str">
        <f>_xlfn.XLOOKUP(C220,Raw_Data_Transaksi!$A$1:$A$1001,Raw_Data_Transaksi!$C$1:$C$1001,,0)</f>
        <v>SLS-03</v>
      </c>
      <c r="C220" s="6" t="s">
        <v>304</v>
      </c>
      <c r="D220" s="7">
        <v>45937</v>
      </c>
      <c r="E220" s="10" t="str">
        <f>VLOOKUP(B220,Master_Sales!$A$1:$D$9,2,FALSE)</f>
        <v>Citra Lestari</v>
      </c>
      <c r="F220" s="10" t="str">
        <f>INDEX(Master_Sales!$D$1:$D$9,MATCH(Lembar_Kerja_Analisis!B220,Master_Sales!$A$1:$A$9,0))</f>
        <v>Barat</v>
      </c>
      <c r="G220" s="10" t="str">
        <f>INDEX(Master_Sales!$C$1:$C$9,MATCH(Lembar_Kerja_Analisis!B220,Master_Sales!$A$1:$A$9,0))</f>
        <v>Bandung</v>
      </c>
      <c r="H220" s="10" t="str">
        <f>VLOOKUP(A220,Master_Produk!$A$1:$E$16,2,FALSE)</f>
        <v>Celana Chino Slim Fit</v>
      </c>
      <c r="I220" s="10" t="str">
        <f>INDEX(Master_Produk!$C$1:$C$16,MATCH(Lembar_Kerja_Analisis!A220,Master_Produk!$A$1:$A$16,0))</f>
        <v>Fashion</v>
      </c>
      <c r="J220" s="19">
        <f>_xlfn.XLOOKUP(A220,Master_Produk!$A$1:$A$16,Master_Produk!$D$1:$D$16,,0)</f>
        <v>280000</v>
      </c>
      <c r="K220" s="19">
        <f>INDEX(Master_Produk!$E$1:$E$16,MATCH(Lembar_Kerja_Analisis!A220,Master_Produk!$A$1:$A$16,0))</f>
        <v>175000</v>
      </c>
      <c r="L220" s="8">
        <v>11</v>
      </c>
      <c r="M220" s="19">
        <f t="shared" si="15"/>
        <v>3080000</v>
      </c>
      <c r="N220" s="9">
        <v>0.15</v>
      </c>
      <c r="O220" s="19">
        <f t="shared" si="16"/>
        <v>462000</v>
      </c>
      <c r="P220" s="19">
        <f t="shared" si="17"/>
        <v>2618000</v>
      </c>
      <c r="Q220" s="19">
        <f t="shared" si="18"/>
        <v>1925000</v>
      </c>
      <c r="R220" s="19">
        <f t="shared" si="19"/>
        <v>693000</v>
      </c>
    </row>
    <row r="221" spans="1:18" x14ac:dyDescent="0.25">
      <c r="A221" t="str">
        <f>_xlfn.XLOOKUP(C221,Raw_Data_Transaksi!$A$1:$A$1001,Raw_Data_Transaksi!$D$1:$D$1001,,0)</f>
        <v>PRD-102</v>
      </c>
      <c r="B221" t="str">
        <f>_xlfn.XLOOKUP(C221,Raw_Data_Transaksi!$A$1:$A$1001,Raw_Data_Transaksi!$C$1:$C$1001,,0)</f>
        <v>SLS-08</v>
      </c>
      <c r="C221" s="6" t="s">
        <v>305</v>
      </c>
      <c r="D221" s="7">
        <v>45727</v>
      </c>
      <c r="E221" s="10" t="str">
        <f>VLOOKUP(B221,Master_Sales!$A$1:$D$9,2,FALSE)</f>
        <v>Hendra Wijaya</v>
      </c>
      <c r="F221" s="10" t="str">
        <f>INDEX(Master_Sales!$D$1:$D$9,MATCH(Lembar_Kerja_Analisis!B221,Master_Sales!$A$1:$A$9,0))</f>
        <v>Tengah</v>
      </c>
      <c r="G221" s="10" t="str">
        <f>INDEX(Master_Sales!$C$1:$C$9,MATCH(Lembar_Kerja_Analisis!B221,Master_Sales!$A$1:$A$9,0))</f>
        <v>Yogyakarta</v>
      </c>
      <c r="H221" s="10" t="str">
        <f>VLOOKUP(A221,Master_Produk!$A$1:$E$16,2,FALSE)</f>
        <v>Wireless Mouse Ergonomic</v>
      </c>
      <c r="I221" s="10" t="str">
        <f>INDEX(Master_Produk!$C$1:$C$16,MATCH(Lembar_Kerja_Analisis!A221,Master_Produk!$A$1:$A$16,0))</f>
        <v>Elektronik</v>
      </c>
      <c r="J221" s="19">
        <f>_xlfn.XLOOKUP(A221,Master_Produk!$A$1:$A$16,Master_Produk!$D$1:$D$16,,0)</f>
        <v>250000</v>
      </c>
      <c r="K221" s="19">
        <f>INDEX(Master_Produk!$E$1:$E$16,MATCH(Lembar_Kerja_Analisis!A221,Master_Produk!$A$1:$A$16,0))</f>
        <v>160000</v>
      </c>
      <c r="L221" s="8">
        <v>1</v>
      </c>
      <c r="M221" s="19">
        <f t="shared" si="15"/>
        <v>250000</v>
      </c>
      <c r="N221" s="9">
        <v>0.1</v>
      </c>
      <c r="O221" s="19">
        <f t="shared" si="16"/>
        <v>25000</v>
      </c>
      <c r="P221" s="19">
        <f t="shared" si="17"/>
        <v>225000</v>
      </c>
      <c r="Q221" s="19">
        <f t="shared" si="18"/>
        <v>160000</v>
      </c>
      <c r="R221" s="19">
        <f t="shared" si="19"/>
        <v>65000</v>
      </c>
    </row>
    <row r="222" spans="1:18" x14ac:dyDescent="0.25">
      <c r="A222" t="str">
        <f>_xlfn.XLOOKUP(C222,Raw_Data_Transaksi!$A$1:$A$1001,Raw_Data_Transaksi!$D$1:$D$1001,,0)</f>
        <v>PRD-106</v>
      </c>
      <c r="B222" t="str">
        <f>_xlfn.XLOOKUP(C222,Raw_Data_Transaksi!$A$1:$A$1001,Raw_Data_Transaksi!$C$1:$C$1001,,0)</f>
        <v>SLS-05</v>
      </c>
      <c r="C222" s="6" t="s">
        <v>306</v>
      </c>
      <c r="D222" s="7">
        <v>45679</v>
      </c>
      <c r="E222" s="10" t="str">
        <f>VLOOKUP(B222,Master_Sales!$A$1:$D$9,2,FALSE)</f>
        <v>Eko Prasetyo</v>
      </c>
      <c r="F222" s="10" t="str">
        <f>INDEX(Master_Sales!$D$1:$D$9,MATCH(Lembar_Kerja_Analisis!B222,Master_Sales!$A$1:$A$9,0))</f>
        <v>Tengah</v>
      </c>
      <c r="G222" s="10" t="str">
        <f>INDEX(Master_Sales!$C$1:$C$9,MATCH(Lembar_Kerja_Analisis!B222,Master_Sales!$A$1:$A$9,0))</f>
        <v>Semarang</v>
      </c>
      <c r="H222" s="10" t="str">
        <f>VLOOKUP(A222,Master_Produk!$A$1:$E$16,2,FALSE)</f>
        <v>Celana Chino Slim Fit</v>
      </c>
      <c r="I222" s="10" t="str">
        <f>INDEX(Master_Produk!$C$1:$C$16,MATCH(Lembar_Kerja_Analisis!A222,Master_Produk!$A$1:$A$16,0))</f>
        <v>Fashion</v>
      </c>
      <c r="J222" s="19">
        <f>_xlfn.XLOOKUP(A222,Master_Produk!$A$1:$A$16,Master_Produk!$D$1:$D$16,,0)</f>
        <v>280000</v>
      </c>
      <c r="K222" s="19">
        <f>INDEX(Master_Produk!$E$1:$E$16,MATCH(Lembar_Kerja_Analisis!A222,Master_Produk!$A$1:$A$16,0))</f>
        <v>175000</v>
      </c>
      <c r="L222" s="8">
        <v>9</v>
      </c>
      <c r="M222" s="19">
        <f t="shared" si="15"/>
        <v>2520000</v>
      </c>
      <c r="N222" s="9">
        <v>0.15</v>
      </c>
      <c r="O222" s="19">
        <f t="shared" si="16"/>
        <v>378000</v>
      </c>
      <c r="P222" s="19">
        <f t="shared" si="17"/>
        <v>2142000</v>
      </c>
      <c r="Q222" s="19">
        <f t="shared" si="18"/>
        <v>1575000</v>
      </c>
      <c r="R222" s="19">
        <f t="shared" si="19"/>
        <v>567000</v>
      </c>
    </row>
    <row r="223" spans="1:18" x14ac:dyDescent="0.25">
      <c r="A223" t="str">
        <f>_xlfn.XLOOKUP(C223,Raw_Data_Transaksi!$A$1:$A$1001,Raw_Data_Transaksi!$D$1:$D$1001,,0)</f>
        <v>PRD-104</v>
      </c>
      <c r="B223" t="str">
        <f>_xlfn.XLOOKUP(C223,Raw_Data_Transaksi!$A$1:$A$1001,Raw_Data_Transaksi!$C$1:$C$1001,,0)</f>
        <v>SLS-05</v>
      </c>
      <c r="C223" s="6" t="s">
        <v>307</v>
      </c>
      <c r="D223" s="7">
        <v>45989</v>
      </c>
      <c r="E223" s="10" t="str">
        <f>VLOOKUP(B223,Master_Sales!$A$1:$D$9,2,FALSE)</f>
        <v>Eko Prasetyo</v>
      </c>
      <c r="F223" s="10" t="str">
        <f>INDEX(Master_Sales!$D$1:$D$9,MATCH(Lembar_Kerja_Analisis!B223,Master_Sales!$A$1:$A$9,0))</f>
        <v>Tengah</v>
      </c>
      <c r="G223" s="10" t="str">
        <f>INDEX(Master_Sales!$C$1:$C$9,MATCH(Lembar_Kerja_Analisis!B223,Master_Sales!$A$1:$A$9,0))</f>
        <v>Semarang</v>
      </c>
      <c r="H223" s="10" t="str">
        <f>VLOOKUP(A223,Master_Produk!$A$1:$E$16,2,FALSE)</f>
        <v>Monitor 24" FHD 144Hz</v>
      </c>
      <c r="I223" s="10" t="str">
        <f>INDEX(Master_Produk!$C$1:$C$16,MATCH(Lembar_Kerja_Analisis!A223,Master_Produk!$A$1:$A$16,0))</f>
        <v>Elektronik</v>
      </c>
      <c r="J223" s="19">
        <f>_xlfn.XLOOKUP(A223,Master_Produk!$A$1:$A$16,Master_Produk!$D$1:$D$16,,0)</f>
        <v>1950000</v>
      </c>
      <c r="K223" s="19">
        <f>INDEX(Master_Produk!$E$1:$E$16,MATCH(Lembar_Kerja_Analisis!A223,Master_Produk!$A$1:$A$16,0))</f>
        <v>1500000</v>
      </c>
      <c r="L223" s="8">
        <v>6</v>
      </c>
      <c r="M223" s="19">
        <f t="shared" si="15"/>
        <v>11700000</v>
      </c>
      <c r="N223" s="9">
        <v>0</v>
      </c>
      <c r="O223" s="19">
        <f t="shared" si="16"/>
        <v>0</v>
      </c>
      <c r="P223" s="19">
        <f t="shared" si="17"/>
        <v>11700000</v>
      </c>
      <c r="Q223" s="19">
        <f t="shared" si="18"/>
        <v>9000000</v>
      </c>
      <c r="R223" s="19">
        <f t="shared" si="19"/>
        <v>2700000</v>
      </c>
    </row>
    <row r="224" spans="1:18" x14ac:dyDescent="0.25">
      <c r="A224" t="str">
        <f>_xlfn.XLOOKUP(C224,Raw_Data_Transaksi!$A$1:$A$1001,Raw_Data_Transaksi!$D$1:$D$1001,,0)</f>
        <v>PRD-107</v>
      </c>
      <c r="B224" t="str">
        <f>_xlfn.XLOOKUP(C224,Raw_Data_Transaksi!$A$1:$A$1001,Raw_Data_Transaksi!$C$1:$C$1001,,0)</f>
        <v>SLS-07</v>
      </c>
      <c r="C224" s="6" t="s">
        <v>308</v>
      </c>
      <c r="D224" s="7">
        <v>45846</v>
      </c>
      <c r="E224" s="10" t="str">
        <f>VLOOKUP(B224,Master_Sales!$A$1:$D$9,2,FALSE)</f>
        <v>Gita Permata</v>
      </c>
      <c r="F224" s="10" t="str">
        <f>INDEX(Master_Sales!$D$1:$D$9,MATCH(Lembar_Kerja_Analisis!B224,Master_Sales!$A$1:$A$9,0))</f>
        <v>Tengah</v>
      </c>
      <c r="G224" s="10" t="str">
        <f>INDEX(Master_Sales!$C$1:$C$9,MATCH(Lembar_Kerja_Analisis!B224,Master_Sales!$A$1:$A$9,0))</f>
        <v>Denpasar</v>
      </c>
      <c r="H224" s="10" t="str">
        <f>VLOOKUP(A224,Master_Produk!$A$1:$E$16,2,FALSE)</f>
        <v>Jaket Hoodie Casual</v>
      </c>
      <c r="I224" s="10" t="str">
        <f>INDEX(Master_Produk!$C$1:$C$16,MATCH(Lembar_Kerja_Analisis!A224,Master_Produk!$A$1:$A$16,0))</f>
        <v>Fashion</v>
      </c>
      <c r="J224" s="19">
        <f>_xlfn.XLOOKUP(A224,Master_Produk!$A$1:$A$16,Master_Produk!$D$1:$D$16,,0)</f>
        <v>350000</v>
      </c>
      <c r="K224" s="19">
        <f>INDEX(Master_Produk!$E$1:$E$16,MATCH(Lembar_Kerja_Analisis!A224,Master_Produk!$A$1:$A$16,0))</f>
        <v>220000</v>
      </c>
      <c r="L224" s="8">
        <v>12</v>
      </c>
      <c r="M224" s="19">
        <f t="shared" si="15"/>
        <v>4200000</v>
      </c>
      <c r="N224" s="9">
        <v>0.15</v>
      </c>
      <c r="O224" s="19">
        <f t="shared" si="16"/>
        <v>630000</v>
      </c>
      <c r="P224" s="19">
        <f t="shared" si="17"/>
        <v>3570000</v>
      </c>
      <c r="Q224" s="19">
        <f t="shared" si="18"/>
        <v>2640000</v>
      </c>
      <c r="R224" s="19">
        <f t="shared" si="19"/>
        <v>930000</v>
      </c>
    </row>
    <row r="225" spans="1:18" x14ac:dyDescent="0.25">
      <c r="A225" t="str">
        <f>_xlfn.XLOOKUP(C225,Raw_Data_Transaksi!$A$1:$A$1001,Raw_Data_Transaksi!$D$1:$D$1001,,0)</f>
        <v>PRD-112</v>
      </c>
      <c r="B225" t="str">
        <f>_xlfn.XLOOKUP(C225,Raw_Data_Transaksi!$A$1:$A$1001,Raw_Data_Transaksi!$C$1:$C$1001,,0)</f>
        <v>SLS-08</v>
      </c>
      <c r="C225" s="6" t="s">
        <v>309</v>
      </c>
      <c r="D225" s="7">
        <v>45912</v>
      </c>
      <c r="E225" s="10" t="str">
        <f>VLOOKUP(B225,Master_Sales!$A$1:$D$9,2,FALSE)</f>
        <v>Hendra Wijaya</v>
      </c>
      <c r="F225" s="10" t="str">
        <f>INDEX(Master_Sales!$D$1:$D$9,MATCH(Lembar_Kerja_Analisis!B225,Master_Sales!$A$1:$A$9,0))</f>
        <v>Tengah</v>
      </c>
      <c r="G225" s="10" t="str">
        <f>INDEX(Master_Sales!$C$1:$C$9,MATCH(Lembar_Kerja_Analisis!B225,Master_Sales!$A$1:$A$9,0))</f>
        <v>Yogyakarta</v>
      </c>
      <c r="H225" s="10" t="str">
        <f>VLOOKUP(A225,Master_Produk!$A$1:$E$16,2,FALSE)</f>
        <v>Susu UHT Full Cream 1L</v>
      </c>
      <c r="I225" s="10" t="str">
        <f>INDEX(Master_Produk!$C$1:$C$16,MATCH(Lembar_Kerja_Analisis!A225,Master_Produk!$A$1:$A$16,0))</f>
        <v>F&amp;B</v>
      </c>
      <c r="J225" s="19">
        <f>_xlfn.XLOOKUP(A225,Master_Produk!$A$1:$A$16,Master_Produk!$D$1:$D$16,,0)</f>
        <v>22000</v>
      </c>
      <c r="K225" s="19">
        <f>INDEX(Master_Produk!$E$1:$E$16,MATCH(Lembar_Kerja_Analisis!A225,Master_Produk!$A$1:$A$16,0))</f>
        <v>18000</v>
      </c>
      <c r="L225" s="8">
        <v>28</v>
      </c>
      <c r="M225" s="19">
        <f t="shared" si="15"/>
        <v>616000</v>
      </c>
      <c r="N225" s="9">
        <v>0.2</v>
      </c>
      <c r="O225" s="19">
        <f t="shared" si="16"/>
        <v>123200</v>
      </c>
      <c r="P225" s="19">
        <f t="shared" si="17"/>
        <v>492800</v>
      </c>
      <c r="Q225" s="19">
        <f t="shared" si="18"/>
        <v>504000</v>
      </c>
      <c r="R225" s="19">
        <f t="shared" si="19"/>
        <v>-11200</v>
      </c>
    </row>
    <row r="226" spans="1:18" x14ac:dyDescent="0.25">
      <c r="A226" t="str">
        <f>_xlfn.XLOOKUP(C226,Raw_Data_Transaksi!$A$1:$A$1001,Raw_Data_Transaksi!$D$1:$D$1001,,0)</f>
        <v>PRD-107</v>
      </c>
      <c r="B226" t="str">
        <f>_xlfn.XLOOKUP(C226,Raw_Data_Transaksi!$A$1:$A$1001,Raw_Data_Transaksi!$C$1:$C$1001,,0)</f>
        <v>SLS-03</v>
      </c>
      <c r="C226" s="6" t="s">
        <v>310</v>
      </c>
      <c r="D226" s="7">
        <v>45698</v>
      </c>
      <c r="E226" s="10" t="str">
        <f>VLOOKUP(B226,Master_Sales!$A$1:$D$9,2,FALSE)</f>
        <v>Citra Lestari</v>
      </c>
      <c r="F226" s="10" t="str">
        <f>INDEX(Master_Sales!$D$1:$D$9,MATCH(Lembar_Kerja_Analisis!B226,Master_Sales!$A$1:$A$9,0))</f>
        <v>Barat</v>
      </c>
      <c r="G226" s="10" t="str">
        <f>INDEX(Master_Sales!$C$1:$C$9,MATCH(Lembar_Kerja_Analisis!B226,Master_Sales!$A$1:$A$9,0))</f>
        <v>Bandung</v>
      </c>
      <c r="H226" s="10" t="str">
        <f>VLOOKUP(A226,Master_Produk!$A$1:$E$16,2,FALSE)</f>
        <v>Jaket Hoodie Casual</v>
      </c>
      <c r="I226" s="10" t="str">
        <f>INDEX(Master_Produk!$C$1:$C$16,MATCH(Lembar_Kerja_Analisis!A226,Master_Produk!$A$1:$A$16,0))</f>
        <v>Fashion</v>
      </c>
      <c r="J226" s="19">
        <f>_xlfn.XLOOKUP(A226,Master_Produk!$A$1:$A$16,Master_Produk!$D$1:$D$16,,0)</f>
        <v>350000</v>
      </c>
      <c r="K226" s="19">
        <f>INDEX(Master_Produk!$E$1:$E$16,MATCH(Lembar_Kerja_Analisis!A226,Master_Produk!$A$1:$A$16,0))</f>
        <v>220000</v>
      </c>
      <c r="L226" s="8">
        <v>9</v>
      </c>
      <c r="M226" s="19">
        <f t="shared" si="15"/>
        <v>3150000</v>
      </c>
      <c r="N226" s="9">
        <v>0.1</v>
      </c>
      <c r="O226" s="19">
        <f t="shared" si="16"/>
        <v>315000</v>
      </c>
      <c r="P226" s="19">
        <f t="shared" si="17"/>
        <v>2835000</v>
      </c>
      <c r="Q226" s="19">
        <f t="shared" si="18"/>
        <v>1980000</v>
      </c>
      <c r="R226" s="19">
        <f t="shared" si="19"/>
        <v>855000</v>
      </c>
    </row>
    <row r="227" spans="1:18" x14ac:dyDescent="0.25">
      <c r="A227" t="str">
        <f>_xlfn.XLOOKUP(C227,Raw_Data_Transaksi!$A$1:$A$1001,Raw_Data_Transaksi!$D$1:$D$1001,,0)</f>
        <v>PRD-111</v>
      </c>
      <c r="B227" t="str">
        <f>_xlfn.XLOOKUP(C227,Raw_Data_Transaksi!$A$1:$A$1001,Raw_Data_Transaksi!$C$1:$C$1001,,0)</f>
        <v>SLS-05</v>
      </c>
      <c r="C227" s="6" t="s">
        <v>311</v>
      </c>
      <c r="D227" s="7">
        <v>45825</v>
      </c>
      <c r="E227" s="10" t="str">
        <f>VLOOKUP(B227,Master_Sales!$A$1:$D$9,2,FALSE)</f>
        <v>Eko Prasetyo</v>
      </c>
      <c r="F227" s="10" t="str">
        <f>INDEX(Master_Sales!$D$1:$D$9,MATCH(Lembar_Kerja_Analisis!B227,Master_Sales!$A$1:$A$9,0))</f>
        <v>Tengah</v>
      </c>
      <c r="G227" s="10" t="str">
        <f>INDEX(Master_Sales!$C$1:$C$9,MATCH(Lembar_Kerja_Analisis!B227,Master_Sales!$A$1:$A$9,0))</f>
        <v>Semarang</v>
      </c>
      <c r="H227" s="10" t="str">
        <f>VLOOKUP(A227,Master_Produk!$A$1:$E$16,2,FALSE)</f>
        <v>Beras Premium 5kg</v>
      </c>
      <c r="I227" s="10" t="str">
        <f>INDEX(Master_Produk!$C$1:$C$16,MATCH(Lembar_Kerja_Analisis!A227,Master_Produk!$A$1:$A$16,0))</f>
        <v>F&amp;B</v>
      </c>
      <c r="J227" s="19">
        <f>_xlfn.XLOOKUP(A227,Master_Produk!$A$1:$A$16,Master_Produk!$D$1:$D$16,,0)</f>
        <v>74000</v>
      </c>
      <c r="K227" s="19">
        <f>INDEX(Master_Produk!$E$1:$E$16,MATCH(Lembar_Kerja_Analisis!A227,Master_Produk!$A$1:$A$16,0))</f>
        <v>65000</v>
      </c>
      <c r="L227" s="8">
        <v>17</v>
      </c>
      <c r="M227" s="19">
        <f t="shared" si="15"/>
        <v>1258000</v>
      </c>
      <c r="N227" s="9">
        <v>0.2</v>
      </c>
      <c r="O227" s="19">
        <f t="shared" si="16"/>
        <v>251600</v>
      </c>
      <c r="P227" s="19">
        <f t="shared" si="17"/>
        <v>1006400</v>
      </c>
      <c r="Q227" s="19">
        <f t="shared" si="18"/>
        <v>1105000</v>
      </c>
      <c r="R227" s="19">
        <f t="shared" si="19"/>
        <v>-98600</v>
      </c>
    </row>
    <row r="228" spans="1:18" x14ac:dyDescent="0.25">
      <c r="A228" t="str">
        <f>_xlfn.XLOOKUP(C228,Raw_Data_Transaksi!$A$1:$A$1001,Raw_Data_Transaksi!$D$1:$D$1001,,0)</f>
        <v>PRD-108</v>
      </c>
      <c r="B228" t="str">
        <f>_xlfn.XLOOKUP(C228,Raw_Data_Transaksi!$A$1:$A$1001,Raw_Data_Transaksi!$C$1:$C$1001,,0)</f>
        <v>SLS-01</v>
      </c>
      <c r="C228" s="6" t="s">
        <v>312</v>
      </c>
      <c r="D228" s="7">
        <v>45837</v>
      </c>
      <c r="E228" s="10" t="str">
        <f>VLOOKUP(B228,Master_Sales!$A$1:$D$9,2,FALSE)</f>
        <v>Andi Pratama</v>
      </c>
      <c r="F228" s="10" t="str">
        <f>INDEX(Master_Sales!$D$1:$D$9,MATCH(Lembar_Kerja_Analisis!B228,Master_Sales!$A$1:$A$9,0))</f>
        <v>Barat</v>
      </c>
      <c r="G228" s="10" t="str">
        <f>INDEX(Master_Sales!$C$1:$C$9,MATCH(Lembar_Kerja_Analisis!B228,Master_Sales!$A$1:$A$9,0))</f>
        <v>Jakarta</v>
      </c>
      <c r="H228" s="10" t="str">
        <f>VLOOKUP(A228,Master_Produk!$A$1:$E$16,2,FALSE)</f>
        <v>Sepatu Sneakers Pria/Wanita</v>
      </c>
      <c r="I228" s="10" t="str">
        <f>INDEX(Master_Produk!$C$1:$C$16,MATCH(Lembar_Kerja_Analisis!A228,Master_Produk!$A$1:$A$16,0))</f>
        <v>Fashion</v>
      </c>
      <c r="J228" s="19">
        <f>_xlfn.XLOOKUP(A228,Master_Produk!$A$1:$A$16,Master_Produk!$D$1:$D$16,,0)</f>
        <v>450000</v>
      </c>
      <c r="K228" s="19">
        <f>INDEX(Master_Produk!$E$1:$E$16,MATCH(Lembar_Kerja_Analisis!A228,Master_Produk!$A$1:$A$16,0))</f>
        <v>290000</v>
      </c>
      <c r="L228" s="8">
        <v>12</v>
      </c>
      <c r="M228" s="19">
        <f t="shared" si="15"/>
        <v>5400000</v>
      </c>
      <c r="N228" s="9">
        <v>0.1</v>
      </c>
      <c r="O228" s="19">
        <f t="shared" si="16"/>
        <v>540000</v>
      </c>
      <c r="P228" s="19">
        <f t="shared" si="17"/>
        <v>4860000</v>
      </c>
      <c r="Q228" s="19">
        <f t="shared" si="18"/>
        <v>3480000</v>
      </c>
      <c r="R228" s="19">
        <f t="shared" si="19"/>
        <v>1380000</v>
      </c>
    </row>
    <row r="229" spans="1:18" x14ac:dyDescent="0.25">
      <c r="A229" t="str">
        <f>_xlfn.XLOOKUP(C229,Raw_Data_Transaksi!$A$1:$A$1001,Raw_Data_Transaksi!$D$1:$D$1001,,0)</f>
        <v>PRD-111</v>
      </c>
      <c r="B229" t="str">
        <f>_xlfn.XLOOKUP(C229,Raw_Data_Transaksi!$A$1:$A$1001,Raw_Data_Transaksi!$C$1:$C$1001,,0)</f>
        <v>SLS-07</v>
      </c>
      <c r="C229" s="6" t="s">
        <v>313</v>
      </c>
      <c r="D229" s="7">
        <v>45696</v>
      </c>
      <c r="E229" s="10" t="str">
        <f>VLOOKUP(B229,Master_Sales!$A$1:$D$9,2,FALSE)</f>
        <v>Gita Permata</v>
      </c>
      <c r="F229" s="10" t="str">
        <f>INDEX(Master_Sales!$D$1:$D$9,MATCH(Lembar_Kerja_Analisis!B229,Master_Sales!$A$1:$A$9,0))</f>
        <v>Tengah</v>
      </c>
      <c r="G229" s="10" t="str">
        <f>INDEX(Master_Sales!$C$1:$C$9,MATCH(Lembar_Kerja_Analisis!B229,Master_Sales!$A$1:$A$9,0))</f>
        <v>Denpasar</v>
      </c>
      <c r="H229" s="10" t="str">
        <f>VLOOKUP(A229,Master_Produk!$A$1:$E$16,2,FALSE)</f>
        <v>Beras Premium 5kg</v>
      </c>
      <c r="I229" s="10" t="str">
        <f>INDEX(Master_Produk!$C$1:$C$16,MATCH(Lembar_Kerja_Analisis!A229,Master_Produk!$A$1:$A$16,0))</f>
        <v>F&amp;B</v>
      </c>
      <c r="J229" s="19">
        <f>_xlfn.XLOOKUP(A229,Master_Produk!$A$1:$A$16,Master_Produk!$D$1:$D$16,,0)</f>
        <v>74000</v>
      </c>
      <c r="K229" s="19">
        <f>INDEX(Master_Produk!$E$1:$E$16,MATCH(Lembar_Kerja_Analisis!A229,Master_Produk!$A$1:$A$16,0))</f>
        <v>65000</v>
      </c>
      <c r="L229" s="8">
        <v>19</v>
      </c>
      <c r="M229" s="19">
        <f t="shared" si="15"/>
        <v>1406000</v>
      </c>
      <c r="N229" s="9">
        <v>0.05</v>
      </c>
      <c r="O229" s="19">
        <f t="shared" si="16"/>
        <v>70300</v>
      </c>
      <c r="P229" s="19">
        <f t="shared" si="17"/>
        <v>1335700</v>
      </c>
      <c r="Q229" s="19">
        <f t="shared" si="18"/>
        <v>1235000</v>
      </c>
      <c r="R229" s="19">
        <f t="shared" si="19"/>
        <v>100700</v>
      </c>
    </row>
    <row r="230" spans="1:18" x14ac:dyDescent="0.25">
      <c r="A230" t="str">
        <f>_xlfn.XLOOKUP(C230,Raw_Data_Transaksi!$A$1:$A$1001,Raw_Data_Transaksi!$D$1:$D$1001,,0)</f>
        <v>PRD-103</v>
      </c>
      <c r="B230" t="str">
        <f>_xlfn.XLOOKUP(C230,Raw_Data_Transaksi!$A$1:$A$1001,Raw_Data_Transaksi!$C$1:$C$1001,,0)</f>
        <v>SLS-02</v>
      </c>
      <c r="C230" s="6" t="s">
        <v>314</v>
      </c>
      <c r="D230" s="7">
        <v>45675</v>
      </c>
      <c r="E230" s="10" t="str">
        <f>VLOOKUP(B230,Master_Sales!$A$1:$D$9,2,FALSE)</f>
        <v>Budi Santoso</v>
      </c>
      <c r="F230" s="10" t="str">
        <f>INDEX(Master_Sales!$D$1:$D$9,MATCH(Lembar_Kerja_Analisis!B230,Master_Sales!$A$1:$A$9,0))</f>
        <v>Timur</v>
      </c>
      <c r="G230" s="10" t="str">
        <f>INDEX(Master_Sales!$C$1:$C$9,MATCH(Lembar_Kerja_Analisis!B230,Master_Sales!$A$1:$A$9,0))</f>
        <v>Surabaya</v>
      </c>
      <c r="H230" s="10" t="str">
        <f>VLOOKUP(A230,Master_Produk!$A$1:$E$16,2,FALSE)</f>
        <v>Mechanical Keyboard RGB</v>
      </c>
      <c r="I230" s="10" t="str">
        <f>INDEX(Master_Produk!$C$1:$C$16,MATCH(Lembar_Kerja_Analisis!A230,Master_Produk!$A$1:$A$16,0))</f>
        <v>Elektronik</v>
      </c>
      <c r="J230" s="19">
        <f>_xlfn.XLOOKUP(A230,Master_Produk!$A$1:$A$16,Master_Produk!$D$1:$D$16,,0)</f>
        <v>750000</v>
      </c>
      <c r="K230" s="19">
        <f>INDEX(Master_Produk!$E$1:$E$16,MATCH(Lembar_Kerja_Analisis!A230,Master_Produk!$A$1:$A$16,0))</f>
        <v>520000</v>
      </c>
      <c r="L230" s="8">
        <v>4</v>
      </c>
      <c r="M230" s="19">
        <f t="shared" si="15"/>
        <v>3000000</v>
      </c>
      <c r="N230" s="9">
        <v>0.1</v>
      </c>
      <c r="O230" s="19">
        <f t="shared" si="16"/>
        <v>300000</v>
      </c>
      <c r="P230" s="19">
        <f t="shared" si="17"/>
        <v>2700000</v>
      </c>
      <c r="Q230" s="19">
        <f t="shared" si="18"/>
        <v>2080000</v>
      </c>
      <c r="R230" s="19">
        <f t="shared" si="19"/>
        <v>620000</v>
      </c>
    </row>
    <row r="231" spans="1:18" x14ac:dyDescent="0.25">
      <c r="A231" t="str">
        <f>_xlfn.XLOOKUP(C231,Raw_Data_Transaksi!$A$1:$A$1001,Raw_Data_Transaksi!$D$1:$D$1001,,0)</f>
        <v>PRD-103</v>
      </c>
      <c r="B231" t="str">
        <f>_xlfn.XLOOKUP(C231,Raw_Data_Transaksi!$A$1:$A$1001,Raw_Data_Transaksi!$C$1:$C$1001,,0)</f>
        <v>SLS-08</v>
      </c>
      <c r="C231" s="6" t="s">
        <v>315</v>
      </c>
      <c r="D231" s="7">
        <v>45967</v>
      </c>
      <c r="E231" s="10" t="str">
        <f>VLOOKUP(B231,Master_Sales!$A$1:$D$9,2,FALSE)</f>
        <v>Hendra Wijaya</v>
      </c>
      <c r="F231" s="10" t="str">
        <f>INDEX(Master_Sales!$D$1:$D$9,MATCH(Lembar_Kerja_Analisis!B231,Master_Sales!$A$1:$A$9,0))</f>
        <v>Tengah</v>
      </c>
      <c r="G231" s="10" t="str">
        <f>INDEX(Master_Sales!$C$1:$C$9,MATCH(Lembar_Kerja_Analisis!B231,Master_Sales!$A$1:$A$9,0))</f>
        <v>Yogyakarta</v>
      </c>
      <c r="H231" s="10" t="str">
        <f>VLOOKUP(A231,Master_Produk!$A$1:$E$16,2,FALSE)</f>
        <v>Mechanical Keyboard RGB</v>
      </c>
      <c r="I231" s="10" t="str">
        <f>INDEX(Master_Produk!$C$1:$C$16,MATCH(Lembar_Kerja_Analisis!A231,Master_Produk!$A$1:$A$16,0))</f>
        <v>Elektronik</v>
      </c>
      <c r="J231" s="19">
        <f>_xlfn.XLOOKUP(A231,Master_Produk!$A$1:$A$16,Master_Produk!$D$1:$D$16,,0)</f>
        <v>750000</v>
      </c>
      <c r="K231" s="19">
        <f>INDEX(Master_Produk!$E$1:$E$16,MATCH(Lembar_Kerja_Analisis!A231,Master_Produk!$A$1:$A$16,0))</f>
        <v>520000</v>
      </c>
      <c r="L231" s="8">
        <v>6</v>
      </c>
      <c r="M231" s="19">
        <f t="shared" si="15"/>
        <v>4500000</v>
      </c>
      <c r="N231" s="9">
        <v>0.1</v>
      </c>
      <c r="O231" s="19">
        <f t="shared" si="16"/>
        <v>450000</v>
      </c>
      <c r="P231" s="19">
        <f t="shared" si="17"/>
        <v>4050000</v>
      </c>
      <c r="Q231" s="19">
        <f t="shared" si="18"/>
        <v>3120000</v>
      </c>
      <c r="R231" s="19">
        <f t="shared" si="19"/>
        <v>930000</v>
      </c>
    </row>
    <row r="232" spans="1:18" x14ac:dyDescent="0.25">
      <c r="A232" t="str">
        <f>_xlfn.XLOOKUP(C232,Raw_Data_Transaksi!$A$1:$A$1001,Raw_Data_Transaksi!$D$1:$D$1001,,0)</f>
        <v>PRD-106</v>
      </c>
      <c r="B232" t="str">
        <f>_xlfn.XLOOKUP(C232,Raw_Data_Transaksi!$A$1:$A$1001,Raw_Data_Transaksi!$C$1:$C$1001,,0)</f>
        <v>SLS-07</v>
      </c>
      <c r="C232" s="6" t="s">
        <v>316</v>
      </c>
      <c r="D232" s="7">
        <v>45929</v>
      </c>
      <c r="E232" s="10" t="str">
        <f>VLOOKUP(B232,Master_Sales!$A$1:$D$9,2,FALSE)</f>
        <v>Gita Permata</v>
      </c>
      <c r="F232" s="10" t="str">
        <f>INDEX(Master_Sales!$D$1:$D$9,MATCH(Lembar_Kerja_Analisis!B232,Master_Sales!$A$1:$A$9,0))</f>
        <v>Tengah</v>
      </c>
      <c r="G232" s="10" t="str">
        <f>INDEX(Master_Sales!$C$1:$C$9,MATCH(Lembar_Kerja_Analisis!B232,Master_Sales!$A$1:$A$9,0))</f>
        <v>Denpasar</v>
      </c>
      <c r="H232" s="10" t="str">
        <f>VLOOKUP(A232,Master_Produk!$A$1:$E$16,2,FALSE)</f>
        <v>Celana Chino Slim Fit</v>
      </c>
      <c r="I232" s="10" t="str">
        <f>INDEX(Master_Produk!$C$1:$C$16,MATCH(Lembar_Kerja_Analisis!A232,Master_Produk!$A$1:$A$16,0))</f>
        <v>Fashion</v>
      </c>
      <c r="J232" s="19">
        <f>_xlfn.XLOOKUP(A232,Master_Produk!$A$1:$A$16,Master_Produk!$D$1:$D$16,,0)</f>
        <v>280000</v>
      </c>
      <c r="K232" s="19">
        <f>INDEX(Master_Produk!$E$1:$E$16,MATCH(Lembar_Kerja_Analisis!A232,Master_Produk!$A$1:$A$16,0))</f>
        <v>175000</v>
      </c>
      <c r="L232" s="8">
        <v>6</v>
      </c>
      <c r="M232" s="19">
        <f t="shared" si="15"/>
        <v>1680000</v>
      </c>
      <c r="N232" s="9">
        <v>0.1</v>
      </c>
      <c r="O232" s="19">
        <f t="shared" si="16"/>
        <v>168000</v>
      </c>
      <c r="P232" s="19">
        <f t="shared" si="17"/>
        <v>1512000</v>
      </c>
      <c r="Q232" s="19">
        <f t="shared" si="18"/>
        <v>1050000</v>
      </c>
      <c r="R232" s="19">
        <f t="shared" si="19"/>
        <v>462000</v>
      </c>
    </row>
    <row r="233" spans="1:18" x14ac:dyDescent="0.25">
      <c r="A233" t="str">
        <f>_xlfn.XLOOKUP(C233,Raw_Data_Transaksi!$A$1:$A$1001,Raw_Data_Transaksi!$D$1:$D$1001,,0)</f>
        <v>PRD-108</v>
      </c>
      <c r="B233" t="str">
        <f>_xlfn.XLOOKUP(C233,Raw_Data_Transaksi!$A$1:$A$1001,Raw_Data_Transaksi!$C$1:$C$1001,,0)</f>
        <v>SLS-07</v>
      </c>
      <c r="C233" s="6" t="s">
        <v>317</v>
      </c>
      <c r="D233" s="7">
        <v>45753</v>
      </c>
      <c r="E233" s="10" t="str">
        <f>VLOOKUP(B233,Master_Sales!$A$1:$D$9,2,FALSE)</f>
        <v>Gita Permata</v>
      </c>
      <c r="F233" s="10" t="str">
        <f>INDEX(Master_Sales!$D$1:$D$9,MATCH(Lembar_Kerja_Analisis!B233,Master_Sales!$A$1:$A$9,0))</f>
        <v>Tengah</v>
      </c>
      <c r="G233" s="10" t="str">
        <f>INDEX(Master_Sales!$C$1:$C$9,MATCH(Lembar_Kerja_Analisis!B233,Master_Sales!$A$1:$A$9,0))</f>
        <v>Denpasar</v>
      </c>
      <c r="H233" s="10" t="str">
        <f>VLOOKUP(A233,Master_Produk!$A$1:$E$16,2,FALSE)</f>
        <v>Sepatu Sneakers Pria/Wanita</v>
      </c>
      <c r="I233" s="10" t="str">
        <f>INDEX(Master_Produk!$C$1:$C$16,MATCH(Lembar_Kerja_Analisis!A233,Master_Produk!$A$1:$A$16,0))</f>
        <v>Fashion</v>
      </c>
      <c r="J233" s="19">
        <f>_xlfn.XLOOKUP(A233,Master_Produk!$A$1:$A$16,Master_Produk!$D$1:$D$16,,0)</f>
        <v>450000</v>
      </c>
      <c r="K233" s="19">
        <f>INDEX(Master_Produk!$E$1:$E$16,MATCH(Lembar_Kerja_Analisis!A233,Master_Produk!$A$1:$A$16,0))</f>
        <v>290000</v>
      </c>
      <c r="L233" s="8">
        <v>9</v>
      </c>
      <c r="M233" s="19">
        <f t="shared" si="15"/>
        <v>4050000</v>
      </c>
      <c r="N233" s="9">
        <v>0</v>
      </c>
      <c r="O233" s="19">
        <f t="shared" si="16"/>
        <v>0</v>
      </c>
      <c r="P233" s="19">
        <f t="shared" si="17"/>
        <v>4050000</v>
      </c>
      <c r="Q233" s="19">
        <f t="shared" si="18"/>
        <v>2610000</v>
      </c>
      <c r="R233" s="19">
        <f t="shared" si="19"/>
        <v>1440000</v>
      </c>
    </row>
    <row r="234" spans="1:18" x14ac:dyDescent="0.25">
      <c r="A234" t="str">
        <f>_xlfn.XLOOKUP(C234,Raw_Data_Transaksi!$A$1:$A$1001,Raw_Data_Transaksi!$D$1:$D$1001,,0)</f>
        <v>PRD-110</v>
      </c>
      <c r="B234" t="str">
        <f>_xlfn.XLOOKUP(C234,Raw_Data_Transaksi!$A$1:$A$1001,Raw_Data_Transaksi!$C$1:$C$1001,,0)</f>
        <v>SLS-05</v>
      </c>
      <c r="C234" s="6" t="s">
        <v>318</v>
      </c>
      <c r="D234" s="7">
        <v>45767</v>
      </c>
      <c r="E234" s="10" t="str">
        <f>VLOOKUP(B234,Master_Sales!$A$1:$D$9,2,FALSE)</f>
        <v>Eko Prasetyo</v>
      </c>
      <c r="F234" s="10" t="str">
        <f>INDEX(Master_Sales!$D$1:$D$9,MATCH(Lembar_Kerja_Analisis!B234,Master_Sales!$A$1:$A$9,0))</f>
        <v>Tengah</v>
      </c>
      <c r="G234" s="10" t="str">
        <f>INDEX(Master_Sales!$C$1:$C$9,MATCH(Lembar_Kerja_Analisis!B234,Master_Sales!$A$1:$A$9,0))</f>
        <v>Semarang</v>
      </c>
      <c r="H234" s="10" t="str">
        <f>VLOOKUP(A234,Master_Produk!$A$1:$E$16,2,FALSE)</f>
        <v>Minyak Goreng Sawit 2L</v>
      </c>
      <c r="I234" s="10" t="str">
        <f>INDEX(Master_Produk!$C$1:$C$16,MATCH(Lembar_Kerja_Analisis!A234,Master_Produk!$A$1:$A$16,0))</f>
        <v>F&amp;B</v>
      </c>
      <c r="J234" s="19">
        <f>_xlfn.XLOOKUP(A234,Master_Produk!$A$1:$A$16,Master_Produk!$D$1:$D$16,,0)</f>
        <v>36000</v>
      </c>
      <c r="K234" s="19">
        <f>INDEX(Master_Produk!$E$1:$E$16,MATCH(Lembar_Kerja_Analisis!A234,Master_Produk!$A$1:$A$16,0))</f>
        <v>31000</v>
      </c>
      <c r="L234" s="8">
        <v>18</v>
      </c>
      <c r="M234" s="19">
        <f t="shared" si="15"/>
        <v>648000</v>
      </c>
      <c r="N234" s="9">
        <v>0.05</v>
      </c>
      <c r="O234" s="19">
        <f t="shared" si="16"/>
        <v>32400</v>
      </c>
      <c r="P234" s="19">
        <f t="shared" si="17"/>
        <v>615600</v>
      </c>
      <c r="Q234" s="19">
        <f t="shared" si="18"/>
        <v>558000</v>
      </c>
      <c r="R234" s="19">
        <f t="shared" si="19"/>
        <v>57600</v>
      </c>
    </row>
    <row r="235" spans="1:18" x14ac:dyDescent="0.25">
      <c r="A235" t="str">
        <f>_xlfn.XLOOKUP(C235,Raw_Data_Transaksi!$A$1:$A$1001,Raw_Data_Transaksi!$D$1:$D$1001,,0)</f>
        <v>PRD-103</v>
      </c>
      <c r="B235" t="str">
        <f>_xlfn.XLOOKUP(C235,Raw_Data_Transaksi!$A$1:$A$1001,Raw_Data_Transaksi!$C$1:$C$1001,,0)</f>
        <v>SLS-08</v>
      </c>
      <c r="C235" s="6" t="s">
        <v>319</v>
      </c>
      <c r="D235" s="7">
        <v>45889</v>
      </c>
      <c r="E235" s="10" t="str">
        <f>VLOOKUP(B235,Master_Sales!$A$1:$D$9,2,FALSE)</f>
        <v>Hendra Wijaya</v>
      </c>
      <c r="F235" s="10" t="str">
        <f>INDEX(Master_Sales!$D$1:$D$9,MATCH(Lembar_Kerja_Analisis!B235,Master_Sales!$A$1:$A$9,0))</f>
        <v>Tengah</v>
      </c>
      <c r="G235" s="10" t="str">
        <f>INDEX(Master_Sales!$C$1:$C$9,MATCH(Lembar_Kerja_Analisis!B235,Master_Sales!$A$1:$A$9,0))</f>
        <v>Yogyakarta</v>
      </c>
      <c r="H235" s="10" t="str">
        <f>VLOOKUP(A235,Master_Produk!$A$1:$E$16,2,FALSE)</f>
        <v>Mechanical Keyboard RGB</v>
      </c>
      <c r="I235" s="10" t="str">
        <f>INDEX(Master_Produk!$C$1:$C$16,MATCH(Lembar_Kerja_Analisis!A235,Master_Produk!$A$1:$A$16,0))</f>
        <v>Elektronik</v>
      </c>
      <c r="J235" s="19">
        <f>_xlfn.XLOOKUP(A235,Master_Produk!$A$1:$A$16,Master_Produk!$D$1:$D$16,,0)</f>
        <v>750000</v>
      </c>
      <c r="K235" s="19">
        <f>INDEX(Master_Produk!$E$1:$E$16,MATCH(Lembar_Kerja_Analisis!A235,Master_Produk!$A$1:$A$16,0))</f>
        <v>520000</v>
      </c>
      <c r="L235" s="8">
        <v>2</v>
      </c>
      <c r="M235" s="19">
        <f t="shared" si="15"/>
        <v>1500000</v>
      </c>
      <c r="N235" s="9">
        <v>0.1</v>
      </c>
      <c r="O235" s="19">
        <f t="shared" si="16"/>
        <v>150000</v>
      </c>
      <c r="P235" s="19">
        <f t="shared" si="17"/>
        <v>1350000</v>
      </c>
      <c r="Q235" s="19">
        <f t="shared" si="18"/>
        <v>1040000</v>
      </c>
      <c r="R235" s="19">
        <f t="shared" si="19"/>
        <v>310000</v>
      </c>
    </row>
    <row r="236" spans="1:18" x14ac:dyDescent="0.25">
      <c r="A236" t="str">
        <f>_xlfn.XLOOKUP(C236,Raw_Data_Transaksi!$A$1:$A$1001,Raw_Data_Transaksi!$D$1:$D$1001,,0)</f>
        <v>PRD-109</v>
      </c>
      <c r="B236" t="str">
        <f>_xlfn.XLOOKUP(C236,Raw_Data_Transaksi!$A$1:$A$1001,Raw_Data_Transaksi!$C$1:$C$1001,,0)</f>
        <v>SLS-05</v>
      </c>
      <c r="C236" s="6" t="s">
        <v>320</v>
      </c>
      <c r="D236" s="7">
        <v>45939</v>
      </c>
      <c r="E236" s="10" t="str">
        <f>VLOOKUP(B236,Master_Sales!$A$1:$D$9,2,FALSE)</f>
        <v>Eko Prasetyo</v>
      </c>
      <c r="F236" s="10" t="str">
        <f>INDEX(Master_Sales!$D$1:$D$9,MATCH(Lembar_Kerja_Analisis!B236,Master_Sales!$A$1:$A$9,0))</f>
        <v>Tengah</v>
      </c>
      <c r="G236" s="10" t="str">
        <f>INDEX(Master_Sales!$C$1:$C$9,MATCH(Lembar_Kerja_Analisis!B236,Master_Sales!$A$1:$A$9,0))</f>
        <v>Semarang</v>
      </c>
      <c r="H236" s="10" t="str">
        <f>VLOOKUP(A236,Master_Produk!$A$1:$E$16,2,FALSE)</f>
        <v>Kopi Arabika Gayo 250g</v>
      </c>
      <c r="I236" s="10" t="str">
        <f>INDEX(Master_Produk!$C$1:$C$16,MATCH(Lembar_Kerja_Analisis!A236,Master_Produk!$A$1:$A$16,0))</f>
        <v>F&amp;B</v>
      </c>
      <c r="J236" s="19">
        <f>_xlfn.XLOOKUP(A236,Master_Produk!$A$1:$A$16,Master_Produk!$D$1:$D$16,,0)</f>
        <v>85000</v>
      </c>
      <c r="K236" s="19">
        <f>INDEX(Master_Produk!$E$1:$E$16,MATCH(Lembar_Kerja_Analisis!A236,Master_Produk!$A$1:$A$16,0))</f>
        <v>55000</v>
      </c>
      <c r="L236" s="8">
        <v>30</v>
      </c>
      <c r="M236" s="19">
        <f t="shared" si="15"/>
        <v>2550000</v>
      </c>
      <c r="N236" s="9">
        <v>0.05</v>
      </c>
      <c r="O236" s="19">
        <f t="shared" si="16"/>
        <v>127500</v>
      </c>
      <c r="P236" s="19">
        <f t="shared" si="17"/>
        <v>2422500</v>
      </c>
      <c r="Q236" s="19">
        <f t="shared" si="18"/>
        <v>1650000</v>
      </c>
      <c r="R236" s="19">
        <f t="shared" si="19"/>
        <v>772500</v>
      </c>
    </row>
    <row r="237" spans="1:18" x14ac:dyDescent="0.25">
      <c r="A237" t="str">
        <f>_xlfn.XLOOKUP(C237,Raw_Data_Transaksi!$A$1:$A$1001,Raw_Data_Transaksi!$D$1:$D$1001,,0)</f>
        <v>PRD-104</v>
      </c>
      <c r="B237" t="str">
        <f>_xlfn.XLOOKUP(C237,Raw_Data_Transaksi!$A$1:$A$1001,Raw_Data_Transaksi!$C$1:$C$1001,,0)</f>
        <v>SLS-03</v>
      </c>
      <c r="C237" s="6" t="s">
        <v>321</v>
      </c>
      <c r="D237" s="7">
        <v>45720</v>
      </c>
      <c r="E237" s="10" t="str">
        <f>VLOOKUP(B237,Master_Sales!$A$1:$D$9,2,FALSE)</f>
        <v>Citra Lestari</v>
      </c>
      <c r="F237" s="10" t="str">
        <f>INDEX(Master_Sales!$D$1:$D$9,MATCH(Lembar_Kerja_Analisis!B237,Master_Sales!$A$1:$A$9,0))</f>
        <v>Barat</v>
      </c>
      <c r="G237" s="10" t="str">
        <f>INDEX(Master_Sales!$C$1:$C$9,MATCH(Lembar_Kerja_Analisis!B237,Master_Sales!$A$1:$A$9,0))</f>
        <v>Bandung</v>
      </c>
      <c r="H237" s="10" t="str">
        <f>VLOOKUP(A237,Master_Produk!$A$1:$E$16,2,FALSE)</f>
        <v>Monitor 24" FHD 144Hz</v>
      </c>
      <c r="I237" s="10" t="str">
        <f>INDEX(Master_Produk!$C$1:$C$16,MATCH(Lembar_Kerja_Analisis!A237,Master_Produk!$A$1:$A$16,0))</f>
        <v>Elektronik</v>
      </c>
      <c r="J237" s="19">
        <f>_xlfn.XLOOKUP(A237,Master_Produk!$A$1:$A$16,Master_Produk!$D$1:$D$16,,0)</f>
        <v>1950000</v>
      </c>
      <c r="K237" s="19">
        <f>INDEX(Master_Produk!$E$1:$E$16,MATCH(Lembar_Kerja_Analisis!A237,Master_Produk!$A$1:$A$16,0))</f>
        <v>1500000</v>
      </c>
      <c r="L237" s="8">
        <v>4</v>
      </c>
      <c r="M237" s="19">
        <f t="shared" si="15"/>
        <v>7800000</v>
      </c>
      <c r="N237" s="9">
        <v>0.15</v>
      </c>
      <c r="O237" s="19">
        <f t="shared" si="16"/>
        <v>1170000</v>
      </c>
      <c r="P237" s="19">
        <f t="shared" si="17"/>
        <v>6630000</v>
      </c>
      <c r="Q237" s="19">
        <f t="shared" si="18"/>
        <v>6000000</v>
      </c>
      <c r="R237" s="19">
        <f t="shared" si="19"/>
        <v>630000</v>
      </c>
    </row>
    <row r="238" spans="1:18" x14ac:dyDescent="0.25">
      <c r="A238" t="str">
        <f>_xlfn.XLOOKUP(C238,Raw_Data_Transaksi!$A$1:$A$1001,Raw_Data_Transaksi!$D$1:$D$1001,,0)</f>
        <v>PRD-113</v>
      </c>
      <c r="B238" t="str">
        <f>_xlfn.XLOOKUP(C238,Raw_Data_Transaksi!$A$1:$A$1001,Raw_Data_Transaksi!$C$1:$C$1001,,0)</f>
        <v>SLS-03</v>
      </c>
      <c r="C238" s="6" t="s">
        <v>322</v>
      </c>
      <c r="D238" s="7">
        <v>45897</v>
      </c>
      <c r="E238" s="10" t="str">
        <f>VLOOKUP(B238,Master_Sales!$A$1:$D$9,2,FALSE)</f>
        <v>Citra Lestari</v>
      </c>
      <c r="F238" s="10" t="str">
        <f>INDEX(Master_Sales!$D$1:$D$9,MATCH(Lembar_Kerja_Analisis!B238,Master_Sales!$A$1:$A$9,0))</f>
        <v>Barat</v>
      </c>
      <c r="G238" s="10" t="str">
        <f>INDEX(Master_Sales!$C$1:$C$9,MATCH(Lembar_Kerja_Analisis!B238,Master_Sales!$A$1:$A$9,0))</f>
        <v>Bandung</v>
      </c>
      <c r="H238" s="10" t="str">
        <f>VLOOKUP(A238,Master_Produk!$A$1:$E$16,2,FALSE)</f>
        <v>Wajan Anti Lengket 28cm</v>
      </c>
      <c r="I238" s="10" t="str">
        <f>INDEX(Master_Produk!$C$1:$C$16,MATCH(Lembar_Kerja_Analisis!A238,Master_Produk!$A$1:$A$16,0))</f>
        <v>Peralatan Rumah</v>
      </c>
      <c r="J238" s="19">
        <f>_xlfn.XLOOKUP(A238,Master_Produk!$A$1:$A$16,Master_Produk!$D$1:$D$16,,0)</f>
        <v>210000</v>
      </c>
      <c r="K238" s="19">
        <f>INDEX(Master_Produk!$E$1:$E$16,MATCH(Lembar_Kerja_Analisis!A238,Master_Produk!$A$1:$A$16,0))</f>
        <v>140000</v>
      </c>
      <c r="L238" s="8">
        <v>10</v>
      </c>
      <c r="M238" s="19">
        <f t="shared" si="15"/>
        <v>2100000</v>
      </c>
      <c r="N238" s="9">
        <v>0</v>
      </c>
      <c r="O238" s="19">
        <f t="shared" si="16"/>
        <v>0</v>
      </c>
      <c r="P238" s="19">
        <f t="shared" si="17"/>
        <v>2100000</v>
      </c>
      <c r="Q238" s="19">
        <f t="shared" si="18"/>
        <v>1400000</v>
      </c>
      <c r="R238" s="19">
        <f t="shared" si="19"/>
        <v>700000</v>
      </c>
    </row>
    <row r="239" spans="1:18" x14ac:dyDescent="0.25">
      <c r="A239" t="str">
        <f>_xlfn.XLOOKUP(C239,Raw_Data_Transaksi!$A$1:$A$1001,Raw_Data_Transaksi!$D$1:$D$1001,,0)</f>
        <v>PRD-109</v>
      </c>
      <c r="B239" t="str">
        <f>_xlfn.XLOOKUP(C239,Raw_Data_Transaksi!$A$1:$A$1001,Raw_Data_Transaksi!$C$1:$C$1001,,0)</f>
        <v>SLS-07</v>
      </c>
      <c r="C239" s="6" t="s">
        <v>323</v>
      </c>
      <c r="D239" s="7">
        <v>45903</v>
      </c>
      <c r="E239" s="10" t="str">
        <f>VLOOKUP(B239,Master_Sales!$A$1:$D$9,2,FALSE)</f>
        <v>Gita Permata</v>
      </c>
      <c r="F239" s="10" t="str">
        <f>INDEX(Master_Sales!$D$1:$D$9,MATCH(Lembar_Kerja_Analisis!B239,Master_Sales!$A$1:$A$9,0))</f>
        <v>Tengah</v>
      </c>
      <c r="G239" s="10" t="str">
        <f>INDEX(Master_Sales!$C$1:$C$9,MATCH(Lembar_Kerja_Analisis!B239,Master_Sales!$A$1:$A$9,0))</f>
        <v>Denpasar</v>
      </c>
      <c r="H239" s="10" t="str">
        <f>VLOOKUP(A239,Master_Produk!$A$1:$E$16,2,FALSE)</f>
        <v>Kopi Arabika Gayo 250g</v>
      </c>
      <c r="I239" s="10" t="str">
        <f>INDEX(Master_Produk!$C$1:$C$16,MATCH(Lembar_Kerja_Analisis!A239,Master_Produk!$A$1:$A$16,0))</f>
        <v>F&amp;B</v>
      </c>
      <c r="J239" s="19">
        <f>_xlfn.XLOOKUP(A239,Master_Produk!$A$1:$A$16,Master_Produk!$D$1:$D$16,,0)</f>
        <v>85000</v>
      </c>
      <c r="K239" s="19">
        <f>INDEX(Master_Produk!$E$1:$E$16,MATCH(Lembar_Kerja_Analisis!A239,Master_Produk!$A$1:$A$16,0))</f>
        <v>55000</v>
      </c>
      <c r="L239" s="8">
        <v>29</v>
      </c>
      <c r="M239" s="19">
        <f t="shared" si="15"/>
        <v>2465000</v>
      </c>
      <c r="N239" s="9">
        <v>0.2</v>
      </c>
      <c r="O239" s="19">
        <f t="shared" si="16"/>
        <v>493000</v>
      </c>
      <c r="P239" s="19">
        <f t="shared" si="17"/>
        <v>1972000</v>
      </c>
      <c r="Q239" s="19">
        <f t="shared" si="18"/>
        <v>1595000</v>
      </c>
      <c r="R239" s="19">
        <f t="shared" si="19"/>
        <v>377000</v>
      </c>
    </row>
    <row r="240" spans="1:18" x14ac:dyDescent="0.25">
      <c r="A240" t="str">
        <f>_xlfn.XLOOKUP(C240,Raw_Data_Transaksi!$A$1:$A$1001,Raw_Data_Transaksi!$D$1:$D$1001,,0)</f>
        <v>PRD-102</v>
      </c>
      <c r="B240" t="str">
        <f>_xlfn.XLOOKUP(C240,Raw_Data_Transaksi!$A$1:$A$1001,Raw_Data_Transaksi!$C$1:$C$1001,,0)</f>
        <v>SLS-08</v>
      </c>
      <c r="C240" s="6" t="s">
        <v>324</v>
      </c>
      <c r="D240" s="7">
        <v>45986</v>
      </c>
      <c r="E240" s="10" t="str">
        <f>VLOOKUP(B240,Master_Sales!$A$1:$D$9,2,FALSE)</f>
        <v>Hendra Wijaya</v>
      </c>
      <c r="F240" s="10" t="str">
        <f>INDEX(Master_Sales!$D$1:$D$9,MATCH(Lembar_Kerja_Analisis!B240,Master_Sales!$A$1:$A$9,0))</f>
        <v>Tengah</v>
      </c>
      <c r="G240" s="10" t="str">
        <f>INDEX(Master_Sales!$C$1:$C$9,MATCH(Lembar_Kerja_Analisis!B240,Master_Sales!$A$1:$A$9,0))</f>
        <v>Yogyakarta</v>
      </c>
      <c r="H240" s="10" t="str">
        <f>VLOOKUP(A240,Master_Produk!$A$1:$E$16,2,FALSE)</f>
        <v>Wireless Mouse Ergonomic</v>
      </c>
      <c r="I240" s="10" t="str">
        <f>INDEX(Master_Produk!$C$1:$C$16,MATCH(Lembar_Kerja_Analisis!A240,Master_Produk!$A$1:$A$16,0))</f>
        <v>Elektronik</v>
      </c>
      <c r="J240" s="19">
        <f>_xlfn.XLOOKUP(A240,Master_Produk!$A$1:$A$16,Master_Produk!$D$1:$D$16,,0)</f>
        <v>250000</v>
      </c>
      <c r="K240" s="19">
        <f>INDEX(Master_Produk!$E$1:$E$16,MATCH(Lembar_Kerja_Analisis!A240,Master_Produk!$A$1:$A$16,0))</f>
        <v>160000</v>
      </c>
      <c r="L240" s="8">
        <v>8</v>
      </c>
      <c r="M240" s="19">
        <f t="shared" si="15"/>
        <v>2000000</v>
      </c>
      <c r="N240" s="9">
        <v>0.2</v>
      </c>
      <c r="O240" s="19">
        <f t="shared" si="16"/>
        <v>400000</v>
      </c>
      <c r="P240" s="19">
        <f t="shared" si="17"/>
        <v>1600000</v>
      </c>
      <c r="Q240" s="19">
        <f t="shared" si="18"/>
        <v>1280000</v>
      </c>
      <c r="R240" s="19">
        <f t="shared" si="19"/>
        <v>320000</v>
      </c>
    </row>
    <row r="241" spans="1:18" x14ac:dyDescent="0.25">
      <c r="A241" t="str">
        <f>_xlfn.XLOOKUP(C241,Raw_Data_Transaksi!$A$1:$A$1001,Raw_Data_Transaksi!$D$1:$D$1001,,0)</f>
        <v>PRD-107</v>
      </c>
      <c r="B241" t="str">
        <f>_xlfn.XLOOKUP(C241,Raw_Data_Transaksi!$A$1:$A$1001,Raw_Data_Transaksi!$C$1:$C$1001,,0)</f>
        <v>SLS-01</v>
      </c>
      <c r="C241" s="6" t="s">
        <v>325</v>
      </c>
      <c r="D241" s="7">
        <v>45724</v>
      </c>
      <c r="E241" s="10" t="str">
        <f>VLOOKUP(B241,Master_Sales!$A$1:$D$9,2,FALSE)</f>
        <v>Andi Pratama</v>
      </c>
      <c r="F241" s="10" t="str">
        <f>INDEX(Master_Sales!$D$1:$D$9,MATCH(Lembar_Kerja_Analisis!B241,Master_Sales!$A$1:$A$9,0))</f>
        <v>Barat</v>
      </c>
      <c r="G241" s="10" t="str">
        <f>INDEX(Master_Sales!$C$1:$C$9,MATCH(Lembar_Kerja_Analisis!B241,Master_Sales!$A$1:$A$9,0))</f>
        <v>Jakarta</v>
      </c>
      <c r="H241" s="10" t="str">
        <f>VLOOKUP(A241,Master_Produk!$A$1:$E$16,2,FALSE)</f>
        <v>Jaket Hoodie Casual</v>
      </c>
      <c r="I241" s="10" t="str">
        <f>INDEX(Master_Produk!$C$1:$C$16,MATCH(Lembar_Kerja_Analisis!A241,Master_Produk!$A$1:$A$16,0))</f>
        <v>Fashion</v>
      </c>
      <c r="J241" s="19">
        <f>_xlfn.XLOOKUP(A241,Master_Produk!$A$1:$A$16,Master_Produk!$D$1:$D$16,,0)</f>
        <v>350000</v>
      </c>
      <c r="K241" s="19">
        <f>INDEX(Master_Produk!$E$1:$E$16,MATCH(Lembar_Kerja_Analisis!A241,Master_Produk!$A$1:$A$16,0))</f>
        <v>220000</v>
      </c>
      <c r="L241" s="8">
        <v>2</v>
      </c>
      <c r="M241" s="19">
        <f t="shared" si="15"/>
        <v>700000</v>
      </c>
      <c r="N241" s="9">
        <v>0.2</v>
      </c>
      <c r="O241" s="19">
        <f t="shared" si="16"/>
        <v>140000</v>
      </c>
      <c r="P241" s="19">
        <f t="shared" si="17"/>
        <v>560000</v>
      </c>
      <c r="Q241" s="19">
        <f t="shared" si="18"/>
        <v>440000</v>
      </c>
      <c r="R241" s="19">
        <f t="shared" si="19"/>
        <v>120000</v>
      </c>
    </row>
    <row r="242" spans="1:18" x14ac:dyDescent="0.25">
      <c r="A242" t="str">
        <f>_xlfn.XLOOKUP(C242,Raw_Data_Transaksi!$A$1:$A$1001,Raw_Data_Transaksi!$D$1:$D$1001,,0)</f>
        <v>PRD-106</v>
      </c>
      <c r="B242" t="str">
        <f>_xlfn.XLOOKUP(C242,Raw_Data_Transaksi!$A$1:$A$1001,Raw_Data_Transaksi!$C$1:$C$1001,,0)</f>
        <v>SLS-04</v>
      </c>
      <c r="C242" s="6" t="s">
        <v>326</v>
      </c>
      <c r="D242" s="7">
        <v>45740</v>
      </c>
      <c r="E242" s="10" t="str">
        <f>VLOOKUP(B242,Master_Sales!$A$1:$D$9,2,FALSE)</f>
        <v>Dewi Anggraini</v>
      </c>
      <c r="F242" s="10" t="str">
        <f>INDEX(Master_Sales!$D$1:$D$9,MATCH(Lembar_Kerja_Analisis!B242,Master_Sales!$A$1:$A$9,0))</f>
        <v>Barat</v>
      </c>
      <c r="G242" s="10" t="str">
        <f>INDEX(Master_Sales!$C$1:$C$9,MATCH(Lembar_Kerja_Analisis!B242,Master_Sales!$A$1:$A$9,0))</f>
        <v>Medan</v>
      </c>
      <c r="H242" s="10" t="str">
        <f>VLOOKUP(A242,Master_Produk!$A$1:$E$16,2,FALSE)</f>
        <v>Celana Chino Slim Fit</v>
      </c>
      <c r="I242" s="10" t="str">
        <f>INDEX(Master_Produk!$C$1:$C$16,MATCH(Lembar_Kerja_Analisis!A242,Master_Produk!$A$1:$A$16,0))</f>
        <v>Fashion</v>
      </c>
      <c r="J242" s="19">
        <f>_xlfn.XLOOKUP(A242,Master_Produk!$A$1:$A$16,Master_Produk!$D$1:$D$16,,0)</f>
        <v>280000</v>
      </c>
      <c r="K242" s="19">
        <f>INDEX(Master_Produk!$E$1:$E$16,MATCH(Lembar_Kerja_Analisis!A242,Master_Produk!$A$1:$A$16,0))</f>
        <v>175000</v>
      </c>
      <c r="L242" s="8">
        <v>6</v>
      </c>
      <c r="M242" s="19">
        <f t="shared" si="15"/>
        <v>1680000</v>
      </c>
      <c r="N242" s="9">
        <v>0.2</v>
      </c>
      <c r="O242" s="19">
        <f t="shared" si="16"/>
        <v>336000</v>
      </c>
      <c r="P242" s="19">
        <f t="shared" si="17"/>
        <v>1344000</v>
      </c>
      <c r="Q242" s="19">
        <f t="shared" si="18"/>
        <v>1050000</v>
      </c>
      <c r="R242" s="19">
        <f t="shared" si="19"/>
        <v>294000</v>
      </c>
    </row>
    <row r="243" spans="1:18" x14ac:dyDescent="0.25">
      <c r="A243" t="str">
        <f>_xlfn.XLOOKUP(C243,Raw_Data_Transaksi!$A$1:$A$1001,Raw_Data_Transaksi!$D$1:$D$1001,,0)</f>
        <v>PRD-111</v>
      </c>
      <c r="B243" t="str">
        <f>_xlfn.XLOOKUP(C243,Raw_Data_Transaksi!$A$1:$A$1001,Raw_Data_Transaksi!$C$1:$C$1001,,0)</f>
        <v>SLS-05</v>
      </c>
      <c r="C243" s="6" t="s">
        <v>327</v>
      </c>
      <c r="D243" s="7">
        <v>45758</v>
      </c>
      <c r="E243" s="10" t="str">
        <f>VLOOKUP(B243,Master_Sales!$A$1:$D$9,2,FALSE)</f>
        <v>Eko Prasetyo</v>
      </c>
      <c r="F243" s="10" t="str">
        <f>INDEX(Master_Sales!$D$1:$D$9,MATCH(Lembar_Kerja_Analisis!B243,Master_Sales!$A$1:$A$9,0))</f>
        <v>Tengah</v>
      </c>
      <c r="G243" s="10" t="str">
        <f>INDEX(Master_Sales!$C$1:$C$9,MATCH(Lembar_Kerja_Analisis!B243,Master_Sales!$A$1:$A$9,0))</f>
        <v>Semarang</v>
      </c>
      <c r="H243" s="10" t="str">
        <f>VLOOKUP(A243,Master_Produk!$A$1:$E$16,2,FALSE)</f>
        <v>Beras Premium 5kg</v>
      </c>
      <c r="I243" s="10" t="str">
        <f>INDEX(Master_Produk!$C$1:$C$16,MATCH(Lembar_Kerja_Analisis!A243,Master_Produk!$A$1:$A$16,0))</f>
        <v>F&amp;B</v>
      </c>
      <c r="J243" s="19">
        <f>_xlfn.XLOOKUP(A243,Master_Produk!$A$1:$A$16,Master_Produk!$D$1:$D$16,,0)</f>
        <v>74000</v>
      </c>
      <c r="K243" s="19">
        <f>INDEX(Master_Produk!$E$1:$E$16,MATCH(Lembar_Kerja_Analisis!A243,Master_Produk!$A$1:$A$16,0))</f>
        <v>65000</v>
      </c>
      <c r="L243" s="8">
        <v>23</v>
      </c>
      <c r="M243" s="19">
        <f t="shared" si="15"/>
        <v>1702000</v>
      </c>
      <c r="N243" s="9">
        <v>0.1</v>
      </c>
      <c r="O243" s="19">
        <f t="shared" si="16"/>
        <v>170200</v>
      </c>
      <c r="P243" s="19">
        <f t="shared" si="17"/>
        <v>1531800</v>
      </c>
      <c r="Q243" s="19">
        <f t="shared" si="18"/>
        <v>1495000</v>
      </c>
      <c r="R243" s="19">
        <f t="shared" si="19"/>
        <v>36800</v>
      </c>
    </row>
    <row r="244" spans="1:18" x14ac:dyDescent="0.25">
      <c r="A244" t="str">
        <f>_xlfn.XLOOKUP(C244,Raw_Data_Transaksi!$A$1:$A$1001,Raw_Data_Transaksi!$D$1:$D$1001,,0)</f>
        <v>PRD-110</v>
      </c>
      <c r="B244" t="str">
        <f>_xlfn.XLOOKUP(C244,Raw_Data_Transaksi!$A$1:$A$1001,Raw_Data_Transaksi!$C$1:$C$1001,,0)</f>
        <v>SLS-03</v>
      </c>
      <c r="C244" s="6" t="s">
        <v>328</v>
      </c>
      <c r="D244" s="7">
        <v>45961</v>
      </c>
      <c r="E244" s="10" t="str">
        <f>VLOOKUP(B244,Master_Sales!$A$1:$D$9,2,FALSE)</f>
        <v>Citra Lestari</v>
      </c>
      <c r="F244" s="10" t="str">
        <f>INDEX(Master_Sales!$D$1:$D$9,MATCH(Lembar_Kerja_Analisis!B244,Master_Sales!$A$1:$A$9,0))</f>
        <v>Barat</v>
      </c>
      <c r="G244" s="10" t="str">
        <f>INDEX(Master_Sales!$C$1:$C$9,MATCH(Lembar_Kerja_Analisis!B244,Master_Sales!$A$1:$A$9,0))</f>
        <v>Bandung</v>
      </c>
      <c r="H244" s="10" t="str">
        <f>VLOOKUP(A244,Master_Produk!$A$1:$E$16,2,FALSE)</f>
        <v>Minyak Goreng Sawit 2L</v>
      </c>
      <c r="I244" s="10" t="str">
        <f>INDEX(Master_Produk!$C$1:$C$16,MATCH(Lembar_Kerja_Analisis!A244,Master_Produk!$A$1:$A$16,0))</f>
        <v>F&amp;B</v>
      </c>
      <c r="J244" s="19">
        <f>_xlfn.XLOOKUP(A244,Master_Produk!$A$1:$A$16,Master_Produk!$D$1:$D$16,,0)</f>
        <v>36000</v>
      </c>
      <c r="K244" s="19">
        <f>INDEX(Master_Produk!$E$1:$E$16,MATCH(Lembar_Kerja_Analisis!A244,Master_Produk!$A$1:$A$16,0))</f>
        <v>31000</v>
      </c>
      <c r="L244" s="8">
        <v>24</v>
      </c>
      <c r="M244" s="19">
        <f t="shared" si="15"/>
        <v>864000</v>
      </c>
      <c r="N244" s="9">
        <v>0.2</v>
      </c>
      <c r="O244" s="19">
        <f t="shared" si="16"/>
        <v>172800</v>
      </c>
      <c r="P244" s="19">
        <f t="shared" si="17"/>
        <v>691200</v>
      </c>
      <c r="Q244" s="19">
        <f t="shared" si="18"/>
        <v>744000</v>
      </c>
      <c r="R244" s="19">
        <f t="shared" si="19"/>
        <v>-52800</v>
      </c>
    </row>
    <row r="245" spans="1:18" x14ac:dyDescent="0.25">
      <c r="A245" t="str">
        <f>_xlfn.XLOOKUP(C245,Raw_Data_Transaksi!$A$1:$A$1001,Raw_Data_Transaksi!$D$1:$D$1001,,0)</f>
        <v>PRD-102</v>
      </c>
      <c r="B245" t="str">
        <f>_xlfn.XLOOKUP(C245,Raw_Data_Transaksi!$A$1:$A$1001,Raw_Data_Transaksi!$C$1:$C$1001,,0)</f>
        <v>SLS-01</v>
      </c>
      <c r="C245" s="6" t="s">
        <v>329</v>
      </c>
      <c r="D245" s="7">
        <v>45672</v>
      </c>
      <c r="E245" s="10" t="str">
        <f>VLOOKUP(B245,Master_Sales!$A$1:$D$9,2,FALSE)</f>
        <v>Andi Pratama</v>
      </c>
      <c r="F245" s="10" t="str">
        <f>INDEX(Master_Sales!$D$1:$D$9,MATCH(Lembar_Kerja_Analisis!B245,Master_Sales!$A$1:$A$9,0))</f>
        <v>Barat</v>
      </c>
      <c r="G245" s="10" t="str">
        <f>INDEX(Master_Sales!$C$1:$C$9,MATCH(Lembar_Kerja_Analisis!B245,Master_Sales!$A$1:$A$9,0))</f>
        <v>Jakarta</v>
      </c>
      <c r="H245" s="10" t="str">
        <f>VLOOKUP(A245,Master_Produk!$A$1:$E$16,2,FALSE)</f>
        <v>Wireless Mouse Ergonomic</v>
      </c>
      <c r="I245" s="10" t="str">
        <f>INDEX(Master_Produk!$C$1:$C$16,MATCH(Lembar_Kerja_Analisis!A245,Master_Produk!$A$1:$A$16,0))</f>
        <v>Elektronik</v>
      </c>
      <c r="J245" s="19">
        <f>_xlfn.XLOOKUP(A245,Master_Produk!$A$1:$A$16,Master_Produk!$D$1:$D$16,,0)</f>
        <v>250000</v>
      </c>
      <c r="K245" s="19">
        <f>INDEX(Master_Produk!$E$1:$E$16,MATCH(Lembar_Kerja_Analisis!A245,Master_Produk!$A$1:$A$16,0))</f>
        <v>160000</v>
      </c>
      <c r="L245" s="8">
        <v>11</v>
      </c>
      <c r="M245" s="19">
        <f t="shared" si="15"/>
        <v>2750000</v>
      </c>
      <c r="N245" s="9">
        <v>0.2</v>
      </c>
      <c r="O245" s="19">
        <f t="shared" si="16"/>
        <v>550000</v>
      </c>
      <c r="P245" s="19">
        <f t="shared" si="17"/>
        <v>2200000</v>
      </c>
      <c r="Q245" s="19">
        <f t="shared" si="18"/>
        <v>1760000</v>
      </c>
      <c r="R245" s="19">
        <f t="shared" si="19"/>
        <v>440000</v>
      </c>
    </row>
    <row r="246" spans="1:18" x14ac:dyDescent="0.25">
      <c r="A246" t="str">
        <f>_xlfn.XLOOKUP(C246,Raw_Data_Transaksi!$A$1:$A$1001,Raw_Data_Transaksi!$D$1:$D$1001,,0)</f>
        <v>PRD-107</v>
      </c>
      <c r="B246" t="str">
        <f>_xlfn.XLOOKUP(C246,Raw_Data_Transaksi!$A$1:$A$1001,Raw_Data_Transaksi!$C$1:$C$1001,,0)</f>
        <v>SLS-01</v>
      </c>
      <c r="C246" s="6" t="s">
        <v>330</v>
      </c>
      <c r="D246" s="7">
        <v>45950</v>
      </c>
      <c r="E246" s="10" t="str">
        <f>VLOOKUP(B246,Master_Sales!$A$1:$D$9,2,FALSE)</f>
        <v>Andi Pratama</v>
      </c>
      <c r="F246" s="10" t="str">
        <f>INDEX(Master_Sales!$D$1:$D$9,MATCH(Lembar_Kerja_Analisis!B246,Master_Sales!$A$1:$A$9,0))</f>
        <v>Barat</v>
      </c>
      <c r="G246" s="10" t="str">
        <f>INDEX(Master_Sales!$C$1:$C$9,MATCH(Lembar_Kerja_Analisis!B246,Master_Sales!$A$1:$A$9,0))</f>
        <v>Jakarta</v>
      </c>
      <c r="H246" s="10" t="str">
        <f>VLOOKUP(A246,Master_Produk!$A$1:$E$16,2,FALSE)</f>
        <v>Jaket Hoodie Casual</v>
      </c>
      <c r="I246" s="10" t="str">
        <f>INDEX(Master_Produk!$C$1:$C$16,MATCH(Lembar_Kerja_Analisis!A246,Master_Produk!$A$1:$A$16,0))</f>
        <v>Fashion</v>
      </c>
      <c r="J246" s="19">
        <f>_xlfn.XLOOKUP(A246,Master_Produk!$A$1:$A$16,Master_Produk!$D$1:$D$16,,0)</f>
        <v>350000</v>
      </c>
      <c r="K246" s="19">
        <f>INDEX(Master_Produk!$E$1:$E$16,MATCH(Lembar_Kerja_Analisis!A246,Master_Produk!$A$1:$A$16,0))</f>
        <v>220000</v>
      </c>
      <c r="L246" s="8">
        <v>8</v>
      </c>
      <c r="M246" s="19">
        <f t="shared" si="15"/>
        <v>2800000</v>
      </c>
      <c r="N246" s="9">
        <v>0.2</v>
      </c>
      <c r="O246" s="19">
        <f t="shared" si="16"/>
        <v>560000</v>
      </c>
      <c r="P246" s="19">
        <f t="shared" si="17"/>
        <v>2240000</v>
      </c>
      <c r="Q246" s="19">
        <f t="shared" si="18"/>
        <v>1760000</v>
      </c>
      <c r="R246" s="19">
        <f t="shared" si="19"/>
        <v>480000</v>
      </c>
    </row>
    <row r="247" spans="1:18" x14ac:dyDescent="0.25">
      <c r="A247" t="str">
        <f>_xlfn.XLOOKUP(C247,Raw_Data_Transaksi!$A$1:$A$1001,Raw_Data_Transaksi!$D$1:$D$1001,,0)</f>
        <v>PRD-104</v>
      </c>
      <c r="B247" t="str">
        <f>_xlfn.XLOOKUP(C247,Raw_Data_Transaksi!$A$1:$A$1001,Raw_Data_Transaksi!$C$1:$C$1001,,0)</f>
        <v>SLS-07</v>
      </c>
      <c r="C247" s="6" t="s">
        <v>331</v>
      </c>
      <c r="D247" s="7">
        <v>45905</v>
      </c>
      <c r="E247" s="10" t="str">
        <f>VLOOKUP(B247,Master_Sales!$A$1:$D$9,2,FALSE)</f>
        <v>Gita Permata</v>
      </c>
      <c r="F247" s="10" t="str">
        <f>INDEX(Master_Sales!$D$1:$D$9,MATCH(Lembar_Kerja_Analisis!B247,Master_Sales!$A$1:$A$9,0))</f>
        <v>Tengah</v>
      </c>
      <c r="G247" s="10" t="str">
        <f>INDEX(Master_Sales!$C$1:$C$9,MATCH(Lembar_Kerja_Analisis!B247,Master_Sales!$A$1:$A$9,0))</f>
        <v>Denpasar</v>
      </c>
      <c r="H247" s="10" t="str">
        <f>VLOOKUP(A247,Master_Produk!$A$1:$E$16,2,FALSE)</f>
        <v>Monitor 24" FHD 144Hz</v>
      </c>
      <c r="I247" s="10" t="str">
        <f>INDEX(Master_Produk!$C$1:$C$16,MATCH(Lembar_Kerja_Analisis!A247,Master_Produk!$A$1:$A$16,0))</f>
        <v>Elektronik</v>
      </c>
      <c r="J247" s="19">
        <f>_xlfn.XLOOKUP(A247,Master_Produk!$A$1:$A$16,Master_Produk!$D$1:$D$16,,0)</f>
        <v>1950000</v>
      </c>
      <c r="K247" s="19">
        <f>INDEX(Master_Produk!$E$1:$E$16,MATCH(Lembar_Kerja_Analisis!A247,Master_Produk!$A$1:$A$16,0))</f>
        <v>1500000</v>
      </c>
      <c r="L247" s="8">
        <v>5</v>
      </c>
      <c r="M247" s="19">
        <f t="shared" si="15"/>
        <v>9750000</v>
      </c>
      <c r="N247" s="9">
        <v>0.15</v>
      </c>
      <c r="O247" s="19">
        <f t="shared" si="16"/>
        <v>1462500</v>
      </c>
      <c r="P247" s="19">
        <f t="shared" si="17"/>
        <v>8287500</v>
      </c>
      <c r="Q247" s="19">
        <f t="shared" si="18"/>
        <v>7500000</v>
      </c>
      <c r="R247" s="19">
        <f t="shared" si="19"/>
        <v>787500</v>
      </c>
    </row>
    <row r="248" spans="1:18" x14ac:dyDescent="0.25">
      <c r="A248" t="str">
        <f>_xlfn.XLOOKUP(C248,Raw_Data_Transaksi!$A$1:$A$1001,Raw_Data_Transaksi!$D$1:$D$1001,,0)</f>
        <v>PRD-108</v>
      </c>
      <c r="B248" t="str">
        <f>_xlfn.XLOOKUP(C248,Raw_Data_Transaksi!$A$1:$A$1001,Raw_Data_Transaksi!$C$1:$C$1001,,0)</f>
        <v>SLS-07</v>
      </c>
      <c r="C248" s="6" t="s">
        <v>332</v>
      </c>
      <c r="D248" s="7">
        <v>45738</v>
      </c>
      <c r="E248" s="10" t="str">
        <f>VLOOKUP(B248,Master_Sales!$A$1:$D$9,2,FALSE)</f>
        <v>Gita Permata</v>
      </c>
      <c r="F248" s="10" t="str">
        <f>INDEX(Master_Sales!$D$1:$D$9,MATCH(Lembar_Kerja_Analisis!B248,Master_Sales!$A$1:$A$9,0))</f>
        <v>Tengah</v>
      </c>
      <c r="G248" s="10" t="str">
        <f>INDEX(Master_Sales!$C$1:$C$9,MATCH(Lembar_Kerja_Analisis!B248,Master_Sales!$A$1:$A$9,0))</f>
        <v>Denpasar</v>
      </c>
      <c r="H248" s="10" t="str">
        <f>VLOOKUP(A248,Master_Produk!$A$1:$E$16,2,FALSE)</f>
        <v>Sepatu Sneakers Pria/Wanita</v>
      </c>
      <c r="I248" s="10" t="str">
        <f>INDEX(Master_Produk!$C$1:$C$16,MATCH(Lembar_Kerja_Analisis!A248,Master_Produk!$A$1:$A$16,0))</f>
        <v>Fashion</v>
      </c>
      <c r="J248" s="19">
        <f>_xlfn.XLOOKUP(A248,Master_Produk!$A$1:$A$16,Master_Produk!$D$1:$D$16,,0)</f>
        <v>450000</v>
      </c>
      <c r="K248" s="19">
        <f>INDEX(Master_Produk!$E$1:$E$16,MATCH(Lembar_Kerja_Analisis!A248,Master_Produk!$A$1:$A$16,0))</f>
        <v>290000</v>
      </c>
      <c r="L248" s="8">
        <v>8</v>
      </c>
      <c r="M248" s="19">
        <f t="shared" si="15"/>
        <v>3600000</v>
      </c>
      <c r="N248" s="9">
        <v>0.15</v>
      </c>
      <c r="O248" s="19">
        <f t="shared" si="16"/>
        <v>540000</v>
      </c>
      <c r="P248" s="19">
        <f t="shared" si="17"/>
        <v>3060000</v>
      </c>
      <c r="Q248" s="19">
        <f t="shared" si="18"/>
        <v>2320000</v>
      </c>
      <c r="R248" s="19">
        <f t="shared" si="19"/>
        <v>740000</v>
      </c>
    </row>
    <row r="249" spans="1:18" x14ac:dyDescent="0.25">
      <c r="A249" t="str">
        <f>_xlfn.XLOOKUP(C249,Raw_Data_Transaksi!$A$1:$A$1001,Raw_Data_Transaksi!$D$1:$D$1001,,0)</f>
        <v>PRD-114</v>
      </c>
      <c r="B249" t="str">
        <f>_xlfn.XLOOKUP(C249,Raw_Data_Transaksi!$A$1:$A$1001,Raw_Data_Transaksi!$C$1:$C$1001,,0)</f>
        <v>SLS-06</v>
      </c>
      <c r="C249" s="6" t="s">
        <v>333</v>
      </c>
      <c r="D249" s="7">
        <v>45818</v>
      </c>
      <c r="E249" s="10" t="str">
        <f>VLOOKUP(B249,Master_Sales!$A$1:$D$9,2,FALSE)</f>
        <v>Fajar Nugraha</v>
      </c>
      <c r="F249" s="10" t="str">
        <f>INDEX(Master_Sales!$D$1:$D$9,MATCH(Lembar_Kerja_Analisis!B249,Master_Sales!$A$1:$A$9,0))</f>
        <v>Timur</v>
      </c>
      <c r="G249" s="10" t="str">
        <f>INDEX(Master_Sales!$C$1:$C$9,MATCH(Lembar_Kerja_Analisis!B249,Master_Sales!$A$1:$A$9,0))</f>
        <v>Makassar</v>
      </c>
      <c r="H249" s="10" t="str">
        <f>VLOOKUP(A249,Master_Produk!$A$1:$E$16,2,FALSE)</f>
        <v>Blender Multifungsi 2-in-1</v>
      </c>
      <c r="I249" s="10" t="str">
        <f>INDEX(Master_Produk!$C$1:$C$16,MATCH(Lembar_Kerja_Analisis!A249,Master_Produk!$A$1:$A$16,0))</f>
        <v>Peralatan Rumah</v>
      </c>
      <c r="J249" s="19">
        <f>_xlfn.XLOOKUP(A249,Master_Produk!$A$1:$A$16,Master_Produk!$D$1:$D$16,,0)</f>
        <v>340000</v>
      </c>
      <c r="K249" s="19">
        <f>INDEX(Master_Produk!$E$1:$E$16,MATCH(Lembar_Kerja_Analisis!A249,Master_Produk!$A$1:$A$16,0))</f>
        <v>240000</v>
      </c>
      <c r="L249" s="8">
        <v>12</v>
      </c>
      <c r="M249" s="19">
        <f t="shared" si="15"/>
        <v>4080000</v>
      </c>
      <c r="N249" s="9">
        <v>0.1</v>
      </c>
      <c r="O249" s="19">
        <f t="shared" si="16"/>
        <v>408000</v>
      </c>
      <c r="P249" s="19">
        <f t="shared" si="17"/>
        <v>3672000</v>
      </c>
      <c r="Q249" s="19">
        <f t="shared" si="18"/>
        <v>2880000</v>
      </c>
      <c r="R249" s="19">
        <f t="shared" si="19"/>
        <v>792000</v>
      </c>
    </row>
    <row r="250" spans="1:18" x14ac:dyDescent="0.25">
      <c r="A250" t="str">
        <f>_xlfn.XLOOKUP(C250,Raw_Data_Transaksi!$A$1:$A$1001,Raw_Data_Transaksi!$D$1:$D$1001,,0)</f>
        <v>PRD-109</v>
      </c>
      <c r="B250" t="str">
        <f>_xlfn.XLOOKUP(C250,Raw_Data_Transaksi!$A$1:$A$1001,Raw_Data_Transaksi!$C$1:$C$1001,,0)</f>
        <v>SLS-02</v>
      </c>
      <c r="C250" s="6" t="s">
        <v>334</v>
      </c>
      <c r="D250" s="7">
        <v>45921</v>
      </c>
      <c r="E250" s="10" t="str">
        <f>VLOOKUP(B250,Master_Sales!$A$1:$D$9,2,FALSE)</f>
        <v>Budi Santoso</v>
      </c>
      <c r="F250" s="10" t="str">
        <f>INDEX(Master_Sales!$D$1:$D$9,MATCH(Lembar_Kerja_Analisis!B250,Master_Sales!$A$1:$A$9,0))</f>
        <v>Timur</v>
      </c>
      <c r="G250" s="10" t="str">
        <f>INDEX(Master_Sales!$C$1:$C$9,MATCH(Lembar_Kerja_Analisis!B250,Master_Sales!$A$1:$A$9,0))</f>
        <v>Surabaya</v>
      </c>
      <c r="H250" s="10" t="str">
        <f>VLOOKUP(A250,Master_Produk!$A$1:$E$16,2,FALSE)</f>
        <v>Kopi Arabika Gayo 250g</v>
      </c>
      <c r="I250" s="10" t="str">
        <f>INDEX(Master_Produk!$C$1:$C$16,MATCH(Lembar_Kerja_Analisis!A250,Master_Produk!$A$1:$A$16,0))</f>
        <v>F&amp;B</v>
      </c>
      <c r="J250" s="19">
        <f>_xlfn.XLOOKUP(A250,Master_Produk!$A$1:$A$16,Master_Produk!$D$1:$D$16,,0)</f>
        <v>85000</v>
      </c>
      <c r="K250" s="19">
        <f>INDEX(Master_Produk!$E$1:$E$16,MATCH(Lembar_Kerja_Analisis!A250,Master_Produk!$A$1:$A$16,0))</f>
        <v>55000</v>
      </c>
      <c r="L250" s="8">
        <v>10</v>
      </c>
      <c r="M250" s="19">
        <f t="shared" si="15"/>
        <v>850000</v>
      </c>
      <c r="N250" s="9">
        <v>0.15</v>
      </c>
      <c r="O250" s="19">
        <f t="shared" si="16"/>
        <v>127500</v>
      </c>
      <c r="P250" s="19">
        <f t="shared" si="17"/>
        <v>722500</v>
      </c>
      <c r="Q250" s="19">
        <f t="shared" si="18"/>
        <v>550000</v>
      </c>
      <c r="R250" s="19">
        <f t="shared" si="19"/>
        <v>172500</v>
      </c>
    </row>
    <row r="251" spans="1:18" x14ac:dyDescent="0.25">
      <c r="A251" t="str">
        <f>_xlfn.XLOOKUP(C251,Raw_Data_Transaksi!$A$1:$A$1001,Raw_Data_Transaksi!$D$1:$D$1001,,0)</f>
        <v>PRD-103</v>
      </c>
      <c r="B251" t="str">
        <f>_xlfn.XLOOKUP(C251,Raw_Data_Transaksi!$A$1:$A$1001,Raw_Data_Transaksi!$C$1:$C$1001,,0)</f>
        <v>SLS-02</v>
      </c>
      <c r="C251" s="6" t="s">
        <v>335</v>
      </c>
      <c r="D251" s="7">
        <v>45784</v>
      </c>
      <c r="E251" s="10" t="str">
        <f>VLOOKUP(B251,Master_Sales!$A$1:$D$9,2,FALSE)</f>
        <v>Budi Santoso</v>
      </c>
      <c r="F251" s="10" t="str">
        <f>INDEX(Master_Sales!$D$1:$D$9,MATCH(Lembar_Kerja_Analisis!B251,Master_Sales!$A$1:$A$9,0))</f>
        <v>Timur</v>
      </c>
      <c r="G251" s="10" t="str">
        <f>INDEX(Master_Sales!$C$1:$C$9,MATCH(Lembar_Kerja_Analisis!B251,Master_Sales!$A$1:$A$9,0))</f>
        <v>Surabaya</v>
      </c>
      <c r="H251" s="10" t="str">
        <f>VLOOKUP(A251,Master_Produk!$A$1:$E$16,2,FALSE)</f>
        <v>Mechanical Keyboard RGB</v>
      </c>
      <c r="I251" s="10" t="str">
        <f>INDEX(Master_Produk!$C$1:$C$16,MATCH(Lembar_Kerja_Analisis!A251,Master_Produk!$A$1:$A$16,0))</f>
        <v>Elektronik</v>
      </c>
      <c r="J251" s="19">
        <f>_xlfn.XLOOKUP(A251,Master_Produk!$A$1:$A$16,Master_Produk!$D$1:$D$16,,0)</f>
        <v>750000</v>
      </c>
      <c r="K251" s="19">
        <f>INDEX(Master_Produk!$E$1:$E$16,MATCH(Lembar_Kerja_Analisis!A251,Master_Produk!$A$1:$A$16,0))</f>
        <v>520000</v>
      </c>
      <c r="L251" s="8">
        <v>1</v>
      </c>
      <c r="M251" s="19">
        <f t="shared" si="15"/>
        <v>750000</v>
      </c>
      <c r="N251" s="9">
        <v>0.1</v>
      </c>
      <c r="O251" s="19">
        <f t="shared" si="16"/>
        <v>75000</v>
      </c>
      <c r="P251" s="19">
        <f t="shared" si="17"/>
        <v>675000</v>
      </c>
      <c r="Q251" s="19">
        <f t="shared" si="18"/>
        <v>520000</v>
      </c>
      <c r="R251" s="19">
        <f t="shared" si="19"/>
        <v>155000</v>
      </c>
    </row>
    <row r="252" spans="1:18" x14ac:dyDescent="0.25">
      <c r="A252" t="str">
        <f>_xlfn.XLOOKUP(C252,Raw_Data_Transaksi!$A$1:$A$1001,Raw_Data_Transaksi!$D$1:$D$1001,,0)</f>
        <v>PRD-114</v>
      </c>
      <c r="B252" t="str">
        <f>_xlfn.XLOOKUP(C252,Raw_Data_Transaksi!$A$1:$A$1001,Raw_Data_Transaksi!$C$1:$C$1001,,0)</f>
        <v>SLS-03</v>
      </c>
      <c r="C252" s="6" t="s">
        <v>336</v>
      </c>
      <c r="D252" s="7">
        <v>45785</v>
      </c>
      <c r="E252" s="10" t="str">
        <f>VLOOKUP(B252,Master_Sales!$A$1:$D$9,2,FALSE)</f>
        <v>Citra Lestari</v>
      </c>
      <c r="F252" s="10" t="str">
        <f>INDEX(Master_Sales!$D$1:$D$9,MATCH(Lembar_Kerja_Analisis!B252,Master_Sales!$A$1:$A$9,0))</f>
        <v>Barat</v>
      </c>
      <c r="G252" s="10" t="str">
        <f>INDEX(Master_Sales!$C$1:$C$9,MATCH(Lembar_Kerja_Analisis!B252,Master_Sales!$A$1:$A$9,0))</f>
        <v>Bandung</v>
      </c>
      <c r="H252" s="10" t="str">
        <f>VLOOKUP(A252,Master_Produk!$A$1:$E$16,2,FALSE)</f>
        <v>Blender Multifungsi 2-in-1</v>
      </c>
      <c r="I252" s="10" t="str">
        <f>INDEX(Master_Produk!$C$1:$C$16,MATCH(Lembar_Kerja_Analisis!A252,Master_Produk!$A$1:$A$16,0))</f>
        <v>Peralatan Rumah</v>
      </c>
      <c r="J252" s="19">
        <f>_xlfn.XLOOKUP(A252,Master_Produk!$A$1:$A$16,Master_Produk!$D$1:$D$16,,0)</f>
        <v>340000</v>
      </c>
      <c r="K252" s="19">
        <f>INDEX(Master_Produk!$E$1:$E$16,MATCH(Lembar_Kerja_Analisis!A252,Master_Produk!$A$1:$A$16,0))</f>
        <v>240000</v>
      </c>
      <c r="L252" s="8">
        <v>6</v>
      </c>
      <c r="M252" s="19">
        <f t="shared" si="15"/>
        <v>2040000</v>
      </c>
      <c r="N252" s="9">
        <v>0.2</v>
      </c>
      <c r="O252" s="19">
        <f t="shared" si="16"/>
        <v>408000</v>
      </c>
      <c r="P252" s="19">
        <f t="shared" si="17"/>
        <v>1632000</v>
      </c>
      <c r="Q252" s="19">
        <f t="shared" si="18"/>
        <v>1440000</v>
      </c>
      <c r="R252" s="19">
        <f t="shared" si="19"/>
        <v>192000</v>
      </c>
    </row>
    <row r="253" spans="1:18" x14ac:dyDescent="0.25">
      <c r="A253" t="str">
        <f>_xlfn.XLOOKUP(C253,Raw_Data_Transaksi!$A$1:$A$1001,Raw_Data_Transaksi!$D$1:$D$1001,,0)</f>
        <v>PRD-109</v>
      </c>
      <c r="B253" t="str">
        <f>_xlfn.XLOOKUP(C253,Raw_Data_Transaksi!$A$1:$A$1001,Raw_Data_Transaksi!$C$1:$C$1001,,0)</f>
        <v>SLS-08</v>
      </c>
      <c r="C253" s="6" t="s">
        <v>337</v>
      </c>
      <c r="D253" s="7">
        <v>45913</v>
      </c>
      <c r="E253" s="10" t="str">
        <f>VLOOKUP(B253,Master_Sales!$A$1:$D$9,2,FALSE)</f>
        <v>Hendra Wijaya</v>
      </c>
      <c r="F253" s="10" t="str">
        <f>INDEX(Master_Sales!$D$1:$D$9,MATCH(Lembar_Kerja_Analisis!B253,Master_Sales!$A$1:$A$9,0))</f>
        <v>Tengah</v>
      </c>
      <c r="G253" s="10" t="str">
        <f>INDEX(Master_Sales!$C$1:$C$9,MATCH(Lembar_Kerja_Analisis!B253,Master_Sales!$A$1:$A$9,0))</f>
        <v>Yogyakarta</v>
      </c>
      <c r="H253" s="10" t="str">
        <f>VLOOKUP(A253,Master_Produk!$A$1:$E$16,2,FALSE)</f>
        <v>Kopi Arabika Gayo 250g</v>
      </c>
      <c r="I253" s="10" t="str">
        <f>INDEX(Master_Produk!$C$1:$C$16,MATCH(Lembar_Kerja_Analisis!A253,Master_Produk!$A$1:$A$16,0))</f>
        <v>F&amp;B</v>
      </c>
      <c r="J253" s="19">
        <f>_xlfn.XLOOKUP(A253,Master_Produk!$A$1:$A$16,Master_Produk!$D$1:$D$16,,0)</f>
        <v>85000</v>
      </c>
      <c r="K253" s="19">
        <f>INDEX(Master_Produk!$E$1:$E$16,MATCH(Lembar_Kerja_Analisis!A253,Master_Produk!$A$1:$A$16,0))</f>
        <v>55000</v>
      </c>
      <c r="L253" s="8">
        <v>12</v>
      </c>
      <c r="M253" s="19">
        <f t="shared" si="15"/>
        <v>1020000</v>
      </c>
      <c r="N253" s="9">
        <v>0.15</v>
      </c>
      <c r="O253" s="19">
        <f t="shared" si="16"/>
        <v>153000</v>
      </c>
      <c r="P253" s="19">
        <f t="shared" si="17"/>
        <v>867000</v>
      </c>
      <c r="Q253" s="19">
        <f t="shared" si="18"/>
        <v>660000</v>
      </c>
      <c r="R253" s="19">
        <f t="shared" si="19"/>
        <v>207000</v>
      </c>
    </row>
    <row r="254" spans="1:18" x14ac:dyDescent="0.25">
      <c r="A254" t="str">
        <f>_xlfn.XLOOKUP(C254,Raw_Data_Transaksi!$A$1:$A$1001,Raw_Data_Transaksi!$D$1:$D$1001,,0)</f>
        <v>PRD-108</v>
      </c>
      <c r="B254" t="str">
        <f>_xlfn.XLOOKUP(C254,Raw_Data_Transaksi!$A$1:$A$1001,Raw_Data_Transaksi!$C$1:$C$1001,,0)</f>
        <v>SLS-04</v>
      </c>
      <c r="C254" s="6" t="s">
        <v>338</v>
      </c>
      <c r="D254" s="7">
        <v>45916</v>
      </c>
      <c r="E254" s="10" t="str">
        <f>VLOOKUP(B254,Master_Sales!$A$1:$D$9,2,FALSE)</f>
        <v>Dewi Anggraini</v>
      </c>
      <c r="F254" s="10" t="str">
        <f>INDEX(Master_Sales!$D$1:$D$9,MATCH(Lembar_Kerja_Analisis!B254,Master_Sales!$A$1:$A$9,0))</f>
        <v>Barat</v>
      </c>
      <c r="G254" s="10" t="str">
        <f>INDEX(Master_Sales!$C$1:$C$9,MATCH(Lembar_Kerja_Analisis!B254,Master_Sales!$A$1:$A$9,0))</f>
        <v>Medan</v>
      </c>
      <c r="H254" s="10" t="str">
        <f>VLOOKUP(A254,Master_Produk!$A$1:$E$16,2,FALSE)</f>
        <v>Sepatu Sneakers Pria/Wanita</v>
      </c>
      <c r="I254" s="10" t="str">
        <f>INDEX(Master_Produk!$C$1:$C$16,MATCH(Lembar_Kerja_Analisis!A254,Master_Produk!$A$1:$A$16,0))</f>
        <v>Fashion</v>
      </c>
      <c r="J254" s="19">
        <f>_xlfn.XLOOKUP(A254,Master_Produk!$A$1:$A$16,Master_Produk!$D$1:$D$16,,0)</f>
        <v>450000</v>
      </c>
      <c r="K254" s="19">
        <f>INDEX(Master_Produk!$E$1:$E$16,MATCH(Lembar_Kerja_Analisis!A254,Master_Produk!$A$1:$A$16,0))</f>
        <v>290000</v>
      </c>
      <c r="L254" s="8">
        <v>4</v>
      </c>
      <c r="M254" s="19">
        <f t="shared" si="15"/>
        <v>1800000</v>
      </c>
      <c r="N254" s="9">
        <v>0.2</v>
      </c>
      <c r="O254" s="19">
        <f t="shared" si="16"/>
        <v>360000</v>
      </c>
      <c r="P254" s="19">
        <f t="shared" si="17"/>
        <v>1440000</v>
      </c>
      <c r="Q254" s="19">
        <f t="shared" si="18"/>
        <v>1160000</v>
      </c>
      <c r="R254" s="19">
        <f t="shared" si="19"/>
        <v>280000</v>
      </c>
    </row>
    <row r="255" spans="1:18" x14ac:dyDescent="0.25">
      <c r="A255" t="str">
        <f>_xlfn.XLOOKUP(C255,Raw_Data_Transaksi!$A$1:$A$1001,Raw_Data_Transaksi!$D$1:$D$1001,,0)</f>
        <v>PRD-108</v>
      </c>
      <c r="B255" t="str">
        <f>_xlfn.XLOOKUP(C255,Raw_Data_Transaksi!$A$1:$A$1001,Raw_Data_Transaksi!$C$1:$C$1001,,0)</f>
        <v>SLS-08</v>
      </c>
      <c r="C255" s="6" t="s">
        <v>339</v>
      </c>
      <c r="D255" s="7">
        <v>45802</v>
      </c>
      <c r="E255" s="10" t="str">
        <f>VLOOKUP(B255,Master_Sales!$A$1:$D$9,2,FALSE)</f>
        <v>Hendra Wijaya</v>
      </c>
      <c r="F255" s="10" t="str">
        <f>INDEX(Master_Sales!$D$1:$D$9,MATCH(Lembar_Kerja_Analisis!B255,Master_Sales!$A$1:$A$9,0))</f>
        <v>Tengah</v>
      </c>
      <c r="G255" s="10" t="str">
        <f>INDEX(Master_Sales!$C$1:$C$9,MATCH(Lembar_Kerja_Analisis!B255,Master_Sales!$A$1:$A$9,0))</f>
        <v>Yogyakarta</v>
      </c>
      <c r="H255" s="10" t="str">
        <f>VLOOKUP(A255,Master_Produk!$A$1:$E$16,2,FALSE)</f>
        <v>Sepatu Sneakers Pria/Wanita</v>
      </c>
      <c r="I255" s="10" t="str">
        <f>INDEX(Master_Produk!$C$1:$C$16,MATCH(Lembar_Kerja_Analisis!A255,Master_Produk!$A$1:$A$16,0))</f>
        <v>Fashion</v>
      </c>
      <c r="J255" s="19">
        <f>_xlfn.XLOOKUP(A255,Master_Produk!$A$1:$A$16,Master_Produk!$D$1:$D$16,,0)</f>
        <v>450000</v>
      </c>
      <c r="K255" s="19">
        <f>INDEX(Master_Produk!$E$1:$E$16,MATCH(Lembar_Kerja_Analisis!A255,Master_Produk!$A$1:$A$16,0))</f>
        <v>290000</v>
      </c>
      <c r="L255" s="8">
        <v>5</v>
      </c>
      <c r="M255" s="19">
        <f t="shared" si="15"/>
        <v>2250000</v>
      </c>
      <c r="N255" s="9">
        <v>0.2</v>
      </c>
      <c r="O255" s="19">
        <f t="shared" si="16"/>
        <v>450000</v>
      </c>
      <c r="P255" s="19">
        <f t="shared" si="17"/>
        <v>1800000</v>
      </c>
      <c r="Q255" s="19">
        <f t="shared" si="18"/>
        <v>1450000</v>
      </c>
      <c r="R255" s="19">
        <f t="shared" si="19"/>
        <v>350000</v>
      </c>
    </row>
    <row r="256" spans="1:18" x14ac:dyDescent="0.25">
      <c r="A256" t="str">
        <f>_xlfn.XLOOKUP(C256,Raw_Data_Transaksi!$A$1:$A$1001,Raw_Data_Transaksi!$D$1:$D$1001,,0)</f>
        <v>PRD-115</v>
      </c>
      <c r="B256" t="str">
        <f>_xlfn.XLOOKUP(C256,Raw_Data_Transaksi!$A$1:$A$1001,Raw_Data_Transaksi!$C$1:$C$1001,,0)</f>
        <v>SLS-05</v>
      </c>
      <c r="C256" s="6" t="s">
        <v>340</v>
      </c>
      <c r="D256" s="7">
        <v>45726</v>
      </c>
      <c r="E256" s="10" t="str">
        <f>VLOOKUP(B256,Master_Sales!$A$1:$D$9,2,FALSE)</f>
        <v>Eko Prasetyo</v>
      </c>
      <c r="F256" s="10" t="str">
        <f>INDEX(Master_Sales!$D$1:$D$9,MATCH(Lembar_Kerja_Analisis!B256,Master_Sales!$A$1:$A$9,0))</f>
        <v>Tengah</v>
      </c>
      <c r="G256" s="10" t="str">
        <f>INDEX(Master_Sales!$C$1:$C$9,MATCH(Lembar_Kerja_Analisis!B256,Master_Sales!$A$1:$A$9,0))</f>
        <v>Semarang</v>
      </c>
      <c r="H256" s="10" t="str">
        <f>VLOOKUP(A256,Master_Produk!$A$1:$E$16,2,FALSE)</f>
        <v>Set Pisau Dapur Stainless</v>
      </c>
      <c r="I256" s="10" t="str">
        <f>INDEX(Master_Produk!$C$1:$C$16,MATCH(Lembar_Kerja_Analisis!A256,Master_Produk!$A$1:$A$16,0))</f>
        <v>Peralatan Rumah</v>
      </c>
      <c r="J256" s="19">
        <f>_xlfn.XLOOKUP(A256,Master_Produk!$A$1:$A$16,Master_Produk!$D$1:$D$16,,0)</f>
        <v>165000</v>
      </c>
      <c r="K256" s="19">
        <f>INDEX(Master_Produk!$E$1:$E$16,MATCH(Lembar_Kerja_Analisis!A256,Master_Produk!$A$1:$A$16,0))</f>
        <v>105000</v>
      </c>
      <c r="L256" s="8">
        <v>12</v>
      </c>
      <c r="M256" s="19">
        <f t="shared" si="15"/>
        <v>1980000</v>
      </c>
      <c r="N256" s="9">
        <v>0.1</v>
      </c>
      <c r="O256" s="19">
        <f t="shared" si="16"/>
        <v>198000</v>
      </c>
      <c r="P256" s="19">
        <f t="shared" si="17"/>
        <v>1782000</v>
      </c>
      <c r="Q256" s="19">
        <f t="shared" si="18"/>
        <v>1260000</v>
      </c>
      <c r="R256" s="19">
        <f t="shared" si="19"/>
        <v>522000</v>
      </c>
    </row>
    <row r="257" spans="1:18" x14ac:dyDescent="0.25">
      <c r="A257" t="str">
        <f>_xlfn.XLOOKUP(C257,Raw_Data_Transaksi!$A$1:$A$1001,Raw_Data_Transaksi!$D$1:$D$1001,,0)</f>
        <v>PRD-101</v>
      </c>
      <c r="B257" t="str">
        <f>_xlfn.XLOOKUP(C257,Raw_Data_Transaksi!$A$1:$A$1001,Raw_Data_Transaksi!$C$1:$C$1001,,0)</f>
        <v>SLS-04</v>
      </c>
      <c r="C257" s="6" t="s">
        <v>341</v>
      </c>
      <c r="D257" s="7">
        <v>45863</v>
      </c>
      <c r="E257" s="10" t="str">
        <f>VLOOKUP(B257,Master_Sales!$A$1:$D$9,2,FALSE)</f>
        <v>Dewi Anggraini</v>
      </c>
      <c r="F257" s="10" t="str">
        <f>INDEX(Master_Sales!$D$1:$D$9,MATCH(Lembar_Kerja_Analisis!B257,Master_Sales!$A$1:$A$9,0))</f>
        <v>Barat</v>
      </c>
      <c r="G257" s="10" t="str">
        <f>INDEX(Master_Sales!$C$1:$C$9,MATCH(Lembar_Kerja_Analisis!B257,Master_Sales!$A$1:$A$9,0))</f>
        <v>Medan</v>
      </c>
      <c r="H257" s="10" t="str">
        <f>VLOOKUP(A257,Master_Produk!$A$1:$E$16,2,FALSE)</f>
        <v>Laptop Ultrabook 14"</v>
      </c>
      <c r="I257" s="10" t="str">
        <f>INDEX(Master_Produk!$C$1:$C$16,MATCH(Lembar_Kerja_Analisis!A257,Master_Produk!$A$1:$A$16,0))</f>
        <v>Elektronik</v>
      </c>
      <c r="J257" s="19">
        <f>_xlfn.XLOOKUP(A257,Master_Produk!$A$1:$A$16,Master_Produk!$D$1:$D$16,,0)</f>
        <v>8500000</v>
      </c>
      <c r="K257" s="19">
        <f>INDEX(Master_Produk!$E$1:$E$16,MATCH(Lembar_Kerja_Analisis!A257,Master_Produk!$A$1:$A$16,0))</f>
        <v>7200000</v>
      </c>
      <c r="L257" s="8">
        <v>6</v>
      </c>
      <c r="M257" s="19">
        <f t="shared" si="15"/>
        <v>51000000</v>
      </c>
      <c r="N257" s="9">
        <v>0.2</v>
      </c>
      <c r="O257" s="19">
        <f t="shared" si="16"/>
        <v>10200000</v>
      </c>
      <c r="P257" s="19">
        <f t="shared" si="17"/>
        <v>40800000</v>
      </c>
      <c r="Q257" s="19">
        <f t="shared" si="18"/>
        <v>43200000</v>
      </c>
      <c r="R257" s="19">
        <f t="shared" si="19"/>
        <v>-2400000</v>
      </c>
    </row>
    <row r="258" spans="1:18" x14ac:dyDescent="0.25">
      <c r="A258" t="str">
        <f>_xlfn.XLOOKUP(C258,Raw_Data_Transaksi!$A$1:$A$1001,Raw_Data_Transaksi!$D$1:$D$1001,,0)</f>
        <v>PRD-108</v>
      </c>
      <c r="B258" t="str">
        <f>_xlfn.XLOOKUP(C258,Raw_Data_Transaksi!$A$1:$A$1001,Raw_Data_Transaksi!$C$1:$C$1001,,0)</f>
        <v>SLS-05</v>
      </c>
      <c r="C258" s="6" t="s">
        <v>342</v>
      </c>
      <c r="D258" s="7">
        <v>45916</v>
      </c>
      <c r="E258" s="10" t="str">
        <f>VLOOKUP(B258,Master_Sales!$A$1:$D$9,2,FALSE)</f>
        <v>Eko Prasetyo</v>
      </c>
      <c r="F258" s="10" t="str">
        <f>INDEX(Master_Sales!$D$1:$D$9,MATCH(Lembar_Kerja_Analisis!B258,Master_Sales!$A$1:$A$9,0))</f>
        <v>Tengah</v>
      </c>
      <c r="G258" s="10" t="str">
        <f>INDEX(Master_Sales!$C$1:$C$9,MATCH(Lembar_Kerja_Analisis!B258,Master_Sales!$A$1:$A$9,0))</f>
        <v>Semarang</v>
      </c>
      <c r="H258" s="10" t="str">
        <f>VLOOKUP(A258,Master_Produk!$A$1:$E$16,2,FALSE)</f>
        <v>Sepatu Sneakers Pria/Wanita</v>
      </c>
      <c r="I258" s="10" t="str">
        <f>INDEX(Master_Produk!$C$1:$C$16,MATCH(Lembar_Kerja_Analisis!A258,Master_Produk!$A$1:$A$16,0))</f>
        <v>Fashion</v>
      </c>
      <c r="J258" s="19">
        <f>_xlfn.XLOOKUP(A258,Master_Produk!$A$1:$A$16,Master_Produk!$D$1:$D$16,,0)</f>
        <v>450000</v>
      </c>
      <c r="K258" s="19">
        <f>INDEX(Master_Produk!$E$1:$E$16,MATCH(Lembar_Kerja_Analisis!A258,Master_Produk!$A$1:$A$16,0))</f>
        <v>290000</v>
      </c>
      <c r="L258" s="8">
        <v>10</v>
      </c>
      <c r="M258" s="19">
        <f t="shared" si="15"/>
        <v>4500000</v>
      </c>
      <c r="N258" s="9">
        <v>0.2</v>
      </c>
      <c r="O258" s="19">
        <f t="shared" si="16"/>
        <v>900000</v>
      </c>
      <c r="P258" s="19">
        <f t="shared" si="17"/>
        <v>3600000</v>
      </c>
      <c r="Q258" s="19">
        <f t="shared" si="18"/>
        <v>2900000</v>
      </c>
      <c r="R258" s="19">
        <f t="shared" si="19"/>
        <v>700000</v>
      </c>
    </row>
    <row r="259" spans="1:18" x14ac:dyDescent="0.25">
      <c r="A259" t="str">
        <f>_xlfn.XLOOKUP(C259,Raw_Data_Transaksi!$A$1:$A$1001,Raw_Data_Transaksi!$D$1:$D$1001,,0)</f>
        <v>PRD-106</v>
      </c>
      <c r="B259" t="str">
        <f>_xlfn.XLOOKUP(C259,Raw_Data_Transaksi!$A$1:$A$1001,Raw_Data_Transaksi!$C$1:$C$1001,,0)</f>
        <v>SLS-06</v>
      </c>
      <c r="C259" s="6" t="s">
        <v>343</v>
      </c>
      <c r="D259" s="7">
        <v>45859</v>
      </c>
      <c r="E259" s="10" t="str">
        <f>VLOOKUP(B259,Master_Sales!$A$1:$D$9,2,FALSE)</f>
        <v>Fajar Nugraha</v>
      </c>
      <c r="F259" s="10" t="str">
        <f>INDEX(Master_Sales!$D$1:$D$9,MATCH(Lembar_Kerja_Analisis!B259,Master_Sales!$A$1:$A$9,0))</f>
        <v>Timur</v>
      </c>
      <c r="G259" s="10" t="str">
        <f>INDEX(Master_Sales!$C$1:$C$9,MATCH(Lembar_Kerja_Analisis!B259,Master_Sales!$A$1:$A$9,0))</f>
        <v>Makassar</v>
      </c>
      <c r="H259" s="10" t="str">
        <f>VLOOKUP(A259,Master_Produk!$A$1:$E$16,2,FALSE)</f>
        <v>Celana Chino Slim Fit</v>
      </c>
      <c r="I259" s="10" t="str">
        <f>INDEX(Master_Produk!$C$1:$C$16,MATCH(Lembar_Kerja_Analisis!A259,Master_Produk!$A$1:$A$16,0))</f>
        <v>Fashion</v>
      </c>
      <c r="J259" s="19">
        <f>_xlfn.XLOOKUP(A259,Master_Produk!$A$1:$A$16,Master_Produk!$D$1:$D$16,,0)</f>
        <v>280000</v>
      </c>
      <c r="K259" s="19">
        <f>INDEX(Master_Produk!$E$1:$E$16,MATCH(Lembar_Kerja_Analisis!A259,Master_Produk!$A$1:$A$16,0))</f>
        <v>175000</v>
      </c>
      <c r="L259" s="8">
        <v>9</v>
      </c>
      <c r="M259" s="19">
        <f t="shared" ref="M259:M322" si="20">L259*J259</f>
        <v>2520000</v>
      </c>
      <c r="N259" s="9">
        <v>0.1</v>
      </c>
      <c r="O259" s="19">
        <f t="shared" ref="O259:O322" si="21">M259*N259</f>
        <v>252000</v>
      </c>
      <c r="P259" s="19">
        <f t="shared" ref="P259:P322" si="22">M259-O259</f>
        <v>2268000</v>
      </c>
      <c r="Q259" s="19">
        <f t="shared" ref="Q259:Q322" si="23">L259*K259</f>
        <v>1575000</v>
      </c>
      <c r="R259" s="19">
        <f t="shared" ref="R259:R322" si="24">P259-Q259</f>
        <v>693000</v>
      </c>
    </row>
    <row r="260" spans="1:18" x14ac:dyDescent="0.25">
      <c r="A260" t="str">
        <f>_xlfn.XLOOKUP(C260,Raw_Data_Transaksi!$A$1:$A$1001,Raw_Data_Transaksi!$D$1:$D$1001,,0)</f>
        <v>PRD-101</v>
      </c>
      <c r="B260" t="str">
        <f>_xlfn.XLOOKUP(C260,Raw_Data_Transaksi!$A$1:$A$1001,Raw_Data_Transaksi!$C$1:$C$1001,,0)</f>
        <v>SLS-01</v>
      </c>
      <c r="C260" s="6" t="s">
        <v>344</v>
      </c>
      <c r="D260" s="7">
        <v>45914</v>
      </c>
      <c r="E260" s="10" t="str">
        <f>VLOOKUP(B260,Master_Sales!$A$1:$D$9,2,FALSE)</f>
        <v>Andi Pratama</v>
      </c>
      <c r="F260" s="10" t="str">
        <f>INDEX(Master_Sales!$D$1:$D$9,MATCH(Lembar_Kerja_Analisis!B260,Master_Sales!$A$1:$A$9,0))</f>
        <v>Barat</v>
      </c>
      <c r="G260" s="10" t="str">
        <f>INDEX(Master_Sales!$C$1:$C$9,MATCH(Lembar_Kerja_Analisis!B260,Master_Sales!$A$1:$A$9,0))</f>
        <v>Jakarta</v>
      </c>
      <c r="H260" s="10" t="str">
        <f>VLOOKUP(A260,Master_Produk!$A$1:$E$16,2,FALSE)</f>
        <v>Laptop Ultrabook 14"</v>
      </c>
      <c r="I260" s="10" t="str">
        <f>INDEX(Master_Produk!$C$1:$C$16,MATCH(Lembar_Kerja_Analisis!A260,Master_Produk!$A$1:$A$16,0))</f>
        <v>Elektronik</v>
      </c>
      <c r="J260" s="19">
        <f>_xlfn.XLOOKUP(A260,Master_Produk!$A$1:$A$16,Master_Produk!$D$1:$D$16,,0)</f>
        <v>8500000</v>
      </c>
      <c r="K260" s="19">
        <f>INDEX(Master_Produk!$E$1:$E$16,MATCH(Lembar_Kerja_Analisis!A260,Master_Produk!$A$1:$A$16,0))</f>
        <v>7200000</v>
      </c>
      <c r="L260" s="8">
        <v>1</v>
      </c>
      <c r="M260" s="19">
        <f t="shared" si="20"/>
        <v>8500000</v>
      </c>
      <c r="N260" s="9">
        <v>0.05</v>
      </c>
      <c r="O260" s="19">
        <f t="shared" si="21"/>
        <v>425000</v>
      </c>
      <c r="P260" s="19">
        <f t="shared" si="22"/>
        <v>8075000</v>
      </c>
      <c r="Q260" s="19">
        <f t="shared" si="23"/>
        <v>7200000</v>
      </c>
      <c r="R260" s="19">
        <f t="shared" si="24"/>
        <v>875000</v>
      </c>
    </row>
    <row r="261" spans="1:18" x14ac:dyDescent="0.25">
      <c r="A261" t="str">
        <f>_xlfn.XLOOKUP(C261,Raw_Data_Transaksi!$A$1:$A$1001,Raw_Data_Transaksi!$D$1:$D$1001,,0)</f>
        <v>PRD-110</v>
      </c>
      <c r="B261" t="str">
        <f>_xlfn.XLOOKUP(C261,Raw_Data_Transaksi!$A$1:$A$1001,Raw_Data_Transaksi!$C$1:$C$1001,,0)</f>
        <v>SLS-03</v>
      </c>
      <c r="C261" s="6" t="s">
        <v>345</v>
      </c>
      <c r="D261" s="7">
        <v>45734</v>
      </c>
      <c r="E261" s="10" t="str">
        <f>VLOOKUP(B261,Master_Sales!$A$1:$D$9,2,FALSE)</f>
        <v>Citra Lestari</v>
      </c>
      <c r="F261" s="10" t="str">
        <f>INDEX(Master_Sales!$D$1:$D$9,MATCH(Lembar_Kerja_Analisis!B261,Master_Sales!$A$1:$A$9,0))</f>
        <v>Barat</v>
      </c>
      <c r="G261" s="10" t="str">
        <f>INDEX(Master_Sales!$C$1:$C$9,MATCH(Lembar_Kerja_Analisis!B261,Master_Sales!$A$1:$A$9,0))</f>
        <v>Bandung</v>
      </c>
      <c r="H261" s="10" t="str">
        <f>VLOOKUP(A261,Master_Produk!$A$1:$E$16,2,FALSE)</f>
        <v>Minyak Goreng Sawit 2L</v>
      </c>
      <c r="I261" s="10" t="str">
        <f>INDEX(Master_Produk!$C$1:$C$16,MATCH(Lembar_Kerja_Analisis!A261,Master_Produk!$A$1:$A$16,0))</f>
        <v>F&amp;B</v>
      </c>
      <c r="J261" s="19">
        <f>_xlfn.XLOOKUP(A261,Master_Produk!$A$1:$A$16,Master_Produk!$D$1:$D$16,,0)</f>
        <v>36000</v>
      </c>
      <c r="K261" s="19">
        <f>INDEX(Master_Produk!$E$1:$E$16,MATCH(Lembar_Kerja_Analisis!A261,Master_Produk!$A$1:$A$16,0))</f>
        <v>31000</v>
      </c>
      <c r="L261" s="8">
        <v>22</v>
      </c>
      <c r="M261" s="19">
        <f t="shared" si="20"/>
        <v>792000</v>
      </c>
      <c r="N261" s="9">
        <v>0.1</v>
      </c>
      <c r="O261" s="19">
        <f t="shared" si="21"/>
        <v>79200</v>
      </c>
      <c r="P261" s="19">
        <f t="shared" si="22"/>
        <v>712800</v>
      </c>
      <c r="Q261" s="19">
        <f t="shared" si="23"/>
        <v>682000</v>
      </c>
      <c r="R261" s="19">
        <f t="shared" si="24"/>
        <v>30800</v>
      </c>
    </row>
    <row r="262" spans="1:18" x14ac:dyDescent="0.25">
      <c r="A262" t="str">
        <f>_xlfn.XLOOKUP(C262,Raw_Data_Transaksi!$A$1:$A$1001,Raw_Data_Transaksi!$D$1:$D$1001,,0)</f>
        <v>PRD-106</v>
      </c>
      <c r="B262" t="str">
        <f>_xlfn.XLOOKUP(C262,Raw_Data_Transaksi!$A$1:$A$1001,Raw_Data_Transaksi!$C$1:$C$1001,,0)</f>
        <v>SLS-08</v>
      </c>
      <c r="C262" s="6" t="s">
        <v>346</v>
      </c>
      <c r="D262" s="7">
        <v>45961</v>
      </c>
      <c r="E262" s="10" t="str">
        <f>VLOOKUP(B262,Master_Sales!$A$1:$D$9,2,FALSE)</f>
        <v>Hendra Wijaya</v>
      </c>
      <c r="F262" s="10" t="str">
        <f>INDEX(Master_Sales!$D$1:$D$9,MATCH(Lembar_Kerja_Analisis!B262,Master_Sales!$A$1:$A$9,0))</f>
        <v>Tengah</v>
      </c>
      <c r="G262" s="10" t="str">
        <f>INDEX(Master_Sales!$C$1:$C$9,MATCH(Lembar_Kerja_Analisis!B262,Master_Sales!$A$1:$A$9,0))</f>
        <v>Yogyakarta</v>
      </c>
      <c r="H262" s="10" t="str">
        <f>VLOOKUP(A262,Master_Produk!$A$1:$E$16,2,FALSE)</f>
        <v>Celana Chino Slim Fit</v>
      </c>
      <c r="I262" s="10" t="str">
        <f>INDEX(Master_Produk!$C$1:$C$16,MATCH(Lembar_Kerja_Analisis!A262,Master_Produk!$A$1:$A$16,0))</f>
        <v>Fashion</v>
      </c>
      <c r="J262" s="19">
        <f>_xlfn.XLOOKUP(A262,Master_Produk!$A$1:$A$16,Master_Produk!$D$1:$D$16,,0)</f>
        <v>280000</v>
      </c>
      <c r="K262" s="19">
        <f>INDEX(Master_Produk!$E$1:$E$16,MATCH(Lembar_Kerja_Analisis!A262,Master_Produk!$A$1:$A$16,0))</f>
        <v>175000</v>
      </c>
      <c r="L262" s="8">
        <v>12</v>
      </c>
      <c r="M262" s="19">
        <f t="shared" si="20"/>
        <v>3360000</v>
      </c>
      <c r="N262" s="9">
        <v>0.2</v>
      </c>
      <c r="O262" s="19">
        <f t="shared" si="21"/>
        <v>672000</v>
      </c>
      <c r="P262" s="19">
        <f t="shared" si="22"/>
        <v>2688000</v>
      </c>
      <c r="Q262" s="19">
        <f t="shared" si="23"/>
        <v>2100000</v>
      </c>
      <c r="R262" s="19">
        <f t="shared" si="24"/>
        <v>588000</v>
      </c>
    </row>
    <row r="263" spans="1:18" x14ac:dyDescent="0.25">
      <c r="A263" t="str">
        <f>_xlfn.XLOOKUP(C263,Raw_Data_Transaksi!$A$1:$A$1001,Raw_Data_Transaksi!$D$1:$D$1001,,0)</f>
        <v>PRD-106</v>
      </c>
      <c r="B263" t="str">
        <f>_xlfn.XLOOKUP(C263,Raw_Data_Transaksi!$A$1:$A$1001,Raw_Data_Transaksi!$C$1:$C$1001,,0)</f>
        <v>SLS-02</v>
      </c>
      <c r="C263" s="6" t="s">
        <v>347</v>
      </c>
      <c r="D263" s="7">
        <v>45846</v>
      </c>
      <c r="E263" s="10" t="str">
        <f>VLOOKUP(B263,Master_Sales!$A$1:$D$9,2,FALSE)</f>
        <v>Budi Santoso</v>
      </c>
      <c r="F263" s="10" t="str">
        <f>INDEX(Master_Sales!$D$1:$D$9,MATCH(Lembar_Kerja_Analisis!B263,Master_Sales!$A$1:$A$9,0))</f>
        <v>Timur</v>
      </c>
      <c r="G263" s="10" t="str">
        <f>INDEX(Master_Sales!$C$1:$C$9,MATCH(Lembar_Kerja_Analisis!B263,Master_Sales!$A$1:$A$9,0))</f>
        <v>Surabaya</v>
      </c>
      <c r="H263" s="10" t="str">
        <f>VLOOKUP(A263,Master_Produk!$A$1:$E$16,2,FALSE)</f>
        <v>Celana Chino Slim Fit</v>
      </c>
      <c r="I263" s="10" t="str">
        <f>INDEX(Master_Produk!$C$1:$C$16,MATCH(Lembar_Kerja_Analisis!A263,Master_Produk!$A$1:$A$16,0))</f>
        <v>Fashion</v>
      </c>
      <c r="J263" s="19">
        <f>_xlfn.XLOOKUP(A263,Master_Produk!$A$1:$A$16,Master_Produk!$D$1:$D$16,,0)</f>
        <v>280000</v>
      </c>
      <c r="K263" s="19">
        <f>INDEX(Master_Produk!$E$1:$E$16,MATCH(Lembar_Kerja_Analisis!A263,Master_Produk!$A$1:$A$16,0))</f>
        <v>175000</v>
      </c>
      <c r="L263" s="8">
        <v>7</v>
      </c>
      <c r="M263" s="19">
        <f t="shared" si="20"/>
        <v>1960000</v>
      </c>
      <c r="N263" s="9">
        <v>0.2</v>
      </c>
      <c r="O263" s="19">
        <f t="shared" si="21"/>
        <v>392000</v>
      </c>
      <c r="P263" s="19">
        <f t="shared" si="22"/>
        <v>1568000</v>
      </c>
      <c r="Q263" s="19">
        <f t="shared" si="23"/>
        <v>1225000</v>
      </c>
      <c r="R263" s="19">
        <f t="shared" si="24"/>
        <v>343000</v>
      </c>
    </row>
    <row r="264" spans="1:18" x14ac:dyDescent="0.25">
      <c r="A264" t="str">
        <f>_xlfn.XLOOKUP(C264,Raw_Data_Transaksi!$A$1:$A$1001,Raw_Data_Transaksi!$D$1:$D$1001,,0)</f>
        <v>PRD-108</v>
      </c>
      <c r="B264" t="str">
        <f>_xlfn.XLOOKUP(C264,Raw_Data_Transaksi!$A$1:$A$1001,Raw_Data_Transaksi!$C$1:$C$1001,,0)</f>
        <v>SLS-05</v>
      </c>
      <c r="C264" s="6" t="s">
        <v>348</v>
      </c>
      <c r="D264" s="7">
        <v>45963</v>
      </c>
      <c r="E264" s="10" t="str">
        <f>VLOOKUP(B264,Master_Sales!$A$1:$D$9,2,FALSE)</f>
        <v>Eko Prasetyo</v>
      </c>
      <c r="F264" s="10" t="str">
        <f>INDEX(Master_Sales!$D$1:$D$9,MATCH(Lembar_Kerja_Analisis!B264,Master_Sales!$A$1:$A$9,0))</f>
        <v>Tengah</v>
      </c>
      <c r="G264" s="10" t="str">
        <f>INDEX(Master_Sales!$C$1:$C$9,MATCH(Lembar_Kerja_Analisis!B264,Master_Sales!$A$1:$A$9,0))</f>
        <v>Semarang</v>
      </c>
      <c r="H264" s="10" t="str">
        <f>VLOOKUP(A264,Master_Produk!$A$1:$E$16,2,FALSE)</f>
        <v>Sepatu Sneakers Pria/Wanita</v>
      </c>
      <c r="I264" s="10" t="str">
        <f>INDEX(Master_Produk!$C$1:$C$16,MATCH(Lembar_Kerja_Analisis!A264,Master_Produk!$A$1:$A$16,0))</f>
        <v>Fashion</v>
      </c>
      <c r="J264" s="19">
        <f>_xlfn.XLOOKUP(A264,Master_Produk!$A$1:$A$16,Master_Produk!$D$1:$D$16,,0)</f>
        <v>450000</v>
      </c>
      <c r="K264" s="19">
        <f>INDEX(Master_Produk!$E$1:$E$16,MATCH(Lembar_Kerja_Analisis!A264,Master_Produk!$A$1:$A$16,0))</f>
        <v>290000</v>
      </c>
      <c r="L264" s="8">
        <v>11</v>
      </c>
      <c r="M264" s="19">
        <f t="shared" si="20"/>
        <v>4950000</v>
      </c>
      <c r="N264" s="9">
        <v>0.2</v>
      </c>
      <c r="O264" s="19">
        <f t="shared" si="21"/>
        <v>990000</v>
      </c>
      <c r="P264" s="19">
        <f t="shared" si="22"/>
        <v>3960000</v>
      </c>
      <c r="Q264" s="19">
        <f t="shared" si="23"/>
        <v>3190000</v>
      </c>
      <c r="R264" s="19">
        <f t="shared" si="24"/>
        <v>770000</v>
      </c>
    </row>
    <row r="265" spans="1:18" x14ac:dyDescent="0.25">
      <c r="A265" t="str">
        <f>_xlfn.XLOOKUP(C265,Raw_Data_Transaksi!$A$1:$A$1001,Raw_Data_Transaksi!$D$1:$D$1001,,0)</f>
        <v>PRD-108</v>
      </c>
      <c r="B265" t="str">
        <f>_xlfn.XLOOKUP(C265,Raw_Data_Transaksi!$A$1:$A$1001,Raw_Data_Transaksi!$C$1:$C$1001,,0)</f>
        <v>SLS-03</v>
      </c>
      <c r="C265" s="6" t="s">
        <v>349</v>
      </c>
      <c r="D265" s="7">
        <v>45956</v>
      </c>
      <c r="E265" s="10" t="str">
        <f>VLOOKUP(B265,Master_Sales!$A$1:$D$9,2,FALSE)</f>
        <v>Citra Lestari</v>
      </c>
      <c r="F265" s="10" t="str">
        <f>INDEX(Master_Sales!$D$1:$D$9,MATCH(Lembar_Kerja_Analisis!B265,Master_Sales!$A$1:$A$9,0))</f>
        <v>Barat</v>
      </c>
      <c r="G265" s="10" t="str">
        <f>INDEX(Master_Sales!$C$1:$C$9,MATCH(Lembar_Kerja_Analisis!B265,Master_Sales!$A$1:$A$9,0))</f>
        <v>Bandung</v>
      </c>
      <c r="H265" s="10" t="str">
        <f>VLOOKUP(A265,Master_Produk!$A$1:$E$16,2,FALSE)</f>
        <v>Sepatu Sneakers Pria/Wanita</v>
      </c>
      <c r="I265" s="10" t="str">
        <f>INDEX(Master_Produk!$C$1:$C$16,MATCH(Lembar_Kerja_Analisis!A265,Master_Produk!$A$1:$A$16,0))</f>
        <v>Fashion</v>
      </c>
      <c r="J265" s="19">
        <f>_xlfn.XLOOKUP(A265,Master_Produk!$A$1:$A$16,Master_Produk!$D$1:$D$16,,0)</f>
        <v>450000</v>
      </c>
      <c r="K265" s="19">
        <f>INDEX(Master_Produk!$E$1:$E$16,MATCH(Lembar_Kerja_Analisis!A265,Master_Produk!$A$1:$A$16,0))</f>
        <v>290000</v>
      </c>
      <c r="L265" s="8">
        <v>9</v>
      </c>
      <c r="M265" s="19">
        <f t="shared" si="20"/>
        <v>4050000</v>
      </c>
      <c r="N265" s="9">
        <v>0.2</v>
      </c>
      <c r="O265" s="19">
        <f t="shared" si="21"/>
        <v>810000</v>
      </c>
      <c r="P265" s="19">
        <f t="shared" si="22"/>
        <v>3240000</v>
      </c>
      <c r="Q265" s="19">
        <f t="shared" si="23"/>
        <v>2610000</v>
      </c>
      <c r="R265" s="19">
        <f t="shared" si="24"/>
        <v>630000</v>
      </c>
    </row>
    <row r="266" spans="1:18" x14ac:dyDescent="0.25">
      <c r="A266" t="str">
        <f>_xlfn.XLOOKUP(C266,Raw_Data_Transaksi!$A$1:$A$1001,Raw_Data_Transaksi!$D$1:$D$1001,,0)</f>
        <v>PRD-110</v>
      </c>
      <c r="B266" t="str">
        <f>_xlfn.XLOOKUP(C266,Raw_Data_Transaksi!$A$1:$A$1001,Raw_Data_Transaksi!$C$1:$C$1001,,0)</f>
        <v>SLS-02</v>
      </c>
      <c r="C266" s="6" t="s">
        <v>350</v>
      </c>
      <c r="D266" s="7">
        <v>45674</v>
      </c>
      <c r="E266" s="10" t="str">
        <f>VLOOKUP(B266,Master_Sales!$A$1:$D$9,2,FALSE)</f>
        <v>Budi Santoso</v>
      </c>
      <c r="F266" s="10" t="str">
        <f>INDEX(Master_Sales!$D$1:$D$9,MATCH(Lembar_Kerja_Analisis!B266,Master_Sales!$A$1:$A$9,0))</f>
        <v>Timur</v>
      </c>
      <c r="G266" s="10" t="str">
        <f>INDEX(Master_Sales!$C$1:$C$9,MATCH(Lembar_Kerja_Analisis!B266,Master_Sales!$A$1:$A$9,0))</f>
        <v>Surabaya</v>
      </c>
      <c r="H266" s="10" t="str">
        <f>VLOOKUP(A266,Master_Produk!$A$1:$E$16,2,FALSE)</f>
        <v>Minyak Goreng Sawit 2L</v>
      </c>
      <c r="I266" s="10" t="str">
        <f>INDEX(Master_Produk!$C$1:$C$16,MATCH(Lembar_Kerja_Analisis!A266,Master_Produk!$A$1:$A$16,0))</f>
        <v>F&amp;B</v>
      </c>
      <c r="J266" s="19">
        <f>_xlfn.XLOOKUP(A266,Master_Produk!$A$1:$A$16,Master_Produk!$D$1:$D$16,,0)</f>
        <v>36000</v>
      </c>
      <c r="K266" s="19">
        <f>INDEX(Master_Produk!$E$1:$E$16,MATCH(Lembar_Kerja_Analisis!A266,Master_Produk!$A$1:$A$16,0))</f>
        <v>31000</v>
      </c>
      <c r="L266" s="8">
        <v>3</v>
      </c>
      <c r="M266" s="19">
        <f t="shared" si="20"/>
        <v>108000</v>
      </c>
      <c r="N266" s="9">
        <v>0.15</v>
      </c>
      <c r="O266" s="19">
        <f t="shared" si="21"/>
        <v>16200</v>
      </c>
      <c r="P266" s="19">
        <f t="shared" si="22"/>
        <v>91800</v>
      </c>
      <c r="Q266" s="19">
        <f t="shared" si="23"/>
        <v>93000</v>
      </c>
      <c r="R266" s="19">
        <f t="shared" si="24"/>
        <v>-1200</v>
      </c>
    </row>
    <row r="267" spans="1:18" x14ac:dyDescent="0.25">
      <c r="A267" t="str">
        <f>_xlfn.XLOOKUP(C267,Raw_Data_Transaksi!$A$1:$A$1001,Raw_Data_Transaksi!$D$1:$D$1001,,0)</f>
        <v>PRD-112</v>
      </c>
      <c r="B267" t="str">
        <f>_xlfn.XLOOKUP(C267,Raw_Data_Transaksi!$A$1:$A$1001,Raw_Data_Transaksi!$C$1:$C$1001,,0)</f>
        <v>SLS-04</v>
      </c>
      <c r="C267" s="6" t="s">
        <v>351</v>
      </c>
      <c r="D267" s="7">
        <v>45869</v>
      </c>
      <c r="E267" s="10" t="str">
        <f>VLOOKUP(B267,Master_Sales!$A$1:$D$9,2,FALSE)</f>
        <v>Dewi Anggraini</v>
      </c>
      <c r="F267" s="10" t="str">
        <f>INDEX(Master_Sales!$D$1:$D$9,MATCH(Lembar_Kerja_Analisis!B267,Master_Sales!$A$1:$A$9,0))</f>
        <v>Barat</v>
      </c>
      <c r="G267" s="10" t="str">
        <f>INDEX(Master_Sales!$C$1:$C$9,MATCH(Lembar_Kerja_Analisis!B267,Master_Sales!$A$1:$A$9,0))</f>
        <v>Medan</v>
      </c>
      <c r="H267" s="10" t="str">
        <f>VLOOKUP(A267,Master_Produk!$A$1:$E$16,2,FALSE)</f>
        <v>Susu UHT Full Cream 1L</v>
      </c>
      <c r="I267" s="10" t="str">
        <f>INDEX(Master_Produk!$C$1:$C$16,MATCH(Lembar_Kerja_Analisis!A267,Master_Produk!$A$1:$A$16,0))</f>
        <v>F&amp;B</v>
      </c>
      <c r="J267" s="19">
        <f>_xlfn.XLOOKUP(A267,Master_Produk!$A$1:$A$16,Master_Produk!$D$1:$D$16,,0)</f>
        <v>22000</v>
      </c>
      <c r="K267" s="19">
        <f>INDEX(Master_Produk!$E$1:$E$16,MATCH(Lembar_Kerja_Analisis!A267,Master_Produk!$A$1:$A$16,0))</f>
        <v>18000</v>
      </c>
      <c r="L267" s="8">
        <v>19</v>
      </c>
      <c r="M267" s="19">
        <f t="shared" si="20"/>
        <v>418000</v>
      </c>
      <c r="N267" s="9">
        <v>0.2</v>
      </c>
      <c r="O267" s="19">
        <f t="shared" si="21"/>
        <v>83600</v>
      </c>
      <c r="P267" s="19">
        <f t="shared" si="22"/>
        <v>334400</v>
      </c>
      <c r="Q267" s="19">
        <f t="shared" si="23"/>
        <v>342000</v>
      </c>
      <c r="R267" s="19">
        <f t="shared" si="24"/>
        <v>-7600</v>
      </c>
    </row>
    <row r="268" spans="1:18" x14ac:dyDescent="0.25">
      <c r="A268" t="str">
        <f>_xlfn.XLOOKUP(C268,Raw_Data_Transaksi!$A$1:$A$1001,Raw_Data_Transaksi!$D$1:$D$1001,,0)</f>
        <v>PRD-103</v>
      </c>
      <c r="B268" t="str">
        <f>_xlfn.XLOOKUP(C268,Raw_Data_Transaksi!$A$1:$A$1001,Raw_Data_Transaksi!$C$1:$C$1001,,0)</f>
        <v>SLS-04</v>
      </c>
      <c r="C268" s="6" t="s">
        <v>352</v>
      </c>
      <c r="D268" s="7">
        <v>46019</v>
      </c>
      <c r="E268" s="10" t="str">
        <f>VLOOKUP(B268,Master_Sales!$A$1:$D$9,2,FALSE)</f>
        <v>Dewi Anggraini</v>
      </c>
      <c r="F268" s="10" t="str">
        <f>INDEX(Master_Sales!$D$1:$D$9,MATCH(Lembar_Kerja_Analisis!B268,Master_Sales!$A$1:$A$9,0))</f>
        <v>Barat</v>
      </c>
      <c r="G268" s="10" t="str">
        <f>INDEX(Master_Sales!$C$1:$C$9,MATCH(Lembar_Kerja_Analisis!B268,Master_Sales!$A$1:$A$9,0))</f>
        <v>Medan</v>
      </c>
      <c r="H268" s="10" t="str">
        <f>VLOOKUP(A268,Master_Produk!$A$1:$E$16,2,FALSE)</f>
        <v>Mechanical Keyboard RGB</v>
      </c>
      <c r="I268" s="10" t="str">
        <f>INDEX(Master_Produk!$C$1:$C$16,MATCH(Lembar_Kerja_Analisis!A268,Master_Produk!$A$1:$A$16,0))</f>
        <v>Elektronik</v>
      </c>
      <c r="J268" s="19">
        <f>_xlfn.XLOOKUP(A268,Master_Produk!$A$1:$A$16,Master_Produk!$D$1:$D$16,,0)</f>
        <v>750000</v>
      </c>
      <c r="K268" s="19">
        <f>INDEX(Master_Produk!$E$1:$E$16,MATCH(Lembar_Kerja_Analisis!A268,Master_Produk!$A$1:$A$16,0))</f>
        <v>520000</v>
      </c>
      <c r="L268" s="8">
        <v>9</v>
      </c>
      <c r="M268" s="19">
        <f t="shared" si="20"/>
        <v>6750000</v>
      </c>
      <c r="N268" s="9">
        <v>0.1</v>
      </c>
      <c r="O268" s="19">
        <f t="shared" si="21"/>
        <v>675000</v>
      </c>
      <c r="P268" s="19">
        <f t="shared" si="22"/>
        <v>6075000</v>
      </c>
      <c r="Q268" s="19">
        <f t="shared" si="23"/>
        <v>4680000</v>
      </c>
      <c r="R268" s="19">
        <f t="shared" si="24"/>
        <v>1395000</v>
      </c>
    </row>
    <row r="269" spans="1:18" x14ac:dyDescent="0.25">
      <c r="A269" t="str">
        <f>_xlfn.XLOOKUP(C269,Raw_Data_Transaksi!$A$1:$A$1001,Raw_Data_Transaksi!$D$1:$D$1001,,0)</f>
        <v>PRD-103</v>
      </c>
      <c r="B269" t="str">
        <f>_xlfn.XLOOKUP(C269,Raw_Data_Transaksi!$A$1:$A$1001,Raw_Data_Transaksi!$C$1:$C$1001,,0)</f>
        <v>SLS-08</v>
      </c>
      <c r="C269" s="6" t="s">
        <v>353</v>
      </c>
      <c r="D269" s="7">
        <v>45818</v>
      </c>
      <c r="E269" s="10" t="str">
        <f>VLOOKUP(B269,Master_Sales!$A$1:$D$9,2,FALSE)</f>
        <v>Hendra Wijaya</v>
      </c>
      <c r="F269" s="10" t="str">
        <f>INDEX(Master_Sales!$D$1:$D$9,MATCH(Lembar_Kerja_Analisis!B269,Master_Sales!$A$1:$A$9,0))</f>
        <v>Tengah</v>
      </c>
      <c r="G269" s="10" t="str">
        <f>INDEX(Master_Sales!$C$1:$C$9,MATCH(Lembar_Kerja_Analisis!B269,Master_Sales!$A$1:$A$9,0))</f>
        <v>Yogyakarta</v>
      </c>
      <c r="H269" s="10" t="str">
        <f>VLOOKUP(A269,Master_Produk!$A$1:$E$16,2,FALSE)</f>
        <v>Mechanical Keyboard RGB</v>
      </c>
      <c r="I269" s="10" t="str">
        <f>INDEX(Master_Produk!$C$1:$C$16,MATCH(Lembar_Kerja_Analisis!A269,Master_Produk!$A$1:$A$16,0))</f>
        <v>Elektronik</v>
      </c>
      <c r="J269" s="19">
        <f>_xlfn.XLOOKUP(A269,Master_Produk!$A$1:$A$16,Master_Produk!$D$1:$D$16,,0)</f>
        <v>750000</v>
      </c>
      <c r="K269" s="19">
        <f>INDEX(Master_Produk!$E$1:$E$16,MATCH(Lembar_Kerja_Analisis!A269,Master_Produk!$A$1:$A$16,0))</f>
        <v>520000</v>
      </c>
      <c r="L269" s="8">
        <v>9</v>
      </c>
      <c r="M269" s="19">
        <f t="shared" si="20"/>
        <v>6750000</v>
      </c>
      <c r="N269" s="9">
        <v>0.1</v>
      </c>
      <c r="O269" s="19">
        <f t="shared" si="21"/>
        <v>675000</v>
      </c>
      <c r="P269" s="19">
        <f t="shared" si="22"/>
        <v>6075000</v>
      </c>
      <c r="Q269" s="19">
        <f t="shared" si="23"/>
        <v>4680000</v>
      </c>
      <c r="R269" s="19">
        <f t="shared" si="24"/>
        <v>1395000</v>
      </c>
    </row>
    <row r="270" spans="1:18" x14ac:dyDescent="0.25">
      <c r="A270" t="str">
        <f>_xlfn.XLOOKUP(C270,Raw_Data_Transaksi!$A$1:$A$1001,Raw_Data_Transaksi!$D$1:$D$1001,,0)</f>
        <v>PRD-108</v>
      </c>
      <c r="B270" t="str">
        <f>_xlfn.XLOOKUP(C270,Raw_Data_Transaksi!$A$1:$A$1001,Raw_Data_Transaksi!$C$1:$C$1001,,0)</f>
        <v>SLS-04</v>
      </c>
      <c r="C270" s="6" t="s">
        <v>354</v>
      </c>
      <c r="D270" s="7">
        <v>45970</v>
      </c>
      <c r="E270" s="10" t="str">
        <f>VLOOKUP(B270,Master_Sales!$A$1:$D$9,2,FALSE)</f>
        <v>Dewi Anggraini</v>
      </c>
      <c r="F270" s="10" t="str">
        <f>INDEX(Master_Sales!$D$1:$D$9,MATCH(Lembar_Kerja_Analisis!B270,Master_Sales!$A$1:$A$9,0))</f>
        <v>Barat</v>
      </c>
      <c r="G270" s="10" t="str">
        <f>INDEX(Master_Sales!$C$1:$C$9,MATCH(Lembar_Kerja_Analisis!B270,Master_Sales!$A$1:$A$9,0))</f>
        <v>Medan</v>
      </c>
      <c r="H270" s="10" t="str">
        <f>VLOOKUP(A270,Master_Produk!$A$1:$E$16,2,FALSE)</f>
        <v>Sepatu Sneakers Pria/Wanita</v>
      </c>
      <c r="I270" s="10" t="str">
        <f>INDEX(Master_Produk!$C$1:$C$16,MATCH(Lembar_Kerja_Analisis!A270,Master_Produk!$A$1:$A$16,0))</f>
        <v>Fashion</v>
      </c>
      <c r="J270" s="19">
        <f>_xlfn.XLOOKUP(A270,Master_Produk!$A$1:$A$16,Master_Produk!$D$1:$D$16,,0)</f>
        <v>450000</v>
      </c>
      <c r="K270" s="19">
        <f>INDEX(Master_Produk!$E$1:$E$16,MATCH(Lembar_Kerja_Analisis!A270,Master_Produk!$A$1:$A$16,0))</f>
        <v>290000</v>
      </c>
      <c r="L270" s="8">
        <v>4</v>
      </c>
      <c r="M270" s="19">
        <f t="shared" si="20"/>
        <v>1800000</v>
      </c>
      <c r="N270" s="9">
        <v>0.1</v>
      </c>
      <c r="O270" s="19">
        <f t="shared" si="21"/>
        <v>180000</v>
      </c>
      <c r="P270" s="19">
        <f t="shared" si="22"/>
        <v>1620000</v>
      </c>
      <c r="Q270" s="19">
        <f t="shared" si="23"/>
        <v>1160000</v>
      </c>
      <c r="R270" s="19">
        <f t="shared" si="24"/>
        <v>460000</v>
      </c>
    </row>
    <row r="271" spans="1:18" x14ac:dyDescent="0.25">
      <c r="A271" t="str">
        <f>_xlfn.XLOOKUP(C271,Raw_Data_Transaksi!$A$1:$A$1001,Raw_Data_Transaksi!$D$1:$D$1001,,0)</f>
        <v>PRD-112</v>
      </c>
      <c r="B271" t="str">
        <f>_xlfn.XLOOKUP(C271,Raw_Data_Transaksi!$A$1:$A$1001,Raw_Data_Transaksi!$C$1:$C$1001,,0)</f>
        <v>SLS-04</v>
      </c>
      <c r="C271" s="6" t="s">
        <v>355</v>
      </c>
      <c r="D271" s="7">
        <v>45805</v>
      </c>
      <c r="E271" s="10" t="str">
        <f>VLOOKUP(B271,Master_Sales!$A$1:$D$9,2,FALSE)</f>
        <v>Dewi Anggraini</v>
      </c>
      <c r="F271" s="10" t="str">
        <f>INDEX(Master_Sales!$D$1:$D$9,MATCH(Lembar_Kerja_Analisis!B271,Master_Sales!$A$1:$A$9,0))</f>
        <v>Barat</v>
      </c>
      <c r="G271" s="10" t="str">
        <f>INDEX(Master_Sales!$C$1:$C$9,MATCH(Lembar_Kerja_Analisis!B271,Master_Sales!$A$1:$A$9,0))</f>
        <v>Medan</v>
      </c>
      <c r="H271" s="10" t="str">
        <f>VLOOKUP(A271,Master_Produk!$A$1:$E$16,2,FALSE)</f>
        <v>Susu UHT Full Cream 1L</v>
      </c>
      <c r="I271" s="10" t="str">
        <f>INDEX(Master_Produk!$C$1:$C$16,MATCH(Lembar_Kerja_Analisis!A271,Master_Produk!$A$1:$A$16,0))</f>
        <v>F&amp;B</v>
      </c>
      <c r="J271" s="19">
        <f>_xlfn.XLOOKUP(A271,Master_Produk!$A$1:$A$16,Master_Produk!$D$1:$D$16,,0)</f>
        <v>22000</v>
      </c>
      <c r="K271" s="19">
        <f>INDEX(Master_Produk!$E$1:$E$16,MATCH(Lembar_Kerja_Analisis!A271,Master_Produk!$A$1:$A$16,0))</f>
        <v>18000</v>
      </c>
      <c r="L271" s="8">
        <v>25</v>
      </c>
      <c r="M271" s="19">
        <f t="shared" si="20"/>
        <v>550000</v>
      </c>
      <c r="N271" s="9">
        <v>0.15</v>
      </c>
      <c r="O271" s="19">
        <f t="shared" si="21"/>
        <v>82500</v>
      </c>
      <c r="P271" s="19">
        <f t="shared" si="22"/>
        <v>467500</v>
      </c>
      <c r="Q271" s="19">
        <f t="shared" si="23"/>
        <v>450000</v>
      </c>
      <c r="R271" s="19">
        <f t="shared" si="24"/>
        <v>17500</v>
      </c>
    </row>
    <row r="272" spans="1:18" x14ac:dyDescent="0.25">
      <c r="A272" t="str">
        <f>_xlfn.XLOOKUP(C272,Raw_Data_Transaksi!$A$1:$A$1001,Raw_Data_Transaksi!$D$1:$D$1001,,0)</f>
        <v>PRD-115</v>
      </c>
      <c r="B272" t="str">
        <f>_xlfn.XLOOKUP(C272,Raw_Data_Transaksi!$A$1:$A$1001,Raw_Data_Transaksi!$C$1:$C$1001,,0)</f>
        <v>SLS-05</v>
      </c>
      <c r="C272" s="6" t="s">
        <v>356</v>
      </c>
      <c r="D272" s="7">
        <v>45944</v>
      </c>
      <c r="E272" s="10" t="str">
        <f>VLOOKUP(B272,Master_Sales!$A$1:$D$9,2,FALSE)</f>
        <v>Eko Prasetyo</v>
      </c>
      <c r="F272" s="10" t="str">
        <f>INDEX(Master_Sales!$D$1:$D$9,MATCH(Lembar_Kerja_Analisis!B272,Master_Sales!$A$1:$A$9,0))</f>
        <v>Tengah</v>
      </c>
      <c r="G272" s="10" t="str">
        <f>INDEX(Master_Sales!$C$1:$C$9,MATCH(Lembar_Kerja_Analisis!B272,Master_Sales!$A$1:$A$9,0))</f>
        <v>Semarang</v>
      </c>
      <c r="H272" s="10" t="str">
        <f>VLOOKUP(A272,Master_Produk!$A$1:$E$16,2,FALSE)</f>
        <v>Set Pisau Dapur Stainless</v>
      </c>
      <c r="I272" s="10" t="str">
        <f>INDEX(Master_Produk!$C$1:$C$16,MATCH(Lembar_Kerja_Analisis!A272,Master_Produk!$A$1:$A$16,0))</f>
        <v>Peralatan Rumah</v>
      </c>
      <c r="J272" s="19">
        <f>_xlfn.XLOOKUP(A272,Master_Produk!$A$1:$A$16,Master_Produk!$D$1:$D$16,,0)</f>
        <v>165000</v>
      </c>
      <c r="K272" s="19">
        <f>INDEX(Master_Produk!$E$1:$E$16,MATCH(Lembar_Kerja_Analisis!A272,Master_Produk!$A$1:$A$16,0))</f>
        <v>105000</v>
      </c>
      <c r="L272" s="8">
        <v>5</v>
      </c>
      <c r="M272" s="19">
        <f t="shared" si="20"/>
        <v>825000</v>
      </c>
      <c r="N272" s="9">
        <v>0</v>
      </c>
      <c r="O272" s="19">
        <f t="shared" si="21"/>
        <v>0</v>
      </c>
      <c r="P272" s="19">
        <f t="shared" si="22"/>
        <v>825000</v>
      </c>
      <c r="Q272" s="19">
        <f t="shared" si="23"/>
        <v>525000</v>
      </c>
      <c r="R272" s="19">
        <f t="shared" si="24"/>
        <v>300000</v>
      </c>
    </row>
    <row r="273" spans="1:18" x14ac:dyDescent="0.25">
      <c r="A273" t="str">
        <f>_xlfn.XLOOKUP(C273,Raw_Data_Transaksi!$A$1:$A$1001,Raw_Data_Transaksi!$D$1:$D$1001,,0)</f>
        <v>PRD-105</v>
      </c>
      <c r="B273" t="str">
        <f>_xlfn.XLOOKUP(C273,Raw_Data_Transaksi!$A$1:$A$1001,Raw_Data_Transaksi!$C$1:$C$1001,,0)</f>
        <v>SLS-01</v>
      </c>
      <c r="C273" s="6" t="s">
        <v>357</v>
      </c>
      <c r="D273" s="7">
        <v>45732</v>
      </c>
      <c r="E273" s="10" t="str">
        <f>VLOOKUP(B273,Master_Sales!$A$1:$D$9,2,FALSE)</f>
        <v>Andi Pratama</v>
      </c>
      <c r="F273" s="10" t="str">
        <f>INDEX(Master_Sales!$D$1:$D$9,MATCH(Lembar_Kerja_Analisis!B273,Master_Sales!$A$1:$A$9,0))</f>
        <v>Barat</v>
      </c>
      <c r="G273" s="10" t="str">
        <f>INDEX(Master_Sales!$C$1:$C$9,MATCH(Lembar_Kerja_Analisis!B273,Master_Sales!$A$1:$A$9,0))</f>
        <v>Jakarta</v>
      </c>
      <c r="H273" s="10" t="str">
        <f>VLOOKUP(A273,Master_Produk!$A$1:$E$16,2,FALSE)</f>
        <v>Kemeja Batik Katun Premium</v>
      </c>
      <c r="I273" s="10" t="str">
        <f>INDEX(Master_Produk!$C$1:$C$16,MATCH(Lembar_Kerja_Analisis!A273,Master_Produk!$A$1:$A$16,0))</f>
        <v>Fashion</v>
      </c>
      <c r="J273" s="19">
        <f>_xlfn.XLOOKUP(A273,Master_Produk!$A$1:$A$16,Master_Produk!$D$1:$D$16,,0)</f>
        <v>320000</v>
      </c>
      <c r="K273" s="19">
        <f>INDEX(Master_Produk!$E$1:$E$16,MATCH(Lembar_Kerja_Analisis!A273,Master_Produk!$A$1:$A$16,0))</f>
        <v>190000</v>
      </c>
      <c r="L273" s="8">
        <v>5</v>
      </c>
      <c r="M273" s="19">
        <f t="shared" si="20"/>
        <v>1600000</v>
      </c>
      <c r="N273" s="9">
        <v>0</v>
      </c>
      <c r="O273" s="19">
        <f t="shared" si="21"/>
        <v>0</v>
      </c>
      <c r="P273" s="19">
        <f t="shared" si="22"/>
        <v>1600000</v>
      </c>
      <c r="Q273" s="19">
        <f t="shared" si="23"/>
        <v>950000</v>
      </c>
      <c r="R273" s="19">
        <f t="shared" si="24"/>
        <v>650000</v>
      </c>
    </row>
    <row r="274" spans="1:18" x14ac:dyDescent="0.25">
      <c r="A274" t="str">
        <f>_xlfn.XLOOKUP(C274,Raw_Data_Transaksi!$A$1:$A$1001,Raw_Data_Transaksi!$D$1:$D$1001,,0)</f>
        <v>PRD-104</v>
      </c>
      <c r="B274" t="str">
        <f>_xlfn.XLOOKUP(C274,Raw_Data_Transaksi!$A$1:$A$1001,Raw_Data_Transaksi!$C$1:$C$1001,,0)</f>
        <v>SLS-04</v>
      </c>
      <c r="C274" s="6" t="s">
        <v>358</v>
      </c>
      <c r="D274" s="7">
        <v>45903</v>
      </c>
      <c r="E274" s="10" t="str">
        <f>VLOOKUP(B274,Master_Sales!$A$1:$D$9,2,FALSE)</f>
        <v>Dewi Anggraini</v>
      </c>
      <c r="F274" s="10" t="str">
        <f>INDEX(Master_Sales!$D$1:$D$9,MATCH(Lembar_Kerja_Analisis!B274,Master_Sales!$A$1:$A$9,0))</f>
        <v>Barat</v>
      </c>
      <c r="G274" s="10" t="str">
        <f>INDEX(Master_Sales!$C$1:$C$9,MATCH(Lembar_Kerja_Analisis!B274,Master_Sales!$A$1:$A$9,0))</f>
        <v>Medan</v>
      </c>
      <c r="H274" s="10" t="str">
        <f>VLOOKUP(A274,Master_Produk!$A$1:$E$16,2,FALSE)</f>
        <v>Monitor 24" FHD 144Hz</v>
      </c>
      <c r="I274" s="10" t="str">
        <f>INDEX(Master_Produk!$C$1:$C$16,MATCH(Lembar_Kerja_Analisis!A274,Master_Produk!$A$1:$A$16,0))</f>
        <v>Elektronik</v>
      </c>
      <c r="J274" s="19">
        <f>_xlfn.XLOOKUP(A274,Master_Produk!$A$1:$A$16,Master_Produk!$D$1:$D$16,,0)</f>
        <v>1950000</v>
      </c>
      <c r="K274" s="19">
        <f>INDEX(Master_Produk!$E$1:$E$16,MATCH(Lembar_Kerja_Analisis!A274,Master_Produk!$A$1:$A$16,0))</f>
        <v>1500000</v>
      </c>
      <c r="L274" s="8">
        <v>9</v>
      </c>
      <c r="M274" s="19">
        <f t="shared" si="20"/>
        <v>17550000</v>
      </c>
      <c r="N274" s="9">
        <v>0.1</v>
      </c>
      <c r="O274" s="19">
        <f t="shared" si="21"/>
        <v>1755000</v>
      </c>
      <c r="P274" s="19">
        <f t="shared" si="22"/>
        <v>15795000</v>
      </c>
      <c r="Q274" s="19">
        <f t="shared" si="23"/>
        <v>13500000</v>
      </c>
      <c r="R274" s="19">
        <f t="shared" si="24"/>
        <v>2295000</v>
      </c>
    </row>
    <row r="275" spans="1:18" x14ac:dyDescent="0.25">
      <c r="A275" t="str">
        <f>_xlfn.XLOOKUP(C275,Raw_Data_Transaksi!$A$1:$A$1001,Raw_Data_Transaksi!$D$1:$D$1001,,0)</f>
        <v>PRD-112</v>
      </c>
      <c r="B275" t="str">
        <f>_xlfn.XLOOKUP(C275,Raw_Data_Transaksi!$A$1:$A$1001,Raw_Data_Transaksi!$C$1:$C$1001,,0)</f>
        <v>SLS-04</v>
      </c>
      <c r="C275" s="6" t="s">
        <v>359</v>
      </c>
      <c r="D275" s="7">
        <v>45973</v>
      </c>
      <c r="E275" s="10" t="str">
        <f>VLOOKUP(B275,Master_Sales!$A$1:$D$9,2,FALSE)</f>
        <v>Dewi Anggraini</v>
      </c>
      <c r="F275" s="10" t="str">
        <f>INDEX(Master_Sales!$D$1:$D$9,MATCH(Lembar_Kerja_Analisis!B275,Master_Sales!$A$1:$A$9,0))</f>
        <v>Barat</v>
      </c>
      <c r="G275" s="10" t="str">
        <f>INDEX(Master_Sales!$C$1:$C$9,MATCH(Lembar_Kerja_Analisis!B275,Master_Sales!$A$1:$A$9,0))</f>
        <v>Medan</v>
      </c>
      <c r="H275" s="10" t="str">
        <f>VLOOKUP(A275,Master_Produk!$A$1:$E$16,2,FALSE)</f>
        <v>Susu UHT Full Cream 1L</v>
      </c>
      <c r="I275" s="10" t="str">
        <f>INDEX(Master_Produk!$C$1:$C$16,MATCH(Lembar_Kerja_Analisis!A275,Master_Produk!$A$1:$A$16,0))</f>
        <v>F&amp;B</v>
      </c>
      <c r="J275" s="19">
        <f>_xlfn.XLOOKUP(A275,Master_Produk!$A$1:$A$16,Master_Produk!$D$1:$D$16,,0)</f>
        <v>22000</v>
      </c>
      <c r="K275" s="19">
        <f>INDEX(Master_Produk!$E$1:$E$16,MATCH(Lembar_Kerja_Analisis!A275,Master_Produk!$A$1:$A$16,0))</f>
        <v>18000</v>
      </c>
      <c r="L275" s="8">
        <v>4</v>
      </c>
      <c r="M275" s="19">
        <f t="shared" si="20"/>
        <v>88000</v>
      </c>
      <c r="N275" s="9">
        <v>0.2</v>
      </c>
      <c r="O275" s="19">
        <f t="shared" si="21"/>
        <v>17600</v>
      </c>
      <c r="P275" s="19">
        <f t="shared" si="22"/>
        <v>70400</v>
      </c>
      <c r="Q275" s="19">
        <f t="shared" si="23"/>
        <v>72000</v>
      </c>
      <c r="R275" s="19">
        <f t="shared" si="24"/>
        <v>-1600</v>
      </c>
    </row>
    <row r="276" spans="1:18" x14ac:dyDescent="0.25">
      <c r="A276" t="str">
        <f>_xlfn.XLOOKUP(C276,Raw_Data_Transaksi!$A$1:$A$1001,Raw_Data_Transaksi!$D$1:$D$1001,,0)</f>
        <v>PRD-102</v>
      </c>
      <c r="B276" t="str">
        <f>_xlfn.XLOOKUP(C276,Raw_Data_Transaksi!$A$1:$A$1001,Raw_Data_Transaksi!$C$1:$C$1001,,0)</f>
        <v>SLS-07</v>
      </c>
      <c r="C276" s="6" t="s">
        <v>360</v>
      </c>
      <c r="D276" s="7">
        <v>45684</v>
      </c>
      <c r="E276" s="10" t="str">
        <f>VLOOKUP(B276,Master_Sales!$A$1:$D$9,2,FALSE)</f>
        <v>Gita Permata</v>
      </c>
      <c r="F276" s="10" t="str">
        <f>INDEX(Master_Sales!$D$1:$D$9,MATCH(Lembar_Kerja_Analisis!B276,Master_Sales!$A$1:$A$9,0))</f>
        <v>Tengah</v>
      </c>
      <c r="G276" s="10" t="str">
        <f>INDEX(Master_Sales!$C$1:$C$9,MATCH(Lembar_Kerja_Analisis!B276,Master_Sales!$A$1:$A$9,0))</f>
        <v>Denpasar</v>
      </c>
      <c r="H276" s="10" t="str">
        <f>VLOOKUP(A276,Master_Produk!$A$1:$E$16,2,FALSE)</f>
        <v>Wireless Mouse Ergonomic</v>
      </c>
      <c r="I276" s="10" t="str">
        <f>INDEX(Master_Produk!$C$1:$C$16,MATCH(Lembar_Kerja_Analisis!A276,Master_Produk!$A$1:$A$16,0))</f>
        <v>Elektronik</v>
      </c>
      <c r="J276" s="19">
        <f>_xlfn.XLOOKUP(A276,Master_Produk!$A$1:$A$16,Master_Produk!$D$1:$D$16,,0)</f>
        <v>250000</v>
      </c>
      <c r="K276" s="19">
        <f>INDEX(Master_Produk!$E$1:$E$16,MATCH(Lembar_Kerja_Analisis!A276,Master_Produk!$A$1:$A$16,0))</f>
        <v>160000</v>
      </c>
      <c r="L276" s="8">
        <v>6</v>
      </c>
      <c r="M276" s="19">
        <f t="shared" si="20"/>
        <v>1500000</v>
      </c>
      <c r="N276" s="9">
        <v>0.15</v>
      </c>
      <c r="O276" s="19">
        <f t="shared" si="21"/>
        <v>225000</v>
      </c>
      <c r="P276" s="19">
        <f t="shared" si="22"/>
        <v>1275000</v>
      </c>
      <c r="Q276" s="19">
        <f t="shared" si="23"/>
        <v>960000</v>
      </c>
      <c r="R276" s="19">
        <f t="shared" si="24"/>
        <v>315000</v>
      </c>
    </row>
    <row r="277" spans="1:18" x14ac:dyDescent="0.25">
      <c r="A277" t="str">
        <f>_xlfn.XLOOKUP(C277,Raw_Data_Transaksi!$A$1:$A$1001,Raw_Data_Transaksi!$D$1:$D$1001,,0)</f>
        <v>PRD-109</v>
      </c>
      <c r="B277" t="str">
        <f>_xlfn.XLOOKUP(C277,Raw_Data_Transaksi!$A$1:$A$1001,Raw_Data_Transaksi!$C$1:$C$1001,,0)</f>
        <v>SLS-03</v>
      </c>
      <c r="C277" s="6" t="s">
        <v>361</v>
      </c>
      <c r="D277" s="7">
        <v>45660</v>
      </c>
      <c r="E277" s="10" t="str">
        <f>VLOOKUP(B277,Master_Sales!$A$1:$D$9,2,FALSE)</f>
        <v>Citra Lestari</v>
      </c>
      <c r="F277" s="10" t="str">
        <f>INDEX(Master_Sales!$D$1:$D$9,MATCH(Lembar_Kerja_Analisis!B277,Master_Sales!$A$1:$A$9,0))</f>
        <v>Barat</v>
      </c>
      <c r="G277" s="10" t="str">
        <f>INDEX(Master_Sales!$C$1:$C$9,MATCH(Lembar_Kerja_Analisis!B277,Master_Sales!$A$1:$A$9,0))</f>
        <v>Bandung</v>
      </c>
      <c r="H277" s="10" t="str">
        <f>VLOOKUP(A277,Master_Produk!$A$1:$E$16,2,FALSE)</f>
        <v>Kopi Arabika Gayo 250g</v>
      </c>
      <c r="I277" s="10" t="str">
        <f>INDEX(Master_Produk!$C$1:$C$16,MATCH(Lembar_Kerja_Analisis!A277,Master_Produk!$A$1:$A$16,0))</f>
        <v>F&amp;B</v>
      </c>
      <c r="J277" s="19">
        <f>_xlfn.XLOOKUP(A277,Master_Produk!$A$1:$A$16,Master_Produk!$D$1:$D$16,,0)</f>
        <v>85000</v>
      </c>
      <c r="K277" s="19">
        <f>INDEX(Master_Produk!$E$1:$E$16,MATCH(Lembar_Kerja_Analisis!A277,Master_Produk!$A$1:$A$16,0))</f>
        <v>55000</v>
      </c>
      <c r="L277" s="8">
        <v>23</v>
      </c>
      <c r="M277" s="19">
        <f t="shared" si="20"/>
        <v>1955000</v>
      </c>
      <c r="N277" s="9">
        <v>0.15</v>
      </c>
      <c r="O277" s="19">
        <f t="shared" si="21"/>
        <v>293250</v>
      </c>
      <c r="P277" s="19">
        <f t="shared" si="22"/>
        <v>1661750</v>
      </c>
      <c r="Q277" s="19">
        <f t="shared" si="23"/>
        <v>1265000</v>
      </c>
      <c r="R277" s="19">
        <f t="shared" si="24"/>
        <v>396750</v>
      </c>
    </row>
    <row r="278" spans="1:18" x14ac:dyDescent="0.25">
      <c r="A278" t="str">
        <f>_xlfn.XLOOKUP(C278,Raw_Data_Transaksi!$A$1:$A$1001,Raw_Data_Transaksi!$D$1:$D$1001,,0)</f>
        <v>PRD-106</v>
      </c>
      <c r="B278" t="str">
        <f>_xlfn.XLOOKUP(C278,Raw_Data_Transaksi!$A$1:$A$1001,Raw_Data_Transaksi!$C$1:$C$1001,,0)</f>
        <v>SLS-05</v>
      </c>
      <c r="C278" s="6" t="s">
        <v>362</v>
      </c>
      <c r="D278" s="7">
        <v>45805</v>
      </c>
      <c r="E278" s="10" t="str">
        <f>VLOOKUP(B278,Master_Sales!$A$1:$D$9,2,FALSE)</f>
        <v>Eko Prasetyo</v>
      </c>
      <c r="F278" s="10" t="str">
        <f>INDEX(Master_Sales!$D$1:$D$9,MATCH(Lembar_Kerja_Analisis!B278,Master_Sales!$A$1:$A$9,0))</f>
        <v>Tengah</v>
      </c>
      <c r="G278" s="10" t="str">
        <f>INDEX(Master_Sales!$C$1:$C$9,MATCH(Lembar_Kerja_Analisis!B278,Master_Sales!$A$1:$A$9,0))</f>
        <v>Semarang</v>
      </c>
      <c r="H278" s="10" t="str">
        <f>VLOOKUP(A278,Master_Produk!$A$1:$E$16,2,FALSE)</f>
        <v>Celana Chino Slim Fit</v>
      </c>
      <c r="I278" s="10" t="str">
        <f>INDEX(Master_Produk!$C$1:$C$16,MATCH(Lembar_Kerja_Analisis!A278,Master_Produk!$A$1:$A$16,0))</f>
        <v>Fashion</v>
      </c>
      <c r="J278" s="19">
        <f>_xlfn.XLOOKUP(A278,Master_Produk!$A$1:$A$16,Master_Produk!$D$1:$D$16,,0)</f>
        <v>280000</v>
      </c>
      <c r="K278" s="19">
        <f>INDEX(Master_Produk!$E$1:$E$16,MATCH(Lembar_Kerja_Analisis!A278,Master_Produk!$A$1:$A$16,0))</f>
        <v>175000</v>
      </c>
      <c r="L278" s="8">
        <v>11</v>
      </c>
      <c r="M278" s="19">
        <f t="shared" si="20"/>
        <v>3080000</v>
      </c>
      <c r="N278" s="9">
        <v>0</v>
      </c>
      <c r="O278" s="19">
        <f t="shared" si="21"/>
        <v>0</v>
      </c>
      <c r="P278" s="19">
        <f t="shared" si="22"/>
        <v>3080000</v>
      </c>
      <c r="Q278" s="19">
        <f t="shared" si="23"/>
        <v>1925000</v>
      </c>
      <c r="R278" s="19">
        <f t="shared" si="24"/>
        <v>1155000</v>
      </c>
    </row>
    <row r="279" spans="1:18" x14ac:dyDescent="0.25">
      <c r="A279" t="str">
        <f>_xlfn.XLOOKUP(C279,Raw_Data_Transaksi!$A$1:$A$1001,Raw_Data_Transaksi!$D$1:$D$1001,,0)</f>
        <v>PRD-112</v>
      </c>
      <c r="B279" t="str">
        <f>_xlfn.XLOOKUP(C279,Raw_Data_Transaksi!$A$1:$A$1001,Raw_Data_Transaksi!$C$1:$C$1001,,0)</f>
        <v>SLS-01</v>
      </c>
      <c r="C279" s="6" t="s">
        <v>363</v>
      </c>
      <c r="D279" s="7">
        <v>45931</v>
      </c>
      <c r="E279" s="10" t="str">
        <f>VLOOKUP(B279,Master_Sales!$A$1:$D$9,2,FALSE)</f>
        <v>Andi Pratama</v>
      </c>
      <c r="F279" s="10" t="str">
        <f>INDEX(Master_Sales!$D$1:$D$9,MATCH(Lembar_Kerja_Analisis!B279,Master_Sales!$A$1:$A$9,0))</f>
        <v>Barat</v>
      </c>
      <c r="G279" s="10" t="str">
        <f>INDEX(Master_Sales!$C$1:$C$9,MATCH(Lembar_Kerja_Analisis!B279,Master_Sales!$A$1:$A$9,0))</f>
        <v>Jakarta</v>
      </c>
      <c r="H279" s="10" t="str">
        <f>VLOOKUP(A279,Master_Produk!$A$1:$E$16,2,FALSE)</f>
        <v>Susu UHT Full Cream 1L</v>
      </c>
      <c r="I279" s="10" t="str">
        <f>INDEX(Master_Produk!$C$1:$C$16,MATCH(Lembar_Kerja_Analisis!A279,Master_Produk!$A$1:$A$16,0))</f>
        <v>F&amp;B</v>
      </c>
      <c r="J279" s="19">
        <f>_xlfn.XLOOKUP(A279,Master_Produk!$A$1:$A$16,Master_Produk!$D$1:$D$16,,0)</f>
        <v>22000</v>
      </c>
      <c r="K279" s="19">
        <f>INDEX(Master_Produk!$E$1:$E$16,MATCH(Lembar_Kerja_Analisis!A279,Master_Produk!$A$1:$A$16,0))</f>
        <v>18000</v>
      </c>
      <c r="L279" s="8">
        <v>16</v>
      </c>
      <c r="M279" s="19">
        <f t="shared" si="20"/>
        <v>352000</v>
      </c>
      <c r="N279" s="9">
        <v>0.05</v>
      </c>
      <c r="O279" s="19">
        <f t="shared" si="21"/>
        <v>17600</v>
      </c>
      <c r="P279" s="19">
        <f t="shared" si="22"/>
        <v>334400</v>
      </c>
      <c r="Q279" s="19">
        <f t="shared" si="23"/>
        <v>288000</v>
      </c>
      <c r="R279" s="19">
        <f t="shared" si="24"/>
        <v>46400</v>
      </c>
    </row>
    <row r="280" spans="1:18" x14ac:dyDescent="0.25">
      <c r="A280" t="str">
        <f>_xlfn.XLOOKUP(C280,Raw_Data_Transaksi!$A$1:$A$1001,Raw_Data_Transaksi!$D$1:$D$1001,,0)</f>
        <v>PRD-115</v>
      </c>
      <c r="B280" t="str">
        <f>_xlfn.XLOOKUP(C280,Raw_Data_Transaksi!$A$1:$A$1001,Raw_Data_Transaksi!$C$1:$C$1001,,0)</f>
        <v>SLS-05</v>
      </c>
      <c r="C280" s="6" t="s">
        <v>364</v>
      </c>
      <c r="D280" s="7">
        <v>45753</v>
      </c>
      <c r="E280" s="10" t="str">
        <f>VLOOKUP(B280,Master_Sales!$A$1:$D$9,2,FALSE)</f>
        <v>Eko Prasetyo</v>
      </c>
      <c r="F280" s="10" t="str">
        <f>INDEX(Master_Sales!$D$1:$D$9,MATCH(Lembar_Kerja_Analisis!B280,Master_Sales!$A$1:$A$9,0))</f>
        <v>Tengah</v>
      </c>
      <c r="G280" s="10" t="str">
        <f>INDEX(Master_Sales!$C$1:$C$9,MATCH(Lembar_Kerja_Analisis!B280,Master_Sales!$A$1:$A$9,0))</f>
        <v>Semarang</v>
      </c>
      <c r="H280" s="10" t="str">
        <f>VLOOKUP(A280,Master_Produk!$A$1:$E$16,2,FALSE)</f>
        <v>Set Pisau Dapur Stainless</v>
      </c>
      <c r="I280" s="10" t="str">
        <f>INDEX(Master_Produk!$C$1:$C$16,MATCH(Lembar_Kerja_Analisis!A280,Master_Produk!$A$1:$A$16,0))</f>
        <v>Peralatan Rumah</v>
      </c>
      <c r="J280" s="19">
        <f>_xlfn.XLOOKUP(A280,Master_Produk!$A$1:$A$16,Master_Produk!$D$1:$D$16,,0)</f>
        <v>165000</v>
      </c>
      <c r="K280" s="19">
        <f>INDEX(Master_Produk!$E$1:$E$16,MATCH(Lembar_Kerja_Analisis!A280,Master_Produk!$A$1:$A$16,0))</f>
        <v>105000</v>
      </c>
      <c r="L280" s="8">
        <v>1</v>
      </c>
      <c r="M280" s="19">
        <f t="shared" si="20"/>
        <v>165000</v>
      </c>
      <c r="N280" s="9">
        <v>0</v>
      </c>
      <c r="O280" s="19">
        <f t="shared" si="21"/>
        <v>0</v>
      </c>
      <c r="P280" s="19">
        <f t="shared" si="22"/>
        <v>165000</v>
      </c>
      <c r="Q280" s="19">
        <f t="shared" si="23"/>
        <v>105000</v>
      </c>
      <c r="R280" s="19">
        <f t="shared" si="24"/>
        <v>60000</v>
      </c>
    </row>
    <row r="281" spans="1:18" x14ac:dyDescent="0.25">
      <c r="A281" t="str">
        <f>_xlfn.XLOOKUP(C281,Raw_Data_Transaksi!$A$1:$A$1001,Raw_Data_Transaksi!$D$1:$D$1001,,0)</f>
        <v>PRD-105</v>
      </c>
      <c r="B281" t="str">
        <f>_xlfn.XLOOKUP(C281,Raw_Data_Transaksi!$A$1:$A$1001,Raw_Data_Transaksi!$C$1:$C$1001,,0)</f>
        <v>SLS-08</v>
      </c>
      <c r="C281" s="6" t="s">
        <v>365</v>
      </c>
      <c r="D281" s="7">
        <v>45829</v>
      </c>
      <c r="E281" s="10" t="str">
        <f>VLOOKUP(B281,Master_Sales!$A$1:$D$9,2,FALSE)</f>
        <v>Hendra Wijaya</v>
      </c>
      <c r="F281" s="10" t="str">
        <f>INDEX(Master_Sales!$D$1:$D$9,MATCH(Lembar_Kerja_Analisis!B281,Master_Sales!$A$1:$A$9,0))</f>
        <v>Tengah</v>
      </c>
      <c r="G281" s="10" t="str">
        <f>INDEX(Master_Sales!$C$1:$C$9,MATCH(Lembar_Kerja_Analisis!B281,Master_Sales!$A$1:$A$9,0))</f>
        <v>Yogyakarta</v>
      </c>
      <c r="H281" s="10" t="str">
        <f>VLOOKUP(A281,Master_Produk!$A$1:$E$16,2,FALSE)</f>
        <v>Kemeja Batik Katun Premium</v>
      </c>
      <c r="I281" s="10" t="str">
        <f>INDEX(Master_Produk!$C$1:$C$16,MATCH(Lembar_Kerja_Analisis!A281,Master_Produk!$A$1:$A$16,0))</f>
        <v>Fashion</v>
      </c>
      <c r="J281" s="19">
        <f>_xlfn.XLOOKUP(A281,Master_Produk!$A$1:$A$16,Master_Produk!$D$1:$D$16,,0)</f>
        <v>320000</v>
      </c>
      <c r="K281" s="19">
        <f>INDEX(Master_Produk!$E$1:$E$16,MATCH(Lembar_Kerja_Analisis!A281,Master_Produk!$A$1:$A$16,0))</f>
        <v>190000</v>
      </c>
      <c r="L281" s="8">
        <v>11</v>
      </c>
      <c r="M281" s="19">
        <f t="shared" si="20"/>
        <v>3520000</v>
      </c>
      <c r="N281" s="9">
        <v>0.2</v>
      </c>
      <c r="O281" s="19">
        <f t="shared" si="21"/>
        <v>704000</v>
      </c>
      <c r="P281" s="19">
        <f t="shared" si="22"/>
        <v>2816000</v>
      </c>
      <c r="Q281" s="19">
        <f t="shared" si="23"/>
        <v>2090000</v>
      </c>
      <c r="R281" s="19">
        <f t="shared" si="24"/>
        <v>726000</v>
      </c>
    </row>
    <row r="282" spans="1:18" x14ac:dyDescent="0.25">
      <c r="A282" t="str">
        <f>_xlfn.XLOOKUP(C282,Raw_Data_Transaksi!$A$1:$A$1001,Raw_Data_Transaksi!$D$1:$D$1001,,0)</f>
        <v>PRD-104</v>
      </c>
      <c r="B282" t="str">
        <f>_xlfn.XLOOKUP(C282,Raw_Data_Transaksi!$A$1:$A$1001,Raw_Data_Transaksi!$C$1:$C$1001,,0)</f>
        <v>SLS-02</v>
      </c>
      <c r="C282" s="6" t="s">
        <v>366</v>
      </c>
      <c r="D282" s="7">
        <v>45797</v>
      </c>
      <c r="E282" s="10" t="str">
        <f>VLOOKUP(B282,Master_Sales!$A$1:$D$9,2,FALSE)</f>
        <v>Budi Santoso</v>
      </c>
      <c r="F282" s="10" t="str">
        <f>INDEX(Master_Sales!$D$1:$D$9,MATCH(Lembar_Kerja_Analisis!B282,Master_Sales!$A$1:$A$9,0))</f>
        <v>Timur</v>
      </c>
      <c r="G282" s="10" t="str">
        <f>INDEX(Master_Sales!$C$1:$C$9,MATCH(Lembar_Kerja_Analisis!B282,Master_Sales!$A$1:$A$9,0))</f>
        <v>Surabaya</v>
      </c>
      <c r="H282" s="10" t="str">
        <f>VLOOKUP(A282,Master_Produk!$A$1:$E$16,2,FALSE)</f>
        <v>Monitor 24" FHD 144Hz</v>
      </c>
      <c r="I282" s="10" t="str">
        <f>INDEX(Master_Produk!$C$1:$C$16,MATCH(Lembar_Kerja_Analisis!A282,Master_Produk!$A$1:$A$16,0))</f>
        <v>Elektronik</v>
      </c>
      <c r="J282" s="19">
        <f>_xlfn.XLOOKUP(A282,Master_Produk!$A$1:$A$16,Master_Produk!$D$1:$D$16,,0)</f>
        <v>1950000</v>
      </c>
      <c r="K282" s="19">
        <f>INDEX(Master_Produk!$E$1:$E$16,MATCH(Lembar_Kerja_Analisis!A282,Master_Produk!$A$1:$A$16,0))</f>
        <v>1500000</v>
      </c>
      <c r="L282" s="8">
        <v>6</v>
      </c>
      <c r="M282" s="19">
        <f t="shared" si="20"/>
        <v>11700000</v>
      </c>
      <c r="N282" s="9">
        <v>0.05</v>
      </c>
      <c r="O282" s="19">
        <f t="shared" si="21"/>
        <v>585000</v>
      </c>
      <c r="P282" s="19">
        <f t="shared" si="22"/>
        <v>11115000</v>
      </c>
      <c r="Q282" s="19">
        <f t="shared" si="23"/>
        <v>9000000</v>
      </c>
      <c r="R282" s="19">
        <f t="shared" si="24"/>
        <v>2115000</v>
      </c>
    </row>
    <row r="283" spans="1:18" x14ac:dyDescent="0.25">
      <c r="A283" t="str">
        <f>_xlfn.XLOOKUP(C283,Raw_Data_Transaksi!$A$1:$A$1001,Raw_Data_Transaksi!$D$1:$D$1001,,0)</f>
        <v>PRD-101</v>
      </c>
      <c r="B283" t="str">
        <f>_xlfn.XLOOKUP(C283,Raw_Data_Transaksi!$A$1:$A$1001,Raw_Data_Transaksi!$C$1:$C$1001,,0)</f>
        <v>SLS-06</v>
      </c>
      <c r="C283" s="6" t="s">
        <v>367</v>
      </c>
      <c r="D283" s="7">
        <v>45753</v>
      </c>
      <c r="E283" s="10" t="str">
        <f>VLOOKUP(B283,Master_Sales!$A$1:$D$9,2,FALSE)</f>
        <v>Fajar Nugraha</v>
      </c>
      <c r="F283" s="10" t="str">
        <f>INDEX(Master_Sales!$D$1:$D$9,MATCH(Lembar_Kerja_Analisis!B283,Master_Sales!$A$1:$A$9,0))</f>
        <v>Timur</v>
      </c>
      <c r="G283" s="10" t="str">
        <f>INDEX(Master_Sales!$C$1:$C$9,MATCH(Lembar_Kerja_Analisis!B283,Master_Sales!$A$1:$A$9,0))</f>
        <v>Makassar</v>
      </c>
      <c r="H283" s="10" t="str">
        <f>VLOOKUP(A283,Master_Produk!$A$1:$E$16,2,FALSE)</f>
        <v>Laptop Ultrabook 14"</v>
      </c>
      <c r="I283" s="10" t="str">
        <f>INDEX(Master_Produk!$C$1:$C$16,MATCH(Lembar_Kerja_Analisis!A283,Master_Produk!$A$1:$A$16,0))</f>
        <v>Elektronik</v>
      </c>
      <c r="J283" s="19">
        <f>_xlfn.XLOOKUP(A283,Master_Produk!$A$1:$A$16,Master_Produk!$D$1:$D$16,,0)</f>
        <v>8500000</v>
      </c>
      <c r="K283" s="19">
        <f>INDEX(Master_Produk!$E$1:$E$16,MATCH(Lembar_Kerja_Analisis!A283,Master_Produk!$A$1:$A$16,0))</f>
        <v>7200000</v>
      </c>
      <c r="L283" s="8">
        <v>5</v>
      </c>
      <c r="M283" s="19">
        <f t="shared" si="20"/>
        <v>42500000</v>
      </c>
      <c r="N283" s="9">
        <v>0.2</v>
      </c>
      <c r="O283" s="19">
        <f t="shared" si="21"/>
        <v>8500000</v>
      </c>
      <c r="P283" s="19">
        <f t="shared" si="22"/>
        <v>34000000</v>
      </c>
      <c r="Q283" s="19">
        <f t="shared" si="23"/>
        <v>36000000</v>
      </c>
      <c r="R283" s="19">
        <f t="shared" si="24"/>
        <v>-2000000</v>
      </c>
    </row>
    <row r="284" spans="1:18" x14ac:dyDescent="0.25">
      <c r="A284" t="str">
        <f>_xlfn.XLOOKUP(C284,Raw_Data_Transaksi!$A$1:$A$1001,Raw_Data_Transaksi!$D$1:$D$1001,,0)</f>
        <v>PRD-109</v>
      </c>
      <c r="B284" t="str">
        <f>_xlfn.XLOOKUP(C284,Raw_Data_Transaksi!$A$1:$A$1001,Raw_Data_Transaksi!$C$1:$C$1001,,0)</f>
        <v>SLS-06</v>
      </c>
      <c r="C284" s="6" t="s">
        <v>368</v>
      </c>
      <c r="D284" s="7">
        <v>45876</v>
      </c>
      <c r="E284" s="10" t="str">
        <f>VLOOKUP(B284,Master_Sales!$A$1:$D$9,2,FALSE)</f>
        <v>Fajar Nugraha</v>
      </c>
      <c r="F284" s="10" t="str">
        <f>INDEX(Master_Sales!$D$1:$D$9,MATCH(Lembar_Kerja_Analisis!B284,Master_Sales!$A$1:$A$9,0))</f>
        <v>Timur</v>
      </c>
      <c r="G284" s="10" t="str">
        <f>INDEX(Master_Sales!$C$1:$C$9,MATCH(Lembar_Kerja_Analisis!B284,Master_Sales!$A$1:$A$9,0))</f>
        <v>Makassar</v>
      </c>
      <c r="H284" s="10" t="str">
        <f>VLOOKUP(A284,Master_Produk!$A$1:$E$16,2,FALSE)</f>
        <v>Kopi Arabika Gayo 250g</v>
      </c>
      <c r="I284" s="10" t="str">
        <f>INDEX(Master_Produk!$C$1:$C$16,MATCH(Lembar_Kerja_Analisis!A284,Master_Produk!$A$1:$A$16,0))</f>
        <v>F&amp;B</v>
      </c>
      <c r="J284" s="19">
        <f>_xlfn.XLOOKUP(A284,Master_Produk!$A$1:$A$16,Master_Produk!$D$1:$D$16,,0)</f>
        <v>85000</v>
      </c>
      <c r="K284" s="19">
        <f>INDEX(Master_Produk!$E$1:$E$16,MATCH(Lembar_Kerja_Analisis!A284,Master_Produk!$A$1:$A$16,0))</f>
        <v>55000</v>
      </c>
      <c r="L284" s="8">
        <v>15</v>
      </c>
      <c r="M284" s="19">
        <f t="shared" si="20"/>
        <v>1275000</v>
      </c>
      <c r="N284" s="9">
        <v>0</v>
      </c>
      <c r="O284" s="19">
        <f t="shared" si="21"/>
        <v>0</v>
      </c>
      <c r="P284" s="19">
        <f t="shared" si="22"/>
        <v>1275000</v>
      </c>
      <c r="Q284" s="19">
        <f t="shared" si="23"/>
        <v>825000</v>
      </c>
      <c r="R284" s="19">
        <f t="shared" si="24"/>
        <v>450000</v>
      </c>
    </row>
    <row r="285" spans="1:18" x14ac:dyDescent="0.25">
      <c r="A285" t="str">
        <f>_xlfn.XLOOKUP(C285,Raw_Data_Transaksi!$A$1:$A$1001,Raw_Data_Transaksi!$D$1:$D$1001,,0)</f>
        <v>PRD-115</v>
      </c>
      <c r="B285" t="str">
        <f>_xlfn.XLOOKUP(C285,Raw_Data_Transaksi!$A$1:$A$1001,Raw_Data_Transaksi!$C$1:$C$1001,,0)</f>
        <v>SLS-04</v>
      </c>
      <c r="C285" s="6" t="s">
        <v>369</v>
      </c>
      <c r="D285" s="7">
        <v>45823</v>
      </c>
      <c r="E285" s="10" t="str">
        <f>VLOOKUP(B285,Master_Sales!$A$1:$D$9,2,FALSE)</f>
        <v>Dewi Anggraini</v>
      </c>
      <c r="F285" s="10" t="str">
        <f>INDEX(Master_Sales!$D$1:$D$9,MATCH(Lembar_Kerja_Analisis!B285,Master_Sales!$A$1:$A$9,0))</f>
        <v>Barat</v>
      </c>
      <c r="G285" s="10" t="str">
        <f>INDEX(Master_Sales!$C$1:$C$9,MATCH(Lembar_Kerja_Analisis!B285,Master_Sales!$A$1:$A$9,0))</f>
        <v>Medan</v>
      </c>
      <c r="H285" s="10" t="str">
        <f>VLOOKUP(A285,Master_Produk!$A$1:$E$16,2,FALSE)</f>
        <v>Set Pisau Dapur Stainless</v>
      </c>
      <c r="I285" s="10" t="str">
        <f>INDEX(Master_Produk!$C$1:$C$16,MATCH(Lembar_Kerja_Analisis!A285,Master_Produk!$A$1:$A$16,0))</f>
        <v>Peralatan Rumah</v>
      </c>
      <c r="J285" s="19">
        <f>_xlfn.XLOOKUP(A285,Master_Produk!$A$1:$A$16,Master_Produk!$D$1:$D$16,,0)</f>
        <v>165000</v>
      </c>
      <c r="K285" s="19">
        <f>INDEX(Master_Produk!$E$1:$E$16,MATCH(Lembar_Kerja_Analisis!A285,Master_Produk!$A$1:$A$16,0))</f>
        <v>105000</v>
      </c>
      <c r="L285" s="8">
        <v>1</v>
      </c>
      <c r="M285" s="19">
        <f t="shared" si="20"/>
        <v>165000</v>
      </c>
      <c r="N285" s="9">
        <v>0.1</v>
      </c>
      <c r="O285" s="19">
        <f t="shared" si="21"/>
        <v>16500</v>
      </c>
      <c r="P285" s="19">
        <f t="shared" si="22"/>
        <v>148500</v>
      </c>
      <c r="Q285" s="19">
        <f t="shared" si="23"/>
        <v>105000</v>
      </c>
      <c r="R285" s="19">
        <f t="shared" si="24"/>
        <v>43500</v>
      </c>
    </row>
    <row r="286" spans="1:18" x14ac:dyDescent="0.25">
      <c r="A286" t="str">
        <f>_xlfn.XLOOKUP(C286,Raw_Data_Transaksi!$A$1:$A$1001,Raw_Data_Transaksi!$D$1:$D$1001,,0)</f>
        <v>PRD-106</v>
      </c>
      <c r="B286" t="str">
        <f>_xlfn.XLOOKUP(C286,Raw_Data_Transaksi!$A$1:$A$1001,Raw_Data_Transaksi!$C$1:$C$1001,,0)</f>
        <v>SLS-05</v>
      </c>
      <c r="C286" s="6" t="s">
        <v>370</v>
      </c>
      <c r="D286" s="7">
        <v>45794</v>
      </c>
      <c r="E286" s="10" t="str">
        <f>VLOOKUP(B286,Master_Sales!$A$1:$D$9,2,FALSE)</f>
        <v>Eko Prasetyo</v>
      </c>
      <c r="F286" s="10" t="str">
        <f>INDEX(Master_Sales!$D$1:$D$9,MATCH(Lembar_Kerja_Analisis!B286,Master_Sales!$A$1:$A$9,0))</f>
        <v>Tengah</v>
      </c>
      <c r="G286" s="10" t="str">
        <f>INDEX(Master_Sales!$C$1:$C$9,MATCH(Lembar_Kerja_Analisis!B286,Master_Sales!$A$1:$A$9,0))</f>
        <v>Semarang</v>
      </c>
      <c r="H286" s="10" t="str">
        <f>VLOOKUP(A286,Master_Produk!$A$1:$E$16,2,FALSE)</f>
        <v>Celana Chino Slim Fit</v>
      </c>
      <c r="I286" s="10" t="str">
        <f>INDEX(Master_Produk!$C$1:$C$16,MATCH(Lembar_Kerja_Analisis!A286,Master_Produk!$A$1:$A$16,0))</f>
        <v>Fashion</v>
      </c>
      <c r="J286" s="19">
        <f>_xlfn.XLOOKUP(A286,Master_Produk!$A$1:$A$16,Master_Produk!$D$1:$D$16,,0)</f>
        <v>280000</v>
      </c>
      <c r="K286" s="19">
        <f>INDEX(Master_Produk!$E$1:$E$16,MATCH(Lembar_Kerja_Analisis!A286,Master_Produk!$A$1:$A$16,0))</f>
        <v>175000</v>
      </c>
      <c r="L286" s="8">
        <v>10</v>
      </c>
      <c r="M286" s="19">
        <f t="shared" si="20"/>
        <v>2800000</v>
      </c>
      <c r="N286" s="9">
        <v>0.2</v>
      </c>
      <c r="O286" s="19">
        <f t="shared" si="21"/>
        <v>560000</v>
      </c>
      <c r="P286" s="19">
        <f t="shared" si="22"/>
        <v>2240000</v>
      </c>
      <c r="Q286" s="19">
        <f t="shared" si="23"/>
        <v>1750000</v>
      </c>
      <c r="R286" s="19">
        <f t="shared" si="24"/>
        <v>490000</v>
      </c>
    </row>
    <row r="287" spans="1:18" x14ac:dyDescent="0.25">
      <c r="A287" t="str">
        <f>_xlfn.XLOOKUP(C287,Raw_Data_Transaksi!$A$1:$A$1001,Raw_Data_Transaksi!$D$1:$D$1001,,0)</f>
        <v>PRD-104</v>
      </c>
      <c r="B287" t="str">
        <f>_xlfn.XLOOKUP(C287,Raw_Data_Transaksi!$A$1:$A$1001,Raw_Data_Transaksi!$C$1:$C$1001,,0)</f>
        <v>SLS-01</v>
      </c>
      <c r="C287" s="6" t="s">
        <v>371</v>
      </c>
      <c r="D287" s="7">
        <v>46012</v>
      </c>
      <c r="E287" s="10" t="str">
        <f>VLOOKUP(B287,Master_Sales!$A$1:$D$9,2,FALSE)</f>
        <v>Andi Pratama</v>
      </c>
      <c r="F287" s="10" t="str">
        <f>INDEX(Master_Sales!$D$1:$D$9,MATCH(Lembar_Kerja_Analisis!B287,Master_Sales!$A$1:$A$9,0))</f>
        <v>Barat</v>
      </c>
      <c r="G287" s="10" t="str">
        <f>INDEX(Master_Sales!$C$1:$C$9,MATCH(Lembar_Kerja_Analisis!B287,Master_Sales!$A$1:$A$9,0))</f>
        <v>Jakarta</v>
      </c>
      <c r="H287" s="10" t="str">
        <f>VLOOKUP(A287,Master_Produk!$A$1:$E$16,2,FALSE)</f>
        <v>Monitor 24" FHD 144Hz</v>
      </c>
      <c r="I287" s="10" t="str">
        <f>INDEX(Master_Produk!$C$1:$C$16,MATCH(Lembar_Kerja_Analisis!A287,Master_Produk!$A$1:$A$16,0))</f>
        <v>Elektronik</v>
      </c>
      <c r="J287" s="19">
        <f>_xlfn.XLOOKUP(A287,Master_Produk!$A$1:$A$16,Master_Produk!$D$1:$D$16,,0)</f>
        <v>1950000</v>
      </c>
      <c r="K287" s="19">
        <f>INDEX(Master_Produk!$E$1:$E$16,MATCH(Lembar_Kerja_Analisis!A287,Master_Produk!$A$1:$A$16,0))</f>
        <v>1500000</v>
      </c>
      <c r="L287" s="8">
        <v>11</v>
      </c>
      <c r="M287" s="19">
        <f t="shared" si="20"/>
        <v>21450000</v>
      </c>
      <c r="N287" s="9">
        <v>0</v>
      </c>
      <c r="O287" s="19">
        <f t="shared" si="21"/>
        <v>0</v>
      </c>
      <c r="P287" s="19">
        <f t="shared" si="22"/>
        <v>21450000</v>
      </c>
      <c r="Q287" s="19">
        <f t="shared" si="23"/>
        <v>16500000</v>
      </c>
      <c r="R287" s="19">
        <f t="shared" si="24"/>
        <v>4950000</v>
      </c>
    </row>
    <row r="288" spans="1:18" x14ac:dyDescent="0.25">
      <c r="A288" t="str">
        <f>_xlfn.XLOOKUP(C288,Raw_Data_Transaksi!$A$1:$A$1001,Raw_Data_Transaksi!$D$1:$D$1001,,0)</f>
        <v>PRD-111</v>
      </c>
      <c r="B288" t="str">
        <f>_xlfn.XLOOKUP(C288,Raw_Data_Transaksi!$A$1:$A$1001,Raw_Data_Transaksi!$C$1:$C$1001,,0)</f>
        <v>SLS-05</v>
      </c>
      <c r="C288" s="6" t="s">
        <v>372</v>
      </c>
      <c r="D288" s="7">
        <v>45865</v>
      </c>
      <c r="E288" s="10" t="str">
        <f>VLOOKUP(B288,Master_Sales!$A$1:$D$9,2,FALSE)</f>
        <v>Eko Prasetyo</v>
      </c>
      <c r="F288" s="10" t="str">
        <f>INDEX(Master_Sales!$D$1:$D$9,MATCH(Lembar_Kerja_Analisis!B288,Master_Sales!$A$1:$A$9,0))</f>
        <v>Tengah</v>
      </c>
      <c r="G288" s="10" t="str">
        <f>INDEX(Master_Sales!$C$1:$C$9,MATCH(Lembar_Kerja_Analisis!B288,Master_Sales!$A$1:$A$9,0))</f>
        <v>Semarang</v>
      </c>
      <c r="H288" s="10" t="str">
        <f>VLOOKUP(A288,Master_Produk!$A$1:$E$16,2,FALSE)</f>
        <v>Beras Premium 5kg</v>
      </c>
      <c r="I288" s="10" t="str">
        <f>INDEX(Master_Produk!$C$1:$C$16,MATCH(Lembar_Kerja_Analisis!A288,Master_Produk!$A$1:$A$16,0))</f>
        <v>F&amp;B</v>
      </c>
      <c r="J288" s="19">
        <f>_xlfn.XLOOKUP(A288,Master_Produk!$A$1:$A$16,Master_Produk!$D$1:$D$16,,0)</f>
        <v>74000</v>
      </c>
      <c r="K288" s="19">
        <f>INDEX(Master_Produk!$E$1:$E$16,MATCH(Lembar_Kerja_Analisis!A288,Master_Produk!$A$1:$A$16,0))</f>
        <v>65000</v>
      </c>
      <c r="L288" s="8">
        <v>6</v>
      </c>
      <c r="M288" s="19">
        <f t="shared" si="20"/>
        <v>444000</v>
      </c>
      <c r="N288" s="9">
        <v>0.1</v>
      </c>
      <c r="O288" s="19">
        <f t="shared" si="21"/>
        <v>44400</v>
      </c>
      <c r="P288" s="19">
        <f t="shared" si="22"/>
        <v>399600</v>
      </c>
      <c r="Q288" s="19">
        <f t="shared" si="23"/>
        <v>390000</v>
      </c>
      <c r="R288" s="19">
        <f t="shared" si="24"/>
        <v>9600</v>
      </c>
    </row>
    <row r="289" spans="1:18" x14ac:dyDescent="0.25">
      <c r="A289" t="str">
        <f>_xlfn.XLOOKUP(C289,Raw_Data_Transaksi!$A$1:$A$1001,Raw_Data_Transaksi!$D$1:$D$1001,,0)</f>
        <v>PRD-103</v>
      </c>
      <c r="B289" t="str">
        <f>_xlfn.XLOOKUP(C289,Raw_Data_Transaksi!$A$1:$A$1001,Raw_Data_Transaksi!$C$1:$C$1001,,0)</f>
        <v>SLS-08</v>
      </c>
      <c r="C289" s="6" t="s">
        <v>373</v>
      </c>
      <c r="D289" s="7">
        <v>45770</v>
      </c>
      <c r="E289" s="10" t="str">
        <f>VLOOKUP(B289,Master_Sales!$A$1:$D$9,2,FALSE)</f>
        <v>Hendra Wijaya</v>
      </c>
      <c r="F289" s="10" t="str">
        <f>INDEX(Master_Sales!$D$1:$D$9,MATCH(Lembar_Kerja_Analisis!B289,Master_Sales!$A$1:$A$9,0))</f>
        <v>Tengah</v>
      </c>
      <c r="G289" s="10" t="str">
        <f>INDEX(Master_Sales!$C$1:$C$9,MATCH(Lembar_Kerja_Analisis!B289,Master_Sales!$A$1:$A$9,0))</f>
        <v>Yogyakarta</v>
      </c>
      <c r="H289" s="10" t="str">
        <f>VLOOKUP(A289,Master_Produk!$A$1:$E$16,2,FALSE)</f>
        <v>Mechanical Keyboard RGB</v>
      </c>
      <c r="I289" s="10" t="str">
        <f>INDEX(Master_Produk!$C$1:$C$16,MATCH(Lembar_Kerja_Analisis!A289,Master_Produk!$A$1:$A$16,0))</f>
        <v>Elektronik</v>
      </c>
      <c r="J289" s="19">
        <f>_xlfn.XLOOKUP(A289,Master_Produk!$A$1:$A$16,Master_Produk!$D$1:$D$16,,0)</f>
        <v>750000</v>
      </c>
      <c r="K289" s="19">
        <f>INDEX(Master_Produk!$E$1:$E$16,MATCH(Lembar_Kerja_Analisis!A289,Master_Produk!$A$1:$A$16,0))</f>
        <v>520000</v>
      </c>
      <c r="L289" s="8">
        <v>3</v>
      </c>
      <c r="M289" s="19">
        <f t="shared" si="20"/>
        <v>2250000</v>
      </c>
      <c r="N289" s="9">
        <v>0.15</v>
      </c>
      <c r="O289" s="19">
        <f t="shared" si="21"/>
        <v>337500</v>
      </c>
      <c r="P289" s="19">
        <f t="shared" si="22"/>
        <v>1912500</v>
      </c>
      <c r="Q289" s="19">
        <f t="shared" si="23"/>
        <v>1560000</v>
      </c>
      <c r="R289" s="19">
        <f t="shared" si="24"/>
        <v>352500</v>
      </c>
    </row>
    <row r="290" spans="1:18" x14ac:dyDescent="0.25">
      <c r="A290" t="str">
        <f>_xlfn.XLOOKUP(C290,Raw_Data_Transaksi!$A$1:$A$1001,Raw_Data_Transaksi!$D$1:$D$1001,,0)</f>
        <v>PRD-113</v>
      </c>
      <c r="B290" t="str">
        <f>_xlfn.XLOOKUP(C290,Raw_Data_Transaksi!$A$1:$A$1001,Raw_Data_Transaksi!$C$1:$C$1001,,0)</f>
        <v>SLS-04</v>
      </c>
      <c r="C290" s="6" t="s">
        <v>374</v>
      </c>
      <c r="D290" s="7">
        <v>45933</v>
      </c>
      <c r="E290" s="10" t="str">
        <f>VLOOKUP(B290,Master_Sales!$A$1:$D$9,2,FALSE)</f>
        <v>Dewi Anggraini</v>
      </c>
      <c r="F290" s="10" t="str">
        <f>INDEX(Master_Sales!$D$1:$D$9,MATCH(Lembar_Kerja_Analisis!B290,Master_Sales!$A$1:$A$9,0))</f>
        <v>Barat</v>
      </c>
      <c r="G290" s="10" t="str">
        <f>INDEX(Master_Sales!$C$1:$C$9,MATCH(Lembar_Kerja_Analisis!B290,Master_Sales!$A$1:$A$9,0))</f>
        <v>Medan</v>
      </c>
      <c r="H290" s="10" t="str">
        <f>VLOOKUP(A290,Master_Produk!$A$1:$E$16,2,FALSE)</f>
        <v>Wajan Anti Lengket 28cm</v>
      </c>
      <c r="I290" s="10" t="str">
        <f>INDEX(Master_Produk!$C$1:$C$16,MATCH(Lembar_Kerja_Analisis!A290,Master_Produk!$A$1:$A$16,0))</f>
        <v>Peralatan Rumah</v>
      </c>
      <c r="J290" s="19">
        <f>_xlfn.XLOOKUP(A290,Master_Produk!$A$1:$A$16,Master_Produk!$D$1:$D$16,,0)</f>
        <v>210000</v>
      </c>
      <c r="K290" s="19">
        <f>INDEX(Master_Produk!$E$1:$E$16,MATCH(Lembar_Kerja_Analisis!A290,Master_Produk!$A$1:$A$16,0))</f>
        <v>140000</v>
      </c>
      <c r="L290" s="8">
        <v>4</v>
      </c>
      <c r="M290" s="19">
        <f t="shared" si="20"/>
        <v>840000</v>
      </c>
      <c r="N290" s="9">
        <v>0.2</v>
      </c>
      <c r="O290" s="19">
        <f t="shared" si="21"/>
        <v>168000</v>
      </c>
      <c r="P290" s="19">
        <f t="shared" si="22"/>
        <v>672000</v>
      </c>
      <c r="Q290" s="19">
        <f t="shared" si="23"/>
        <v>560000</v>
      </c>
      <c r="R290" s="19">
        <f t="shared" si="24"/>
        <v>112000</v>
      </c>
    </row>
    <row r="291" spans="1:18" x14ac:dyDescent="0.25">
      <c r="A291" t="str">
        <f>_xlfn.XLOOKUP(C291,Raw_Data_Transaksi!$A$1:$A$1001,Raw_Data_Transaksi!$D$1:$D$1001,,0)</f>
        <v>PRD-112</v>
      </c>
      <c r="B291" t="str">
        <f>_xlfn.XLOOKUP(C291,Raw_Data_Transaksi!$A$1:$A$1001,Raw_Data_Transaksi!$C$1:$C$1001,,0)</f>
        <v>SLS-06</v>
      </c>
      <c r="C291" s="6" t="s">
        <v>375</v>
      </c>
      <c r="D291" s="7">
        <v>45928</v>
      </c>
      <c r="E291" s="10" t="str">
        <f>VLOOKUP(B291,Master_Sales!$A$1:$D$9,2,FALSE)</f>
        <v>Fajar Nugraha</v>
      </c>
      <c r="F291" s="10" t="str">
        <f>INDEX(Master_Sales!$D$1:$D$9,MATCH(Lembar_Kerja_Analisis!B291,Master_Sales!$A$1:$A$9,0))</f>
        <v>Timur</v>
      </c>
      <c r="G291" s="10" t="str">
        <f>INDEX(Master_Sales!$C$1:$C$9,MATCH(Lembar_Kerja_Analisis!B291,Master_Sales!$A$1:$A$9,0))</f>
        <v>Makassar</v>
      </c>
      <c r="H291" s="10" t="str">
        <f>VLOOKUP(A291,Master_Produk!$A$1:$E$16,2,FALSE)</f>
        <v>Susu UHT Full Cream 1L</v>
      </c>
      <c r="I291" s="10" t="str">
        <f>INDEX(Master_Produk!$C$1:$C$16,MATCH(Lembar_Kerja_Analisis!A291,Master_Produk!$A$1:$A$16,0))</f>
        <v>F&amp;B</v>
      </c>
      <c r="J291" s="19">
        <f>_xlfn.XLOOKUP(A291,Master_Produk!$A$1:$A$16,Master_Produk!$D$1:$D$16,,0)</f>
        <v>22000</v>
      </c>
      <c r="K291" s="19">
        <f>INDEX(Master_Produk!$E$1:$E$16,MATCH(Lembar_Kerja_Analisis!A291,Master_Produk!$A$1:$A$16,0))</f>
        <v>18000</v>
      </c>
      <c r="L291" s="8">
        <v>21</v>
      </c>
      <c r="M291" s="19">
        <f t="shared" si="20"/>
        <v>462000</v>
      </c>
      <c r="N291" s="9">
        <v>0</v>
      </c>
      <c r="O291" s="19">
        <f t="shared" si="21"/>
        <v>0</v>
      </c>
      <c r="P291" s="19">
        <f t="shared" si="22"/>
        <v>462000</v>
      </c>
      <c r="Q291" s="19">
        <f t="shared" si="23"/>
        <v>378000</v>
      </c>
      <c r="R291" s="19">
        <f t="shared" si="24"/>
        <v>84000</v>
      </c>
    </row>
    <row r="292" spans="1:18" x14ac:dyDescent="0.25">
      <c r="A292" t="str">
        <f>_xlfn.XLOOKUP(C292,Raw_Data_Transaksi!$A$1:$A$1001,Raw_Data_Transaksi!$D$1:$D$1001,,0)</f>
        <v>PRD-109</v>
      </c>
      <c r="B292" t="str">
        <f>_xlfn.XLOOKUP(C292,Raw_Data_Transaksi!$A$1:$A$1001,Raw_Data_Transaksi!$C$1:$C$1001,,0)</f>
        <v>SLS-03</v>
      </c>
      <c r="C292" s="6" t="s">
        <v>376</v>
      </c>
      <c r="D292" s="7">
        <v>45951</v>
      </c>
      <c r="E292" s="10" t="str">
        <f>VLOOKUP(B292,Master_Sales!$A$1:$D$9,2,FALSE)</f>
        <v>Citra Lestari</v>
      </c>
      <c r="F292" s="10" t="str">
        <f>INDEX(Master_Sales!$D$1:$D$9,MATCH(Lembar_Kerja_Analisis!B292,Master_Sales!$A$1:$A$9,0))</f>
        <v>Barat</v>
      </c>
      <c r="G292" s="10" t="str">
        <f>INDEX(Master_Sales!$C$1:$C$9,MATCH(Lembar_Kerja_Analisis!B292,Master_Sales!$A$1:$A$9,0))</f>
        <v>Bandung</v>
      </c>
      <c r="H292" s="10" t="str">
        <f>VLOOKUP(A292,Master_Produk!$A$1:$E$16,2,FALSE)</f>
        <v>Kopi Arabika Gayo 250g</v>
      </c>
      <c r="I292" s="10" t="str">
        <f>INDEX(Master_Produk!$C$1:$C$16,MATCH(Lembar_Kerja_Analisis!A292,Master_Produk!$A$1:$A$16,0))</f>
        <v>F&amp;B</v>
      </c>
      <c r="J292" s="19">
        <f>_xlfn.XLOOKUP(A292,Master_Produk!$A$1:$A$16,Master_Produk!$D$1:$D$16,,0)</f>
        <v>85000</v>
      </c>
      <c r="K292" s="19">
        <f>INDEX(Master_Produk!$E$1:$E$16,MATCH(Lembar_Kerja_Analisis!A292,Master_Produk!$A$1:$A$16,0))</f>
        <v>55000</v>
      </c>
      <c r="L292" s="8">
        <v>13</v>
      </c>
      <c r="M292" s="19">
        <f t="shared" si="20"/>
        <v>1105000</v>
      </c>
      <c r="N292" s="9">
        <v>0.2</v>
      </c>
      <c r="O292" s="19">
        <f t="shared" si="21"/>
        <v>221000</v>
      </c>
      <c r="P292" s="19">
        <f t="shared" si="22"/>
        <v>884000</v>
      </c>
      <c r="Q292" s="19">
        <f t="shared" si="23"/>
        <v>715000</v>
      </c>
      <c r="R292" s="19">
        <f t="shared" si="24"/>
        <v>169000</v>
      </c>
    </row>
    <row r="293" spans="1:18" x14ac:dyDescent="0.25">
      <c r="A293" t="str">
        <f>_xlfn.XLOOKUP(C293,Raw_Data_Transaksi!$A$1:$A$1001,Raw_Data_Transaksi!$D$1:$D$1001,,0)</f>
        <v>PRD-108</v>
      </c>
      <c r="B293" t="str">
        <f>_xlfn.XLOOKUP(C293,Raw_Data_Transaksi!$A$1:$A$1001,Raw_Data_Transaksi!$C$1:$C$1001,,0)</f>
        <v>SLS-02</v>
      </c>
      <c r="C293" s="6" t="s">
        <v>377</v>
      </c>
      <c r="D293" s="7">
        <v>45956</v>
      </c>
      <c r="E293" s="10" t="str">
        <f>VLOOKUP(B293,Master_Sales!$A$1:$D$9,2,FALSE)</f>
        <v>Budi Santoso</v>
      </c>
      <c r="F293" s="10" t="str">
        <f>INDEX(Master_Sales!$D$1:$D$9,MATCH(Lembar_Kerja_Analisis!B293,Master_Sales!$A$1:$A$9,0))</f>
        <v>Timur</v>
      </c>
      <c r="G293" s="10" t="str">
        <f>INDEX(Master_Sales!$C$1:$C$9,MATCH(Lembar_Kerja_Analisis!B293,Master_Sales!$A$1:$A$9,0))</f>
        <v>Surabaya</v>
      </c>
      <c r="H293" s="10" t="str">
        <f>VLOOKUP(A293,Master_Produk!$A$1:$E$16,2,FALSE)</f>
        <v>Sepatu Sneakers Pria/Wanita</v>
      </c>
      <c r="I293" s="10" t="str">
        <f>INDEX(Master_Produk!$C$1:$C$16,MATCH(Lembar_Kerja_Analisis!A293,Master_Produk!$A$1:$A$16,0))</f>
        <v>Fashion</v>
      </c>
      <c r="J293" s="19">
        <f>_xlfn.XLOOKUP(A293,Master_Produk!$A$1:$A$16,Master_Produk!$D$1:$D$16,,0)</f>
        <v>450000</v>
      </c>
      <c r="K293" s="19">
        <f>INDEX(Master_Produk!$E$1:$E$16,MATCH(Lembar_Kerja_Analisis!A293,Master_Produk!$A$1:$A$16,0))</f>
        <v>290000</v>
      </c>
      <c r="L293" s="8">
        <v>9</v>
      </c>
      <c r="M293" s="19">
        <f t="shared" si="20"/>
        <v>4050000</v>
      </c>
      <c r="N293" s="9">
        <v>0.15</v>
      </c>
      <c r="O293" s="19">
        <f t="shared" si="21"/>
        <v>607500</v>
      </c>
      <c r="P293" s="19">
        <f t="shared" si="22"/>
        <v>3442500</v>
      </c>
      <c r="Q293" s="19">
        <f t="shared" si="23"/>
        <v>2610000</v>
      </c>
      <c r="R293" s="19">
        <f t="shared" si="24"/>
        <v>832500</v>
      </c>
    </row>
    <row r="294" spans="1:18" x14ac:dyDescent="0.25">
      <c r="A294" t="str">
        <f>_xlfn.XLOOKUP(C294,Raw_Data_Transaksi!$A$1:$A$1001,Raw_Data_Transaksi!$D$1:$D$1001,,0)</f>
        <v>PRD-107</v>
      </c>
      <c r="B294" t="str">
        <f>_xlfn.XLOOKUP(C294,Raw_Data_Transaksi!$A$1:$A$1001,Raw_Data_Transaksi!$C$1:$C$1001,,0)</f>
        <v>SLS-08</v>
      </c>
      <c r="C294" s="6" t="s">
        <v>378</v>
      </c>
      <c r="D294" s="7">
        <v>45920</v>
      </c>
      <c r="E294" s="10" t="str">
        <f>VLOOKUP(B294,Master_Sales!$A$1:$D$9,2,FALSE)</f>
        <v>Hendra Wijaya</v>
      </c>
      <c r="F294" s="10" t="str">
        <f>INDEX(Master_Sales!$D$1:$D$9,MATCH(Lembar_Kerja_Analisis!B294,Master_Sales!$A$1:$A$9,0))</f>
        <v>Tengah</v>
      </c>
      <c r="G294" s="10" t="str">
        <f>INDEX(Master_Sales!$C$1:$C$9,MATCH(Lembar_Kerja_Analisis!B294,Master_Sales!$A$1:$A$9,0))</f>
        <v>Yogyakarta</v>
      </c>
      <c r="H294" s="10" t="str">
        <f>VLOOKUP(A294,Master_Produk!$A$1:$E$16,2,FALSE)</f>
        <v>Jaket Hoodie Casual</v>
      </c>
      <c r="I294" s="10" t="str">
        <f>INDEX(Master_Produk!$C$1:$C$16,MATCH(Lembar_Kerja_Analisis!A294,Master_Produk!$A$1:$A$16,0))</f>
        <v>Fashion</v>
      </c>
      <c r="J294" s="19">
        <f>_xlfn.XLOOKUP(A294,Master_Produk!$A$1:$A$16,Master_Produk!$D$1:$D$16,,0)</f>
        <v>350000</v>
      </c>
      <c r="K294" s="19">
        <f>INDEX(Master_Produk!$E$1:$E$16,MATCH(Lembar_Kerja_Analisis!A294,Master_Produk!$A$1:$A$16,0))</f>
        <v>220000</v>
      </c>
      <c r="L294" s="8">
        <v>10</v>
      </c>
      <c r="M294" s="19">
        <f t="shared" si="20"/>
        <v>3500000</v>
      </c>
      <c r="N294" s="9">
        <v>0</v>
      </c>
      <c r="O294" s="19">
        <f t="shared" si="21"/>
        <v>0</v>
      </c>
      <c r="P294" s="19">
        <f t="shared" si="22"/>
        <v>3500000</v>
      </c>
      <c r="Q294" s="19">
        <f t="shared" si="23"/>
        <v>2200000</v>
      </c>
      <c r="R294" s="19">
        <f t="shared" si="24"/>
        <v>1300000</v>
      </c>
    </row>
    <row r="295" spans="1:18" x14ac:dyDescent="0.25">
      <c r="A295" t="str">
        <f>_xlfn.XLOOKUP(C295,Raw_Data_Transaksi!$A$1:$A$1001,Raw_Data_Transaksi!$D$1:$D$1001,,0)</f>
        <v>PRD-107</v>
      </c>
      <c r="B295" t="str">
        <f>_xlfn.XLOOKUP(C295,Raw_Data_Transaksi!$A$1:$A$1001,Raw_Data_Transaksi!$C$1:$C$1001,,0)</f>
        <v>SLS-05</v>
      </c>
      <c r="C295" s="6" t="s">
        <v>379</v>
      </c>
      <c r="D295" s="7">
        <v>45669</v>
      </c>
      <c r="E295" s="10" t="str">
        <f>VLOOKUP(B295,Master_Sales!$A$1:$D$9,2,FALSE)</f>
        <v>Eko Prasetyo</v>
      </c>
      <c r="F295" s="10" t="str">
        <f>INDEX(Master_Sales!$D$1:$D$9,MATCH(Lembar_Kerja_Analisis!B295,Master_Sales!$A$1:$A$9,0))</f>
        <v>Tengah</v>
      </c>
      <c r="G295" s="10" t="str">
        <f>INDEX(Master_Sales!$C$1:$C$9,MATCH(Lembar_Kerja_Analisis!B295,Master_Sales!$A$1:$A$9,0))</f>
        <v>Semarang</v>
      </c>
      <c r="H295" s="10" t="str">
        <f>VLOOKUP(A295,Master_Produk!$A$1:$E$16,2,FALSE)</f>
        <v>Jaket Hoodie Casual</v>
      </c>
      <c r="I295" s="10" t="str">
        <f>INDEX(Master_Produk!$C$1:$C$16,MATCH(Lembar_Kerja_Analisis!A295,Master_Produk!$A$1:$A$16,0))</f>
        <v>Fashion</v>
      </c>
      <c r="J295" s="19">
        <f>_xlfn.XLOOKUP(A295,Master_Produk!$A$1:$A$16,Master_Produk!$D$1:$D$16,,0)</f>
        <v>350000</v>
      </c>
      <c r="K295" s="19">
        <f>INDEX(Master_Produk!$E$1:$E$16,MATCH(Lembar_Kerja_Analisis!A295,Master_Produk!$A$1:$A$16,0))</f>
        <v>220000</v>
      </c>
      <c r="L295" s="8">
        <v>1</v>
      </c>
      <c r="M295" s="19">
        <f t="shared" si="20"/>
        <v>350000</v>
      </c>
      <c r="N295" s="9">
        <v>0.05</v>
      </c>
      <c r="O295" s="19">
        <f t="shared" si="21"/>
        <v>17500</v>
      </c>
      <c r="P295" s="19">
        <f t="shared" si="22"/>
        <v>332500</v>
      </c>
      <c r="Q295" s="19">
        <f t="shared" si="23"/>
        <v>220000</v>
      </c>
      <c r="R295" s="19">
        <f t="shared" si="24"/>
        <v>112500</v>
      </c>
    </row>
    <row r="296" spans="1:18" x14ac:dyDescent="0.25">
      <c r="A296" t="str">
        <f>_xlfn.XLOOKUP(C296,Raw_Data_Transaksi!$A$1:$A$1001,Raw_Data_Transaksi!$D$1:$D$1001,,0)</f>
        <v>PRD-112</v>
      </c>
      <c r="B296" t="str">
        <f>_xlfn.XLOOKUP(C296,Raw_Data_Transaksi!$A$1:$A$1001,Raw_Data_Transaksi!$C$1:$C$1001,,0)</f>
        <v>SLS-02</v>
      </c>
      <c r="C296" s="6" t="s">
        <v>380</v>
      </c>
      <c r="D296" s="7">
        <v>45834</v>
      </c>
      <c r="E296" s="10" t="str">
        <f>VLOOKUP(B296,Master_Sales!$A$1:$D$9,2,FALSE)</f>
        <v>Budi Santoso</v>
      </c>
      <c r="F296" s="10" t="str">
        <f>INDEX(Master_Sales!$D$1:$D$9,MATCH(Lembar_Kerja_Analisis!B296,Master_Sales!$A$1:$A$9,0))</f>
        <v>Timur</v>
      </c>
      <c r="G296" s="10" t="str">
        <f>INDEX(Master_Sales!$C$1:$C$9,MATCH(Lembar_Kerja_Analisis!B296,Master_Sales!$A$1:$A$9,0))</f>
        <v>Surabaya</v>
      </c>
      <c r="H296" s="10" t="str">
        <f>VLOOKUP(A296,Master_Produk!$A$1:$E$16,2,FALSE)</f>
        <v>Susu UHT Full Cream 1L</v>
      </c>
      <c r="I296" s="10" t="str">
        <f>INDEX(Master_Produk!$C$1:$C$16,MATCH(Lembar_Kerja_Analisis!A296,Master_Produk!$A$1:$A$16,0))</f>
        <v>F&amp;B</v>
      </c>
      <c r="J296" s="19">
        <f>_xlfn.XLOOKUP(A296,Master_Produk!$A$1:$A$16,Master_Produk!$D$1:$D$16,,0)</f>
        <v>22000</v>
      </c>
      <c r="K296" s="19">
        <f>INDEX(Master_Produk!$E$1:$E$16,MATCH(Lembar_Kerja_Analisis!A296,Master_Produk!$A$1:$A$16,0))</f>
        <v>18000</v>
      </c>
      <c r="L296" s="8">
        <v>4</v>
      </c>
      <c r="M296" s="19">
        <f t="shared" si="20"/>
        <v>88000</v>
      </c>
      <c r="N296" s="9">
        <v>0</v>
      </c>
      <c r="O296" s="19">
        <f t="shared" si="21"/>
        <v>0</v>
      </c>
      <c r="P296" s="19">
        <f t="shared" si="22"/>
        <v>88000</v>
      </c>
      <c r="Q296" s="19">
        <f t="shared" si="23"/>
        <v>72000</v>
      </c>
      <c r="R296" s="19">
        <f t="shared" si="24"/>
        <v>16000</v>
      </c>
    </row>
    <row r="297" spans="1:18" x14ac:dyDescent="0.25">
      <c r="A297" t="str">
        <f>_xlfn.XLOOKUP(C297,Raw_Data_Transaksi!$A$1:$A$1001,Raw_Data_Transaksi!$D$1:$D$1001,,0)</f>
        <v>PRD-103</v>
      </c>
      <c r="B297" t="str">
        <f>_xlfn.XLOOKUP(C297,Raw_Data_Transaksi!$A$1:$A$1001,Raw_Data_Transaksi!$C$1:$C$1001,,0)</f>
        <v>SLS-03</v>
      </c>
      <c r="C297" s="6" t="s">
        <v>381</v>
      </c>
      <c r="D297" s="7">
        <v>45867</v>
      </c>
      <c r="E297" s="10" t="str">
        <f>VLOOKUP(B297,Master_Sales!$A$1:$D$9,2,FALSE)</f>
        <v>Citra Lestari</v>
      </c>
      <c r="F297" s="10" t="str">
        <f>INDEX(Master_Sales!$D$1:$D$9,MATCH(Lembar_Kerja_Analisis!B297,Master_Sales!$A$1:$A$9,0))</f>
        <v>Barat</v>
      </c>
      <c r="G297" s="10" t="str">
        <f>INDEX(Master_Sales!$C$1:$C$9,MATCH(Lembar_Kerja_Analisis!B297,Master_Sales!$A$1:$A$9,0))</f>
        <v>Bandung</v>
      </c>
      <c r="H297" s="10" t="str">
        <f>VLOOKUP(A297,Master_Produk!$A$1:$E$16,2,FALSE)</f>
        <v>Mechanical Keyboard RGB</v>
      </c>
      <c r="I297" s="10" t="str">
        <f>INDEX(Master_Produk!$C$1:$C$16,MATCH(Lembar_Kerja_Analisis!A297,Master_Produk!$A$1:$A$16,0))</f>
        <v>Elektronik</v>
      </c>
      <c r="J297" s="19">
        <f>_xlfn.XLOOKUP(A297,Master_Produk!$A$1:$A$16,Master_Produk!$D$1:$D$16,,0)</f>
        <v>750000</v>
      </c>
      <c r="K297" s="19">
        <f>INDEX(Master_Produk!$E$1:$E$16,MATCH(Lembar_Kerja_Analisis!A297,Master_Produk!$A$1:$A$16,0))</f>
        <v>520000</v>
      </c>
      <c r="L297" s="8">
        <v>11</v>
      </c>
      <c r="M297" s="19">
        <f t="shared" si="20"/>
        <v>8250000</v>
      </c>
      <c r="N297" s="9">
        <v>0.15</v>
      </c>
      <c r="O297" s="19">
        <f t="shared" si="21"/>
        <v>1237500</v>
      </c>
      <c r="P297" s="19">
        <f t="shared" si="22"/>
        <v>7012500</v>
      </c>
      <c r="Q297" s="19">
        <f t="shared" si="23"/>
        <v>5720000</v>
      </c>
      <c r="R297" s="19">
        <f t="shared" si="24"/>
        <v>1292500</v>
      </c>
    </row>
    <row r="298" spans="1:18" x14ac:dyDescent="0.25">
      <c r="A298" t="str">
        <f>_xlfn.XLOOKUP(C298,Raw_Data_Transaksi!$A$1:$A$1001,Raw_Data_Transaksi!$D$1:$D$1001,,0)</f>
        <v>PRD-107</v>
      </c>
      <c r="B298" t="str">
        <f>_xlfn.XLOOKUP(C298,Raw_Data_Transaksi!$A$1:$A$1001,Raw_Data_Transaksi!$C$1:$C$1001,,0)</f>
        <v>SLS-02</v>
      </c>
      <c r="C298" s="6" t="s">
        <v>382</v>
      </c>
      <c r="D298" s="7">
        <v>45851</v>
      </c>
      <c r="E298" s="10" t="str">
        <f>VLOOKUP(B298,Master_Sales!$A$1:$D$9,2,FALSE)</f>
        <v>Budi Santoso</v>
      </c>
      <c r="F298" s="10" t="str">
        <f>INDEX(Master_Sales!$D$1:$D$9,MATCH(Lembar_Kerja_Analisis!B298,Master_Sales!$A$1:$A$9,0))</f>
        <v>Timur</v>
      </c>
      <c r="G298" s="10" t="str">
        <f>INDEX(Master_Sales!$C$1:$C$9,MATCH(Lembar_Kerja_Analisis!B298,Master_Sales!$A$1:$A$9,0))</f>
        <v>Surabaya</v>
      </c>
      <c r="H298" s="10" t="str">
        <f>VLOOKUP(A298,Master_Produk!$A$1:$E$16,2,FALSE)</f>
        <v>Jaket Hoodie Casual</v>
      </c>
      <c r="I298" s="10" t="str">
        <f>INDEX(Master_Produk!$C$1:$C$16,MATCH(Lembar_Kerja_Analisis!A298,Master_Produk!$A$1:$A$16,0))</f>
        <v>Fashion</v>
      </c>
      <c r="J298" s="19">
        <f>_xlfn.XLOOKUP(A298,Master_Produk!$A$1:$A$16,Master_Produk!$D$1:$D$16,,0)</f>
        <v>350000</v>
      </c>
      <c r="K298" s="19">
        <f>INDEX(Master_Produk!$E$1:$E$16,MATCH(Lembar_Kerja_Analisis!A298,Master_Produk!$A$1:$A$16,0))</f>
        <v>220000</v>
      </c>
      <c r="L298" s="8">
        <v>11</v>
      </c>
      <c r="M298" s="19">
        <f t="shared" si="20"/>
        <v>3850000</v>
      </c>
      <c r="N298" s="9">
        <v>0.2</v>
      </c>
      <c r="O298" s="19">
        <f t="shared" si="21"/>
        <v>770000</v>
      </c>
      <c r="P298" s="19">
        <f t="shared" si="22"/>
        <v>3080000</v>
      </c>
      <c r="Q298" s="19">
        <f t="shared" si="23"/>
        <v>2420000</v>
      </c>
      <c r="R298" s="19">
        <f t="shared" si="24"/>
        <v>660000</v>
      </c>
    </row>
    <row r="299" spans="1:18" x14ac:dyDescent="0.25">
      <c r="A299" t="str">
        <f>_xlfn.XLOOKUP(C299,Raw_Data_Transaksi!$A$1:$A$1001,Raw_Data_Transaksi!$D$1:$D$1001,,0)</f>
        <v>PRD-103</v>
      </c>
      <c r="B299" t="str">
        <f>_xlfn.XLOOKUP(C299,Raw_Data_Transaksi!$A$1:$A$1001,Raw_Data_Transaksi!$C$1:$C$1001,,0)</f>
        <v>SLS-07</v>
      </c>
      <c r="C299" s="6" t="s">
        <v>383</v>
      </c>
      <c r="D299" s="7">
        <v>45718</v>
      </c>
      <c r="E299" s="10" t="str">
        <f>VLOOKUP(B299,Master_Sales!$A$1:$D$9,2,FALSE)</f>
        <v>Gita Permata</v>
      </c>
      <c r="F299" s="10" t="str">
        <f>INDEX(Master_Sales!$D$1:$D$9,MATCH(Lembar_Kerja_Analisis!B299,Master_Sales!$A$1:$A$9,0))</f>
        <v>Tengah</v>
      </c>
      <c r="G299" s="10" t="str">
        <f>INDEX(Master_Sales!$C$1:$C$9,MATCH(Lembar_Kerja_Analisis!B299,Master_Sales!$A$1:$A$9,0))</f>
        <v>Denpasar</v>
      </c>
      <c r="H299" s="10" t="str">
        <f>VLOOKUP(A299,Master_Produk!$A$1:$E$16,2,FALSE)</f>
        <v>Mechanical Keyboard RGB</v>
      </c>
      <c r="I299" s="10" t="str">
        <f>INDEX(Master_Produk!$C$1:$C$16,MATCH(Lembar_Kerja_Analisis!A299,Master_Produk!$A$1:$A$16,0))</f>
        <v>Elektronik</v>
      </c>
      <c r="J299" s="19">
        <f>_xlfn.XLOOKUP(A299,Master_Produk!$A$1:$A$16,Master_Produk!$D$1:$D$16,,0)</f>
        <v>750000</v>
      </c>
      <c r="K299" s="19">
        <f>INDEX(Master_Produk!$E$1:$E$16,MATCH(Lembar_Kerja_Analisis!A299,Master_Produk!$A$1:$A$16,0))</f>
        <v>520000</v>
      </c>
      <c r="L299" s="8">
        <v>9</v>
      </c>
      <c r="M299" s="19">
        <f t="shared" si="20"/>
        <v>6750000</v>
      </c>
      <c r="N299" s="9">
        <v>0.05</v>
      </c>
      <c r="O299" s="19">
        <f t="shared" si="21"/>
        <v>337500</v>
      </c>
      <c r="P299" s="19">
        <f t="shared" si="22"/>
        <v>6412500</v>
      </c>
      <c r="Q299" s="19">
        <f t="shared" si="23"/>
        <v>4680000</v>
      </c>
      <c r="R299" s="19">
        <f t="shared" si="24"/>
        <v>1732500</v>
      </c>
    </row>
    <row r="300" spans="1:18" x14ac:dyDescent="0.25">
      <c r="A300" t="str">
        <f>_xlfn.XLOOKUP(C300,Raw_Data_Transaksi!$A$1:$A$1001,Raw_Data_Transaksi!$D$1:$D$1001,,0)</f>
        <v>PRD-108</v>
      </c>
      <c r="B300" t="str">
        <f>_xlfn.XLOOKUP(C300,Raw_Data_Transaksi!$A$1:$A$1001,Raw_Data_Transaksi!$C$1:$C$1001,,0)</f>
        <v>SLS-07</v>
      </c>
      <c r="C300" s="6" t="s">
        <v>384</v>
      </c>
      <c r="D300" s="7">
        <v>45810</v>
      </c>
      <c r="E300" s="10" t="str">
        <f>VLOOKUP(B300,Master_Sales!$A$1:$D$9,2,FALSE)</f>
        <v>Gita Permata</v>
      </c>
      <c r="F300" s="10" t="str">
        <f>INDEX(Master_Sales!$D$1:$D$9,MATCH(Lembar_Kerja_Analisis!B300,Master_Sales!$A$1:$A$9,0))</f>
        <v>Tengah</v>
      </c>
      <c r="G300" s="10" t="str">
        <f>INDEX(Master_Sales!$C$1:$C$9,MATCH(Lembar_Kerja_Analisis!B300,Master_Sales!$A$1:$A$9,0))</f>
        <v>Denpasar</v>
      </c>
      <c r="H300" s="10" t="str">
        <f>VLOOKUP(A300,Master_Produk!$A$1:$E$16,2,FALSE)</f>
        <v>Sepatu Sneakers Pria/Wanita</v>
      </c>
      <c r="I300" s="10" t="str">
        <f>INDEX(Master_Produk!$C$1:$C$16,MATCH(Lembar_Kerja_Analisis!A300,Master_Produk!$A$1:$A$16,0))</f>
        <v>Fashion</v>
      </c>
      <c r="J300" s="19">
        <f>_xlfn.XLOOKUP(A300,Master_Produk!$A$1:$A$16,Master_Produk!$D$1:$D$16,,0)</f>
        <v>450000</v>
      </c>
      <c r="K300" s="19">
        <f>INDEX(Master_Produk!$E$1:$E$16,MATCH(Lembar_Kerja_Analisis!A300,Master_Produk!$A$1:$A$16,0))</f>
        <v>290000</v>
      </c>
      <c r="L300" s="8">
        <v>9</v>
      </c>
      <c r="M300" s="19">
        <f t="shared" si="20"/>
        <v>4050000</v>
      </c>
      <c r="N300" s="9">
        <v>0.15</v>
      </c>
      <c r="O300" s="19">
        <f t="shared" si="21"/>
        <v>607500</v>
      </c>
      <c r="P300" s="19">
        <f t="shared" si="22"/>
        <v>3442500</v>
      </c>
      <c r="Q300" s="19">
        <f t="shared" si="23"/>
        <v>2610000</v>
      </c>
      <c r="R300" s="19">
        <f t="shared" si="24"/>
        <v>832500</v>
      </c>
    </row>
    <row r="301" spans="1:18" x14ac:dyDescent="0.25">
      <c r="A301" t="str">
        <f>_xlfn.XLOOKUP(C301,Raw_Data_Transaksi!$A$1:$A$1001,Raw_Data_Transaksi!$D$1:$D$1001,,0)</f>
        <v>PRD-103</v>
      </c>
      <c r="B301" t="str">
        <f>_xlfn.XLOOKUP(C301,Raw_Data_Transaksi!$A$1:$A$1001,Raw_Data_Transaksi!$C$1:$C$1001,,0)</f>
        <v>SLS-05</v>
      </c>
      <c r="C301" s="6" t="s">
        <v>385</v>
      </c>
      <c r="D301" s="7">
        <v>45835</v>
      </c>
      <c r="E301" s="10" t="str">
        <f>VLOOKUP(B301,Master_Sales!$A$1:$D$9,2,FALSE)</f>
        <v>Eko Prasetyo</v>
      </c>
      <c r="F301" s="10" t="str">
        <f>INDEX(Master_Sales!$D$1:$D$9,MATCH(Lembar_Kerja_Analisis!B301,Master_Sales!$A$1:$A$9,0))</f>
        <v>Tengah</v>
      </c>
      <c r="G301" s="10" t="str">
        <f>INDEX(Master_Sales!$C$1:$C$9,MATCH(Lembar_Kerja_Analisis!B301,Master_Sales!$A$1:$A$9,0))</f>
        <v>Semarang</v>
      </c>
      <c r="H301" s="10" t="str">
        <f>VLOOKUP(A301,Master_Produk!$A$1:$E$16,2,FALSE)</f>
        <v>Mechanical Keyboard RGB</v>
      </c>
      <c r="I301" s="10" t="str">
        <f>INDEX(Master_Produk!$C$1:$C$16,MATCH(Lembar_Kerja_Analisis!A301,Master_Produk!$A$1:$A$16,0))</f>
        <v>Elektronik</v>
      </c>
      <c r="J301" s="19">
        <f>_xlfn.XLOOKUP(A301,Master_Produk!$A$1:$A$16,Master_Produk!$D$1:$D$16,,0)</f>
        <v>750000</v>
      </c>
      <c r="K301" s="19">
        <f>INDEX(Master_Produk!$E$1:$E$16,MATCH(Lembar_Kerja_Analisis!A301,Master_Produk!$A$1:$A$16,0))</f>
        <v>520000</v>
      </c>
      <c r="L301" s="8">
        <v>4</v>
      </c>
      <c r="M301" s="19">
        <f t="shared" si="20"/>
        <v>3000000</v>
      </c>
      <c r="N301" s="9">
        <v>0</v>
      </c>
      <c r="O301" s="19">
        <f t="shared" si="21"/>
        <v>0</v>
      </c>
      <c r="P301" s="19">
        <f t="shared" si="22"/>
        <v>3000000</v>
      </c>
      <c r="Q301" s="19">
        <f t="shared" si="23"/>
        <v>2080000</v>
      </c>
      <c r="R301" s="19">
        <f t="shared" si="24"/>
        <v>920000</v>
      </c>
    </row>
    <row r="302" spans="1:18" x14ac:dyDescent="0.25">
      <c r="A302" t="str">
        <f>_xlfn.XLOOKUP(C302,Raw_Data_Transaksi!$A$1:$A$1001,Raw_Data_Transaksi!$D$1:$D$1001,,0)</f>
        <v>PRD-113</v>
      </c>
      <c r="B302" t="str">
        <f>_xlfn.XLOOKUP(C302,Raw_Data_Transaksi!$A$1:$A$1001,Raw_Data_Transaksi!$C$1:$C$1001,,0)</f>
        <v>SLS-01</v>
      </c>
      <c r="C302" s="6" t="s">
        <v>386</v>
      </c>
      <c r="D302" s="7">
        <v>45972</v>
      </c>
      <c r="E302" s="10" t="str">
        <f>VLOOKUP(B302,Master_Sales!$A$1:$D$9,2,FALSE)</f>
        <v>Andi Pratama</v>
      </c>
      <c r="F302" s="10" t="str">
        <f>INDEX(Master_Sales!$D$1:$D$9,MATCH(Lembar_Kerja_Analisis!B302,Master_Sales!$A$1:$A$9,0))</f>
        <v>Barat</v>
      </c>
      <c r="G302" s="10" t="str">
        <f>INDEX(Master_Sales!$C$1:$C$9,MATCH(Lembar_Kerja_Analisis!B302,Master_Sales!$A$1:$A$9,0))</f>
        <v>Jakarta</v>
      </c>
      <c r="H302" s="10" t="str">
        <f>VLOOKUP(A302,Master_Produk!$A$1:$E$16,2,FALSE)</f>
        <v>Wajan Anti Lengket 28cm</v>
      </c>
      <c r="I302" s="10" t="str">
        <f>INDEX(Master_Produk!$C$1:$C$16,MATCH(Lembar_Kerja_Analisis!A302,Master_Produk!$A$1:$A$16,0))</f>
        <v>Peralatan Rumah</v>
      </c>
      <c r="J302" s="19">
        <f>_xlfn.XLOOKUP(A302,Master_Produk!$A$1:$A$16,Master_Produk!$D$1:$D$16,,0)</f>
        <v>210000</v>
      </c>
      <c r="K302" s="19">
        <f>INDEX(Master_Produk!$E$1:$E$16,MATCH(Lembar_Kerja_Analisis!A302,Master_Produk!$A$1:$A$16,0))</f>
        <v>140000</v>
      </c>
      <c r="L302" s="8">
        <v>4</v>
      </c>
      <c r="M302" s="19">
        <f t="shared" si="20"/>
        <v>840000</v>
      </c>
      <c r="N302" s="9">
        <v>0.05</v>
      </c>
      <c r="O302" s="19">
        <f t="shared" si="21"/>
        <v>42000</v>
      </c>
      <c r="P302" s="19">
        <f t="shared" si="22"/>
        <v>798000</v>
      </c>
      <c r="Q302" s="19">
        <f t="shared" si="23"/>
        <v>560000</v>
      </c>
      <c r="R302" s="19">
        <f t="shared" si="24"/>
        <v>238000</v>
      </c>
    </row>
    <row r="303" spans="1:18" x14ac:dyDescent="0.25">
      <c r="A303" t="str">
        <f>_xlfn.XLOOKUP(C303,Raw_Data_Transaksi!$A$1:$A$1001,Raw_Data_Transaksi!$D$1:$D$1001,,0)</f>
        <v>PRD-110</v>
      </c>
      <c r="B303" t="str">
        <f>_xlfn.XLOOKUP(C303,Raw_Data_Transaksi!$A$1:$A$1001,Raw_Data_Transaksi!$C$1:$C$1001,,0)</f>
        <v>SLS-01</v>
      </c>
      <c r="C303" s="6" t="s">
        <v>387</v>
      </c>
      <c r="D303" s="7">
        <v>45886</v>
      </c>
      <c r="E303" s="10" t="str">
        <f>VLOOKUP(B303,Master_Sales!$A$1:$D$9,2,FALSE)</f>
        <v>Andi Pratama</v>
      </c>
      <c r="F303" s="10" t="str">
        <f>INDEX(Master_Sales!$D$1:$D$9,MATCH(Lembar_Kerja_Analisis!B303,Master_Sales!$A$1:$A$9,0))</f>
        <v>Barat</v>
      </c>
      <c r="G303" s="10" t="str">
        <f>INDEX(Master_Sales!$C$1:$C$9,MATCH(Lembar_Kerja_Analisis!B303,Master_Sales!$A$1:$A$9,0))</f>
        <v>Jakarta</v>
      </c>
      <c r="H303" s="10" t="str">
        <f>VLOOKUP(A303,Master_Produk!$A$1:$E$16,2,FALSE)</f>
        <v>Minyak Goreng Sawit 2L</v>
      </c>
      <c r="I303" s="10" t="str">
        <f>INDEX(Master_Produk!$C$1:$C$16,MATCH(Lembar_Kerja_Analisis!A303,Master_Produk!$A$1:$A$16,0))</f>
        <v>F&amp;B</v>
      </c>
      <c r="J303" s="19">
        <f>_xlfn.XLOOKUP(A303,Master_Produk!$A$1:$A$16,Master_Produk!$D$1:$D$16,,0)</f>
        <v>36000</v>
      </c>
      <c r="K303" s="19">
        <f>INDEX(Master_Produk!$E$1:$E$16,MATCH(Lembar_Kerja_Analisis!A303,Master_Produk!$A$1:$A$16,0))</f>
        <v>31000</v>
      </c>
      <c r="L303" s="8">
        <v>26</v>
      </c>
      <c r="M303" s="19">
        <f t="shared" si="20"/>
        <v>936000</v>
      </c>
      <c r="N303" s="9">
        <v>0</v>
      </c>
      <c r="O303" s="19">
        <f t="shared" si="21"/>
        <v>0</v>
      </c>
      <c r="P303" s="19">
        <f t="shared" si="22"/>
        <v>936000</v>
      </c>
      <c r="Q303" s="19">
        <f t="shared" si="23"/>
        <v>806000</v>
      </c>
      <c r="R303" s="19">
        <f t="shared" si="24"/>
        <v>130000</v>
      </c>
    </row>
    <row r="304" spans="1:18" x14ac:dyDescent="0.25">
      <c r="A304" t="str">
        <f>_xlfn.XLOOKUP(C304,Raw_Data_Transaksi!$A$1:$A$1001,Raw_Data_Transaksi!$D$1:$D$1001,,0)</f>
        <v>PRD-104</v>
      </c>
      <c r="B304" t="str">
        <f>_xlfn.XLOOKUP(C304,Raw_Data_Transaksi!$A$1:$A$1001,Raw_Data_Transaksi!$C$1:$C$1001,,0)</f>
        <v>SLS-01</v>
      </c>
      <c r="C304" s="6" t="s">
        <v>388</v>
      </c>
      <c r="D304" s="7">
        <v>45934</v>
      </c>
      <c r="E304" s="10" t="str">
        <f>VLOOKUP(B304,Master_Sales!$A$1:$D$9,2,FALSE)</f>
        <v>Andi Pratama</v>
      </c>
      <c r="F304" s="10" t="str">
        <f>INDEX(Master_Sales!$D$1:$D$9,MATCH(Lembar_Kerja_Analisis!B304,Master_Sales!$A$1:$A$9,0))</f>
        <v>Barat</v>
      </c>
      <c r="G304" s="10" t="str">
        <f>INDEX(Master_Sales!$C$1:$C$9,MATCH(Lembar_Kerja_Analisis!B304,Master_Sales!$A$1:$A$9,0))</f>
        <v>Jakarta</v>
      </c>
      <c r="H304" s="10" t="str">
        <f>VLOOKUP(A304,Master_Produk!$A$1:$E$16,2,FALSE)</f>
        <v>Monitor 24" FHD 144Hz</v>
      </c>
      <c r="I304" s="10" t="str">
        <f>INDEX(Master_Produk!$C$1:$C$16,MATCH(Lembar_Kerja_Analisis!A304,Master_Produk!$A$1:$A$16,0))</f>
        <v>Elektronik</v>
      </c>
      <c r="J304" s="19">
        <f>_xlfn.XLOOKUP(A304,Master_Produk!$A$1:$A$16,Master_Produk!$D$1:$D$16,,0)</f>
        <v>1950000</v>
      </c>
      <c r="K304" s="19">
        <f>INDEX(Master_Produk!$E$1:$E$16,MATCH(Lembar_Kerja_Analisis!A304,Master_Produk!$A$1:$A$16,0))</f>
        <v>1500000</v>
      </c>
      <c r="L304" s="8">
        <v>3</v>
      </c>
      <c r="M304" s="19">
        <f t="shared" si="20"/>
        <v>5850000</v>
      </c>
      <c r="N304" s="9">
        <v>0.2</v>
      </c>
      <c r="O304" s="19">
        <f t="shared" si="21"/>
        <v>1170000</v>
      </c>
      <c r="P304" s="19">
        <f t="shared" si="22"/>
        <v>4680000</v>
      </c>
      <c r="Q304" s="19">
        <f t="shared" si="23"/>
        <v>4500000</v>
      </c>
      <c r="R304" s="19">
        <f t="shared" si="24"/>
        <v>180000</v>
      </c>
    </row>
    <row r="305" spans="1:18" x14ac:dyDescent="0.25">
      <c r="A305" t="str">
        <f>_xlfn.XLOOKUP(C305,Raw_Data_Transaksi!$A$1:$A$1001,Raw_Data_Transaksi!$D$1:$D$1001,,0)</f>
        <v>PRD-110</v>
      </c>
      <c r="B305" t="str">
        <f>_xlfn.XLOOKUP(C305,Raw_Data_Transaksi!$A$1:$A$1001,Raw_Data_Transaksi!$C$1:$C$1001,,0)</f>
        <v>SLS-06</v>
      </c>
      <c r="C305" s="6" t="s">
        <v>389</v>
      </c>
      <c r="D305" s="7">
        <v>45953</v>
      </c>
      <c r="E305" s="10" t="str">
        <f>VLOOKUP(B305,Master_Sales!$A$1:$D$9,2,FALSE)</f>
        <v>Fajar Nugraha</v>
      </c>
      <c r="F305" s="10" t="str">
        <f>INDEX(Master_Sales!$D$1:$D$9,MATCH(Lembar_Kerja_Analisis!B305,Master_Sales!$A$1:$A$9,0))</f>
        <v>Timur</v>
      </c>
      <c r="G305" s="10" t="str">
        <f>INDEX(Master_Sales!$C$1:$C$9,MATCH(Lembar_Kerja_Analisis!B305,Master_Sales!$A$1:$A$9,0))</f>
        <v>Makassar</v>
      </c>
      <c r="H305" s="10" t="str">
        <f>VLOOKUP(A305,Master_Produk!$A$1:$E$16,2,FALSE)</f>
        <v>Minyak Goreng Sawit 2L</v>
      </c>
      <c r="I305" s="10" t="str">
        <f>INDEX(Master_Produk!$C$1:$C$16,MATCH(Lembar_Kerja_Analisis!A305,Master_Produk!$A$1:$A$16,0))</f>
        <v>F&amp;B</v>
      </c>
      <c r="J305" s="19">
        <f>_xlfn.XLOOKUP(A305,Master_Produk!$A$1:$A$16,Master_Produk!$D$1:$D$16,,0)</f>
        <v>36000</v>
      </c>
      <c r="K305" s="19">
        <f>INDEX(Master_Produk!$E$1:$E$16,MATCH(Lembar_Kerja_Analisis!A305,Master_Produk!$A$1:$A$16,0))</f>
        <v>31000</v>
      </c>
      <c r="L305" s="8">
        <v>12</v>
      </c>
      <c r="M305" s="19">
        <f t="shared" si="20"/>
        <v>432000</v>
      </c>
      <c r="N305" s="9">
        <v>0.05</v>
      </c>
      <c r="O305" s="19">
        <f t="shared" si="21"/>
        <v>21600</v>
      </c>
      <c r="P305" s="19">
        <f t="shared" si="22"/>
        <v>410400</v>
      </c>
      <c r="Q305" s="19">
        <f t="shared" si="23"/>
        <v>372000</v>
      </c>
      <c r="R305" s="19">
        <f t="shared" si="24"/>
        <v>38400</v>
      </c>
    </row>
    <row r="306" spans="1:18" x14ac:dyDescent="0.25">
      <c r="A306" t="str">
        <f>_xlfn.XLOOKUP(C306,Raw_Data_Transaksi!$A$1:$A$1001,Raw_Data_Transaksi!$D$1:$D$1001,,0)</f>
        <v>PRD-101</v>
      </c>
      <c r="B306" t="str">
        <f>_xlfn.XLOOKUP(C306,Raw_Data_Transaksi!$A$1:$A$1001,Raw_Data_Transaksi!$C$1:$C$1001,,0)</f>
        <v>SLS-03</v>
      </c>
      <c r="C306" s="6" t="s">
        <v>390</v>
      </c>
      <c r="D306" s="7">
        <v>45798</v>
      </c>
      <c r="E306" s="10" t="str">
        <f>VLOOKUP(B306,Master_Sales!$A$1:$D$9,2,FALSE)</f>
        <v>Citra Lestari</v>
      </c>
      <c r="F306" s="10" t="str">
        <f>INDEX(Master_Sales!$D$1:$D$9,MATCH(Lembar_Kerja_Analisis!B306,Master_Sales!$A$1:$A$9,0))</f>
        <v>Barat</v>
      </c>
      <c r="G306" s="10" t="str">
        <f>INDEX(Master_Sales!$C$1:$C$9,MATCH(Lembar_Kerja_Analisis!B306,Master_Sales!$A$1:$A$9,0))</f>
        <v>Bandung</v>
      </c>
      <c r="H306" s="10" t="str">
        <f>VLOOKUP(A306,Master_Produk!$A$1:$E$16,2,FALSE)</f>
        <v>Laptop Ultrabook 14"</v>
      </c>
      <c r="I306" s="10" t="str">
        <f>INDEX(Master_Produk!$C$1:$C$16,MATCH(Lembar_Kerja_Analisis!A306,Master_Produk!$A$1:$A$16,0))</f>
        <v>Elektronik</v>
      </c>
      <c r="J306" s="19">
        <f>_xlfn.XLOOKUP(A306,Master_Produk!$A$1:$A$16,Master_Produk!$D$1:$D$16,,0)</f>
        <v>8500000</v>
      </c>
      <c r="K306" s="19">
        <f>INDEX(Master_Produk!$E$1:$E$16,MATCH(Lembar_Kerja_Analisis!A306,Master_Produk!$A$1:$A$16,0))</f>
        <v>7200000</v>
      </c>
      <c r="L306" s="8">
        <v>11</v>
      </c>
      <c r="M306" s="19">
        <f t="shared" si="20"/>
        <v>93500000</v>
      </c>
      <c r="N306" s="9">
        <v>0.15</v>
      </c>
      <c r="O306" s="19">
        <f t="shared" si="21"/>
        <v>14025000</v>
      </c>
      <c r="P306" s="19">
        <f t="shared" si="22"/>
        <v>79475000</v>
      </c>
      <c r="Q306" s="19">
        <f t="shared" si="23"/>
        <v>79200000</v>
      </c>
      <c r="R306" s="19">
        <f t="shared" si="24"/>
        <v>275000</v>
      </c>
    </row>
    <row r="307" spans="1:18" x14ac:dyDescent="0.25">
      <c r="A307" t="str">
        <f>_xlfn.XLOOKUP(C307,Raw_Data_Transaksi!$A$1:$A$1001,Raw_Data_Transaksi!$D$1:$D$1001,,0)</f>
        <v>PRD-111</v>
      </c>
      <c r="B307" t="str">
        <f>_xlfn.XLOOKUP(C307,Raw_Data_Transaksi!$A$1:$A$1001,Raw_Data_Transaksi!$C$1:$C$1001,,0)</f>
        <v>SLS-07</v>
      </c>
      <c r="C307" s="6" t="s">
        <v>391</v>
      </c>
      <c r="D307" s="7">
        <v>45987</v>
      </c>
      <c r="E307" s="10" t="str">
        <f>VLOOKUP(B307,Master_Sales!$A$1:$D$9,2,FALSE)</f>
        <v>Gita Permata</v>
      </c>
      <c r="F307" s="10" t="str">
        <f>INDEX(Master_Sales!$D$1:$D$9,MATCH(Lembar_Kerja_Analisis!B307,Master_Sales!$A$1:$A$9,0))</f>
        <v>Tengah</v>
      </c>
      <c r="G307" s="10" t="str">
        <f>INDEX(Master_Sales!$C$1:$C$9,MATCH(Lembar_Kerja_Analisis!B307,Master_Sales!$A$1:$A$9,0))</f>
        <v>Denpasar</v>
      </c>
      <c r="H307" s="10" t="str">
        <f>VLOOKUP(A307,Master_Produk!$A$1:$E$16,2,FALSE)</f>
        <v>Beras Premium 5kg</v>
      </c>
      <c r="I307" s="10" t="str">
        <f>INDEX(Master_Produk!$C$1:$C$16,MATCH(Lembar_Kerja_Analisis!A307,Master_Produk!$A$1:$A$16,0))</f>
        <v>F&amp;B</v>
      </c>
      <c r="J307" s="19">
        <f>_xlfn.XLOOKUP(A307,Master_Produk!$A$1:$A$16,Master_Produk!$D$1:$D$16,,0)</f>
        <v>74000</v>
      </c>
      <c r="K307" s="19">
        <f>INDEX(Master_Produk!$E$1:$E$16,MATCH(Lembar_Kerja_Analisis!A307,Master_Produk!$A$1:$A$16,0))</f>
        <v>65000</v>
      </c>
      <c r="L307" s="8">
        <v>13</v>
      </c>
      <c r="M307" s="19">
        <f t="shared" si="20"/>
        <v>962000</v>
      </c>
      <c r="N307" s="9">
        <v>0.15</v>
      </c>
      <c r="O307" s="19">
        <f t="shared" si="21"/>
        <v>144300</v>
      </c>
      <c r="P307" s="19">
        <f t="shared" si="22"/>
        <v>817700</v>
      </c>
      <c r="Q307" s="19">
        <f t="shared" si="23"/>
        <v>845000</v>
      </c>
      <c r="R307" s="19">
        <f t="shared" si="24"/>
        <v>-27300</v>
      </c>
    </row>
    <row r="308" spans="1:18" x14ac:dyDescent="0.25">
      <c r="A308" t="str">
        <f>_xlfn.XLOOKUP(C308,Raw_Data_Transaksi!$A$1:$A$1001,Raw_Data_Transaksi!$D$1:$D$1001,,0)</f>
        <v>PRD-103</v>
      </c>
      <c r="B308" t="str">
        <f>_xlfn.XLOOKUP(C308,Raw_Data_Transaksi!$A$1:$A$1001,Raw_Data_Transaksi!$C$1:$C$1001,,0)</f>
        <v>SLS-08</v>
      </c>
      <c r="C308" s="6" t="s">
        <v>392</v>
      </c>
      <c r="D308" s="7">
        <v>45850</v>
      </c>
      <c r="E308" s="10" t="str">
        <f>VLOOKUP(B308,Master_Sales!$A$1:$D$9,2,FALSE)</f>
        <v>Hendra Wijaya</v>
      </c>
      <c r="F308" s="10" t="str">
        <f>INDEX(Master_Sales!$D$1:$D$9,MATCH(Lembar_Kerja_Analisis!B308,Master_Sales!$A$1:$A$9,0))</f>
        <v>Tengah</v>
      </c>
      <c r="G308" s="10" t="str">
        <f>INDEX(Master_Sales!$C$1:$C$9,MATCH(Lembar_Kerja_Analisis!B308,Master_Sales!$A$1:$A$9,0))</f>
        <v>Yogyakarta</v>
      </c>
      <c r="H308" s="10" t="str">
        <f>VLOOKUP(A308,Master_Produk!$A$1:$E$16,2,FALSE)</f>
        <v>Mechanical Keyboard RGB</v>
      </c>
      <c r="I308" s="10" t="str">
        <f>INDEX(Master_Produk!$C$1:$C$16,MATCH(Lembar_Kerja_Analisis!A308,Master_Produk!$A$1:$A$16,0))</f>
        <v>Elektronik</v>
      </c>
      <c r="J308" s="19">
        <f>_xlfn.XLOOKUP(A308,Master_Produk!$A$1:$A$16,Master_Produk!$D$1:$D$16,,0)</f>
        <v>750000</v>
      </c>
      <c r="K308" s="19">
        <f>INDEX(Master_Produk!$E$1:$E$16,MATCH(Lembar_Kerja_Analisis!A308,Master_Produk!$A$1:$A$16,0))</f>
        <v>520000</v>
      </c>
      <c r="L308" s="8">
        <v>4</v>
      </c>
      <c r="M308" s="19">
        <f t="shared" si="20"/>
        <v>3000000</v>
      </c>
      <c r="N308" s="9">
        <v>0.05</v>
      </c>
      <c r="O308" s="19">
        <f t="shared" si="21"/>
        <v>150000</v>
      </c>
      <c r="P308" s="19">
        <f t="shared" si="22"/>
        <v>2850000</v>
      </c>
      <c r="Q308" s="19">
        <f t="shared" si="23"/>
        <v>2080000</v>
      </c>
      <c r="R308" s="19">
        <f t="shared" si="24"/>
        <v>770000</v>
      </c>
    </row>
    <row r="309" spans="1:18" x14ac:dyDescent="0.25">
      <c r="A309" t="str">
        <f>_xlfn.XLOOKUP(C309,Raw_Data_Transaksi!$A$1:$A$1001,Raw_Data_Transaksi!$D$1:$D$1001,,0)</f>
        <v>PRD-115</v>
      </c>
      <c r="B309" t="str">
        <f>_xlfn.XLOOKUP(C309,Raw_Data_Transaksi!$A$1:$A$1001,Raw_Data_Transaksi!$C$1:$C$1001,,0)</f>
        <v>SLS-01</v>
      </c>
      <c r="C309" s="6" t="s">
        <v>393</v>
      </c>
      <c r="D309" s="7">
        <v>45895</v>
      </c>
      <c r="E309" s="10" t="str">
        <f>VLOOKUP(B309,Master_Sales!$A$1:$D$9,2,FALSE)</f>
        <v>Andi Pratama</v>
      </c>
      <c r="F309" s="10" t="str">
        <f>INDEX(Master_Sales!$D$1:$D$9,MATCH(Lembar_Kerja_Analisis!B309,Master_Sales!$A$1:$A$9,0))</f>
        <v>Barat</v>
      </c>
      <c r="G309" s="10" t="str">
        <f>INDEX(Master_Sales!$C$1:$C$9,MATCH(Lembar_Kerja_Analisis!B309,Master_Sales!$A$1:$A$9,0))</f>
        <v>Jakarta</v>
      </c>
      <c r="H309" s="10" t="str">
        <f>VLOOKUP(A309,Master_Produk!$A$1:$E$16,2,FALSE)</f>
        <v>Set Pisau Dapur Stainless</v>
      </c>
      <c r="I309" s="10" t="str">
        <f>INDEX(Master_Produk!$C$1:$C$16,MATCH(Lembar_Kerja_Analisis!A309,Master_Produk!$A$1:$A$16,0))</f>
        <v>Peralatan Rumah</v>
      </c>
      <c r="J309" s="19">
        <f>_xlfn.XLOOKUP(A309,Master_Produk!$A$1:$A$16,Master_Produk!$D$1:$D$16,,0)</f>
        <v>165000</v>
      </c>
      <c r="K309" s="19">
        <f>INDEX(Master_Produk!$E$1:$E$16,MATCH(Lembar_Kerja_Analisis!A309,Master_Produk!$A$1:$A$16,0))</f>
        <v>105000</v>
      </c>
      <c r="L309" s="8">
        <v>9</v>
      </c>
      <c r="M309" s="19">
        <f t="shared" si="20"/>
        <v>1485000</v>
      </c>
      <c r="N309" s="9">
        <v>0.15</v>
      </c>
      <c r="O309" s="19">
        <f t="shared" si="21"/>
        <v>222750</v>
      </c>
      <c r="P309" s="19">
        <f t="shared" si="22"/>
        <v>1262250</v>
      </c>
      <c r="Q309" s="19">
        <f t="shared" si="23"/>
        <v>945000</v>
      </c>
      <c r="R309" s="19">
        <f t="shared" si="24"/>
        <v>317250</v>
      </c>
    </row>
    <row r="310" spans="1:18" x14ac:dyDescent="0.25">
      <c r="A310" t="str">
        <f>_xlfn.XLOOKUP(C310,Raw_Data_Transaksi!$A$1:$A$1001,Raw_Data_Transaksi!$D$1:$D$1001,,0)</f>
        <v>PRD-104</v>
      </c>
      <c r="B310" t="str">
        <f>_xlfn.XLOOKUP(C310,Raw_Data_Transaksi!$A$1:$A$1001,Raw_Data_Transaksi!$C$1:$C$1001,,0)</f>
        <v>SLS-05</v>
      </c>
      <c r="C310" s="6" t="s">
        <v>394</v>
      </c>
      <c r="D310" s="7">
        <v>45856</v>
      </c>
      <c r="E310" s="10" t="str">
        <f>VLOOKUP(B310,Master_Sales!$A$1:$D$9,2,FALSE)</f>
        <v>Eko Prasetyo</v>
      </c>
      <c r="F310" s="10" t="str">
        <f>INDEX(Master_Sales!$D$1:$D$9,MATCH(Lembar_Kerja_Analisis!B310,Master_Sales!$A$1:$A$9,0))</f>
        <v>Tengah</v>
      </c>
      <c r="G310" s="10" t="str">
        <f>INDEX(Master_Sales!$C$1:$C$9,MATCH(Lembar_Kerja_Analisis!B310,Master_Sales!$A$1:$A$9,0))</f>
        <v>Semarang</v>
      </c>
      <c r="H310" s="10" t="str">
        <f>VLOOKUP(A310,Master_Produk!$A$1:$E$16,2,FALSE)</f>
        <v>Monitor 24" FHD 144Hz</v>
      </c>
      <c r="I310" s="10" t="str">
        <f>INDEX(Master_Produk!$C$1:$C$16,MATCH(Lembar_Kerja_Analisis!A310,Master_Produk!$A$1:$A$16,0))</f>
        <v>Elektronik</v>
      </c>
      <c r="J310" s="19">
        <f>_xlfn.XLOOKUP(A310,Master_Produk!$A$1:$A$16,Master_Produk!$D$1:$D$16,,0)</f>
        <v>1950000</v>
      </c>
      <c r="K310" s="19">
        <f>INDEX(Master_Produk!$E$1:$E$16,MATCH(Lembar_Kerja_Analisis!A310,Master_Produk!$A$1:$A$16,0))</f>
        <v>1500000</v>
      </c>
      <c r="L310" s="8">
        <v>4</v>
      </c>
      <c r="M310" s="19">
        <f t="shared" si="20"/>
        <v>7800000</v>
      </c>
      <c r="N310" s="9">
        <v>0.1</v>
      </c>
      <c r="O310" s="19">
        <f t="shared" si="21"/>
        <v>780000</v>
      </c>
      <c r="P310" s="19">
        <f t="shared" si="22"/>
        <v>7020000</v>
      </c>
      <c r="Q310" s="19">
        <f t="shared" si="23"/>
        <v>6000000</v>
      </c>
      <c r="R310" s="19">
        <f t="shared" si="24"/>
        <v>1020000</v>
      </c>
    </row>
    <row r="311" spans="1:18" x14ac:dyDescent="0.25">
      <c r="A311" t="str">
        <f>_xlfn.XLOOKUP(C311,Raw_Data_Transaksi!$A$1:$A$1001,Raw_Data_Transaksi!$D$1:$D$1001,,0)</f>
        <v>PRD-109</v>
      </c>
      <c r="B311" t="str">
        <f>_xlfn.XLOOKUP(C311,Raw_Data_Transaksi!$A$1:$A$1001,Raw_Data_Transaksi!$C$1:$C$1001,,0)</f>
        <v>SLS-04</v>
      </c>
      <c r="C311" s="6" t="s">
        <v>395</v>
      </c>
      <c r="D311" s="7">
        <v>45705</v>
      </c>
      <c r="E311" s="10" t="str">
        <f>VLOOKUP(B311,Master_Sales!$A$1:$D$9,2,FALSE)</f>
        <v>Dewi Anggraini</v>
      </c>
      <c r="F311" s="10" t="str">
        <f>INDEX(Master_Sales!$D$1:$D$9,MATCH(Lembar_Kerja_Analisis!B311,Master_Sales!$A$1:$A$9,0))</f>
        <v>Barat</v>
      </c>
      <c r="G311" s="10" t="str">
        <f>INDEX(Master_Sales!$C$1:$C$9,MATCH(Lembar_Kerja_Analisis!B311,Master_Sales!$A$1:$A$9,0))</f>
        <v>Medan</v>
      </c>
      <c r="H311" s="10" t="str">
        <f>VLOOKUP(A311,Master_Produk!$A$1:$E$16,2,FALSE)</f>
        <v>Kopi Arabika Gayo 250g</v>
      </c>
      <c r="I311" s="10" t="str">
        <f>INDEX(Master_Produk!$C$1:$C$16,MATCH(Lembar_Kerja_Analisis!A311,Master_Produk!$A$1:$A$16,0))</f>
        <v>F&amp;B</v>
      </c>
      <c r="J311" s="19">
        <f>_xlfn.XLOOKUP(A311,Master_Produk!$A$1:$A$16,Master_Produk!$D$1:$D$16,,0)</f>
        <v>85000</v>
      </c>
      <c r="K311" s="19">
        <f>INDEX(Master_Produk!$E$1:$E$16,MATCH(Lembar_Kerja_Analisis!A311,Master_Produk!$A$1:$A$16,0))</f>
        <v>55000</v>
      </c>
      <c r="L311" s="8">
        <v>11</v>
      </c>
      <c r="M311" s="19">
        <f t="shared" si="20"/>
        <v>935000</v>
      </c>
      <c r="N311" s="9">
        <v>0.15</v>
      </c>
      <c r="O311" s="19">
        <f t="shared" si="21"/>
        <v>140250</v>
      </c>
      <c r="P311" s="19">
        <f t="shared" si="22"/>
        <v>794750</v>
      </c>
      <c r="Q311" s="19">
        <f t="shared" si="23"/>
        <v>605000</v>
      </c>
      <c r="R311" s="19">
        <f t="shared" si="24"/>
        <v>189750</v>
      </c>
    </row>
    <row r="312" spans="1:18" x14ac:dyDescent="0.25">
      <c r="A312" t="str">
        <f>_xlfn.XLOOKUP(C312,Raw_Data_Transaksi!$A$1:$A$1001,Raw_Data_Transaksi!$D$1:$D$1001,,0)</f>
        <v>PRD-112</v>
      </c>
      <c r="B312" t="str">
        <f>_xlfn.XLOOKUP(C312,Raw_Data_Transaksi!$A$1:$A$1001,Raw_Data_Transaksi!$C$1:$C$1001,,0)</f>
        <v>SLS-04</v>
      </c>
      <c r="C312" s="6" t="s">
        <v>396</v>
      </c>
      <c r="D312" s="7">
        <v>45958</v>
      </c>
      <c r="E312" s="10" t="str">
        <f>VLOOKUP(B312,Master_Sales!$A$1:$D$9,2,FALSE)</f>
        <v>Dewi Anggraini</v>
      </c>
      <c r="F312" s="10" t="str">
        <f>INDEX(Master_Sales!$D$1:$D$9,MATCH(Lembar_Kerja_Analisis!B312,Master_Sales!$A$1:$A$9,0))</f>
        <v>Barat</v>
      </c>
      <c r="G312" s="10" t="str">
        <f>INDEX(Master_Sales!$C$1:$C$9,MATCH(Lembar_Kerja_Analisis!B312,Master_Sales!$A$1:$A$9,0))</f>
        <v>Medan</v>
      </c>
      <c r="H312" s="10" t="str">
        <f>VLOOKUP(A312,Master_Produk!$A$1:$E$16,2,FALSE)</f>
        <v>Susu UHT Full Cream 1L</v>
      </c>
      <c r="I312" s="10" t="str">
        <f>INDEX(Master_Produk!$C$1:$C$16,MATCH(Lembar_Kerja_Analisis!A312,Master_Produk!$A$1:$A$16,0))</f>
        <v>F&amp;B</v>
      </c>
      <c r="J312" s="19">
        <f>_xlfn.XLOOKUP(A312,Master_Produk!$A$1:$A$16,Master_Produk!$D$1:$D$16,,0)</f>
        <v>22000</v>
      </c>
      <c r="K312" s="19">
        <f>INDEX(Master_Produk!$E$1:$E$16,MATCH(Lembar_Kerja_Analisis!A312,Master_Produk!$A$1:$A$16,0))</f>
        <v>18000</v>
      </c>
      <c r="L312" s="8">
        <v>9</v>
      </c>
      <c r="M312" s="19">
        <f t="shared" si="20"/>
        <v>198000</v>
      </c>
      <c r="N312" s="9">
        <v>0.1</v>
      </c>
      <c r="O312" s="19">
        <f t="shared" si="21"/>
        <v>19800</v>
      </c>
      <c r="P312" s="19">
        <f t="shared" si="22"/>
        <v>178200</v>
      </c>
      <c r="Q312" s="19">
        <f t="shared" si="23"/>
        <v>162000</v>
      </c>
      <c r="R312" s="19">
        <f t="shared" si="24"/>
        <v>16200</v>
      </c>
    </row>
    <row r="313" spans="1:18" x14ac:dyDescent="0.25">
      <c r="A313" t="str">
        <f>_xlfn.XLOOKUP(C313,Raw_Data_Transaksi!$A$1:$A$1001,Raw_Data_Transaksi!$D$1:$D$1001,,0)</f>
        <v>PRD-112</v>
      </c>
      <c r="B313" t="str">
        <f>_xlfn.XLOOKUP(C313,Raw_Data_Transaksi!$A$1:$A$1001,Raw_Data_Transaksi!$C$1:$C$1001,,0)</f>
        <v>SLS-02</v>
      </c>
      <c r="C313" s="6" t="s">
        <v>397</v>
      </c>
      <c r="D313" s="7">
        <v>45755</v>
      </c>
      <c r="E313" s="10" t="str">
        <f>VLOOKUP(B313,Master_Sales!$A$1:$D$9,2,FALSE)</f>
        <v>Budi Santoso</v>
      </c>
      <c r="F313" s="10" t="str">
        <f>INDEX(Master_Sales!$D$1:$D$9,MATCH(Lembar_Kerja_Analisis!B313,Master_Sales!$A$1:$A$9,0))</f>
        <v>Timur</v>
      </c>
      <c r="G313" s="10" t="str">
        <f>INDEX(Master_Sales!$C$1:$C$9,MATCH(Lembar_Kerja_Analisis!B313,Master_Sales!$A$1:$A$9,0))</f>
        <v>Surabaya</v>
      </c>
      <c r="H313" s="10" t="str">
        <f>VLOOKUP(A313,Master_Produk!$A$1:$E$16,2,FALSE)</f>
        <v>Susu UHT Full Cream 1L</v>
      </c>
      <c r="I313" s="10" t="str">
        <f>INDEX(Master_Produk!$C$1:$C$16,MATCH(Lembar_Kerja_Analisis!A313,Master_Produk!$A$1:$A$16,0))</f>
        <v>F&amp;B</v>
      </c>
      <c r="J313" s="19">
        <f>_xlfn.XLOOKUP(A313,Master_Produk!$A$1:$A$16,Master_Produk!$D$1:$D$16,,0)</f>
        <v>22000</v>
      </c>
      <c r="K313" s="19">
        <f>INDEX(Master_Produk!$E$1:$E$16,MATCH(Lembar_Kerja_Analisis!A313,Master_Produk!$A$1:$A$16,0))</f>
        <v>18000</v>
      </c>
      <c r="L313" s="8">
        <v>27</v>
      </c>
      <c r="M313" s="19">
        <f t="shared" si="20"/>
        <v>594000</v>
      </c>
      <c r="N313" s="9">
        <v>0.15</v>
      </c>
      <c r="O313" s="19">
        <f t="shared" si="21"/>
        <v>89100</v>
      </c>
      <c r="P313" s="19">
        <f t="shared" si="22"/>
        <v>504900</v>
      </c>
      <c r="Q313" s="19">
        <f t="shared" si="23"/>
        <v>486000</v>
      </c>
      <c r="R313" s="19">
        <f t="shared" si="24"/>
        <v>18900</v>
      </c>
    </row>
    <row r="314" spans="1:18" x14ac:dyDescent="0.25">
      <c r="A314" t="str">
        <f>_xlfn.XLOOKUP(C314,Raw_Data_Transaksi!$A$1:$A$1001,Raw_Data_Transaksi!$D$1:$D$1001,,0)</f>
        <v>PRD-115</v>
      </c>
      <c r="B314" t="str">
        <f>_xlfn.XLOOKUP(C314,Raw_Data_Transaksi!$A$1:$A$1001,Raw_Data_Transaksi!$C$1:$C$1001,,0)</f>
        <v>SLS-04</v>
      </c>
      <c r="C314" s="6" t="s">
        <v>398</v>
      </c>
      <c r="D314" s="7">
        <v>45861</v>
      </c>
      <c r="E314" s="10" t="str">
        <f>VLOOKUP(B314,Master_Sales!$A$1:$D$9,2,FALSE)</f>
        <v>Dewi Anggraini</v>
      </c>
      <c r="F314" s="10" t="str">
        <f>INDEX(Master_Sales!$D$1:$D$9,MATCH(Lembar_Kerja_Analisis!B314,Master_Sales!$A$1:$A$9,0))</f>
        <v>Barat</v>
      </c>
      <c r="G314" s="10" t="str">
        <f>INDEX(Master_Sales!$C$1:$C$9,MATCH(Lembar_Kerja_Analisis!B314,Master_Sales!$A$1:$A$9,0))</f>
        <v>Medan</v>
      </c>
      <c r="H314" s="10" t="str">
        <f>VLOOKUP(A314,Master_Produk!$A$1:$E$16,2,FALSE)</f>
        <v>Set Pisau Dapur Stainless</v>
      </c>
      <c r="I314" s="10" t="str">
        <f>INDEX(Master_Produk!$C$1:$C$16,MATCH(Lembar_Kerja_Analisis!A314,Master_Produk!$A$1:$A$16,0))</f>
        <v>Peralatan Rumah</v>
      </c>
      <c r="J314" s="19">
        <f>_xlfn.XLOOKUP(A314,Master_Produk!$A$1:$A$16,Master_Produk!$D$1:$D$16,,0)</f>
        <v>165000</v>
      </c>
      <c r="K314" s="19">
        <f>INDEX(Master_Produk!$E$1:$E$16,MATCH(Lembar_Kerja_Analisis!A314,Master_Produk!$A$1:$A$16,0))</f>
        <v>105000</v>
      </c>
      <c r="L314" s="8">
        <v>9</v>
      </c>
      <c r="M314" s="19">
        <f t="shared" si="20"/>
        <v>1485000</v>
      </c>
      <c r="N314" s="9">
        <v>0.1</v>
      </c>
      <c r="O314" s="19">
        <f t="shared" si="21"/>
        <v>148500</v>
      </c>
      <c r="P314" s="19">
        <f t="shared" si="22"/>
        <v>1336500</v>
      </c>
      <c r="Q314" s="19">
        <f t="shared" si="23"/>
        <v>945000</v>
      </c>
      <c r="R314" s="19">
        <f t="shared" si="24"/>
        <v>391500</v>
      </c>
    </row>
    <row r="315" spans="1:18" x14ac:dyDescent="0.25">
      <c r="A315" t="str">
        <f>_xlfn.XLOOKUP(C315,Raw_Data_Transaksi!$A$1:$A$1001,Raw_Data_Transaksi!$D$1:$D$1001,,0)</f>
        <v>PRD-111</v>
      </c>
      <c r="B315" t="str">
        <f>_xlfn.XLOOKUP(C315,Raw_Data_Transaksi!$A$1:$A$1001,Raw_Data_Transaksi!$C$1:$C$1001,,0)</f>
        <v>SLS-06</v>
      </c>
      <c r="C315" s="6" t="s">
        <v>399</v>
      </c>
      <c r="D315" s="7">
        <v>45931</v>
      </c>
      <c r="E315" s="10" t="str">
        <f>VLOOKUP(B315,Master_Sales!$A$1:$D$9,2,FALSE)</f>
        <v>Fajar Nugraha</v>
      </c>
      <c r="F315" s="10" t="str">
        <f>INDEX(Master_Sales!$D$1:$D$9,MATCH(Lembar_Kerja_Analisis!B315,Master_Sales!$A$1:$A$9,0))</f>
        <v>Timur</v>
      </c>
      <c r="G315" s="10" t="str">
        <f>INDEX(Master_Sales!$C$1:$C$9,MATCH(Lembar_Kerja_Analisis!B315,Master_Sales!$A$1:$A$9,0))</f>
        <v>Makassar</v>
      </c>
      <c r="H315" s="10" t="str">
        <f>VLOOKUP(A315,Master_Produk!$A$1:$E$16,2,FALSE)</f>
        <v>Beras Premium 5kg</v>
      </c>
      <c r="I315" s="10" t="str">
        <f>INDEX(Master_Produk!$C$1:$C$16,MATCH(Lembar_Kerja_Analisis!A315,Master_Produk!$A$1:$A$16,0))</f>
        <v>F&amp;B</v>
      </c>
      <c r="J315" s="19">
        <f>_xlfn.XLOOKUP(A315,Master_Produk!$A$1:$A$16,Master_Produk!$D$1:$D$16,,0)</f>
        <v>74000</v>
      </c>
      <c r="K315" s="19">
        <f>INDEX(Master_Produk!$E$1:$E$16,MATCH(Lembar_Kerja_Analisis!A315,Master_Produk!$A$1:$A$16,0))</f>
        <v>65000</v>
      </c>
      <c r="L315" s="8">
        <v>11</v>
      </c>
      <c r="M315" s="19">
        <f t="shared" si="20"/>
        <v>814000</v>
      </c>
      <c r="N315" s="9">
        <v>0.1</v>
      </c>
      <c r="O315" s="19">
        <f t="shared" si="21"/>
        <v>81400</v>
      </c>
      <c r="P315" s="19">
        <f t="shared" si="22"/>
        <v>732600</v>
      </c>
      <c r="Q315" s="19">
        <f t="shared" si="23"/>
        <v>715000</v>
      </c>
      <c r="R315" s="19">
        <f t="shared" si="24"/>
        <v>17600</v>
      </c>
    </row>
    <row r="316" spans="1:18" x14ac:dyDescent="0.25">
      <c r="A316" t="str">
        <f>_xlfn.XLOOKUP(C316,Raw_Data_Transaksi!$A$1:$A$1001,Raw_Data_Transaksi!$D$1:$D$1001,,0)</f>
        <v>PRD-113</v>
      </c>
      <c r="B316" t="str">
        <f>_xlfn.XLOOKUP(C316,Raw_Data_Transaksi!$A$1:$A$1001,Raw_Data_Transaksi!$C$1:$C$1001,,0)</f>
        <v>SLS-06</v>
      </c>
      <c r="C316" s="6" t="s">
        <v>400</v>
      </c>
      <c r="D316" s="7">
        <v>45898</v>
      </c>
      <c r="E316" s="10" t="str">
        <f>VLOOKUP(B316,Master_Sales!$A$1:$D$9,2,FALSE)</f>
        <v>Fajar Nugraha</v>
      </c>
      <c r="F316" s="10" t="str">
        <f>INDEX(Master_Sales!$D$1:$D$9,MATCH(Lembar_Kerja_Analisis!B316,Master_Sales!$A$1:$A$9,0))</f>
        <v>Timur</v>
      </c>
      <c r="G316" s="10" t="str">
        <f>INDEX(Master_Sales!$C$1:$C$9,MATCH(Lembar_Kerja_Analisis!B316,Master_Sales!$A$1:$A$9,0))</f>
        <v>Makassar</v>
      </c>
      <c r="H316" s="10" t="str">
        <f>VLOOKUP(A316,Master_Produk!$A$1:$E$16,2,FALSE)</f>
        <v>Wajan Anti Lengket 28cm</v>
      </c>
      <c r="I316" s="10" t="str">
        <f>INDEX(Master_Produk!$C$1:$C$16,MATCH(Lembar_Kerja_Analisis!A316,Master_Produk!$A$1:$A$16,0))</f>
        <v>Peralatan Rumah</v>
      </c>
      <c r="J316" s="19">
        <f>_xlfn.XLOOKUP(A316,Master_Produk!$A$1:$A$16,Master_Produk!$D$1:$D$16,,0)</f>
        <v>210000</v>
      </c>
      <c r="K316" s="19">
        <f>INDEX(Master_Produk!$E$1:$E$16,MATCH(Lembar_Kerja_Analisis!A316,Master_Produk!$A$1:$A$16,0))</f>
        <v>140000</v>
      </c>
      <c r="L316" s="8">
        <v>4</v>
      </c>
      <c r="M316" s="19">
        <f t="shared" si="20"/>
        <v>840000</v>
      </c>
      <c r="N316" s="9">
        <v>0.1</v>
      </c>
      <c r="O316" s="19">
        <f t="shared" si="21"/>
        <v>84000</v>
      </c>
      <c r="P316" s="19">
        <f t="shared" si="22"/>
        <v>756000</v>
      </c>
      <c r="Q316" s="19">
        <f t="shared" si="23"/>
        <v>560000</v>
      </c>
      <c r="R316" s="19">
        <f t="shared" si="24"/>
        <v>196000</v>
      </c>
    </row>
    <row r="317" spans="1:18" x14ac:dyDescent="0.25">
      <c r="A317" t="str">
        <f>_xlfn.XLOOKUP(C317,Raw_Data_Transaksi!$A$1:$A$1001,Raw_Data_Transaksi!$D$1:$D$1001,,0)</f>
        <v>PRD-114</v>
      </c>
      <c r="B317" t="str">
        <f>_xlfn.XLOOKUP(C317,Raw_Data_Transaksi!$A$1:$A$1001,Raw_Data_Transaksi!$C$1:$C$1001,,0)</f>
        <v>SLS-04</v>
      </c>
      <c r="C317" s="6" t="s">
        <v>401</v>
      </c>
      <c r="D317" s="7">
        <v>45946</v>
      </c>
      <c r="E317" s="10" t="str">
        <f>VLOOKUP(B317,Master_Sales!$A$1:$D$9,2,FALSE)</f>
        <v>Dewi Anggraini</v>
      </c>
      <c r="F317" s="10" t="str">
        <f>INDEX(Master_Sales!$D$1:$D$9,MATCH(Lembar_Kerja_Analisis!B317,Master_Sales!$A$1:$A$9,0))</f>
        <v>Barat</v>
      </c>
      <c r="G317" s="10" t="str">
        <f>INDEX(Master_Sales!$C$1:$C$9,MATCH(Lembar_Kerja_Analisis!B317,Master_Sales!$A$1:$A$9,0))</f>
        <v>Medan</v>
      </c>
      <c r="H317" s="10" t="str">
        <f>VLOOKUP(A317,Master_Produk!$A$1:$E$16,2,FALSE)</f>
        <v>Blender Multifungsi 2-in-1</v>
      </c>
      <c r="I317" s="10" t="str">
        <f>INDEX(Master_Produk!$C$1:$C$16,MATCH(Lembar_Kerja_Analisis!A317,Master_Produk!$A$1:$A$16,0))</f>
        <v>Peralatan Rumah</v>
      </c>
      <c r="J317" s="19">
        <f>_xlfn.XLOOKUP(A317,Master_Produk!$A$1:$A$16,Master_Produk!$D$1:$D$16,,0)</f>
        <v>340000</v>
      </c>
      <c r="K317" s="19">
        <f>INDEX(Master_Produk!$E$1:$E$16,MATCH(Lembar_Kerja_Analisis!A317,Master_Produk!$A$1:$A$16,0))</f>
        <v>240000</v>
      </c>
      <c r="L317" s="8">
        <v>12</v>
      </c>
      <c r="M317" s="19">
        <f t="shared" si="20"/>
        <v>4080000</v>
      </c>
      <c r="N317" s="9">
        <v>0.05</v>
      </c>
      <c r="O317" s="19">
        <f t="shared" si="21"/>
        <v>204000</v>
      </c>
      <c r="P317" s="19">
        <f t="shared" si="22"/>
        <v>3876000</v>
      </c>
      <c r="Q317" s="19">
        <f t="shared" si="23"/>
        <v>2880000</v>
      </c>
      <c r="R317" s="19">
        <f t="shared" si="24"/>
        <v>996000</v>
      </c>
    </row>
    <row r="318" spans="1:18" x14ac:dyDescent="0.25">
      <c r="A318" t="str">
        <f>_xlfn.XLOOKUP(C318,Raw_Data_Transaksi!$A$1:$A$1001,Raw_Data_Transaksi!$D$1:$D$1001,,0)</f>
        <v>PRD-103</v>
      </c>
      <c r="B318" t="str">
        <f>_xlfn.XLOOKUP(C318,Raw_Data_Transaksi!$A$1:$A$1001,Raw_Data_Transaksi!$C$1:$C$1001,,0)</f>
        <v>SLS-04</v>
      </c>
      <c r="C318" s="6" t="s">
        <v>402</v>
      </c>
      <c r="D318" s="7">
        <v>45809</v>
      </c>
      <c r="E318" s="10" t="str">
        <f>VLOOKUP(B318,Master_Sales!$A$1:$D$9,2,FALSE)</f>
        <v>Dewi Anggraini</v>
      </c>
      <c r="F318" s="10" t="str">
        <f>INDEX(Master_Sales!$D$1:$D$9,MATCH(Lembar_Kerja_Analisis!B318,Master_Sales!$A$1:$A$9,0))</f>
        <v>Barat</v>
      </c>
      <c r="G318" s="10" t="str">
        <f>INDEX(Master_Sales!$C$1:$C$9,MATCH(Lembar_Kerja_Analisis!B318,Master_Sales!$A$1:$A$9,0))</f>
        <v>Medan</v>
      </c>
      <c r="H318" s="10" t="str">
        <f>VLOOKUP(A318,Master_Produk!$A$1:$E$16,2,FALSE)</f>
        <v>Mechanical Keyboard RGB</v>
      </c>
      <c r="I318" s="10" t="str">
        <f>INDEX(Master_Produk!$C$1:$C$16,MATCH(Lembar_Kerja_Analisis!A318,Master_Produk!$A$1:$A$16,0))</f>
        <v>Elektronik</v>
      </c>
      <c r="J318" s="19">
        <f>_xlfn.XLOOKUP(A318,Master_Produk!$A$1:$A$16,Master_Produk!$D$1:$D$16,,0)</f>
        <v>750000</v>
      </c>
      <c r="K318" s="19">
        <f>INDEX(Master_Produk!$E$1:$E$16,MATCH(Lembar_Kerja_Analisis!A318,Master_Produk!$A$1:$A$16,0))</f>
        <v>520000</v>
      </c>
      <c r="L318" s="8">
        <v>6</v>
      </c>
      <c r="M318" s="19">
        <f t="shared" si="20"/>
        <v>4500000</v>
      </c>
      <c r="N318" s="9">
        <v>0.05</v>
      </c>
      <c r="O318" s="19">
        <f t="shared" si="21"/>
        <v>225000</v>
      </c>
      <c r="P318" s="19">
        <f t="shared" si="22"/>
        <v>4275000</v>
      </c>
      <c r="Q318" s="19">
        <f t="shared" si="23"/>
        <v>3120000</v>
      </c>
      <c r="R318" s="19">
        <f t="shared" si="24"/>
        <v>1155000</v>
      </c>
    </row>
    <row r="319" spans="1:18" x14ac:dyDescent="0.25">
      <c r="A319" t="str">
        <f>_xlfn.XLOOKUP(C319,Raw_Data_Transaksi!$A$1:$A$1001,Raw_Data_Transaksi!$D$1:$D$1001,,0)</f>
        <v>PRD-109</v>
      </c>
      <c r="B319" t="str">
        <f>_xlfn.XLOOKUP(C319,Raw_Data_Transaksi!$A$1:$A$1001,Raw_Data_Transaksi!$C$1:$C$1001,,0)</f>
        <v>SLS-06</v>
      </c>
      <c r="C319" s="6" t="s">
        <v>403</v>
      </c>
      <c r="D319" s="7">
        <v>45913</v>
      </c>
      <c r="E319" s="10" t="str">
        <f>VLOOKUP(B319,Master_Sales!$A$1:$D$9,2,FALSE)</f>
        <v>Fajar Nugraha</v>
      </c>
      <c r="F319" s="10" t="str">
        <f>INDEX(Master_Sales!$D$1:$D$9,MATCH(Lembar_Kerja_Analisis!B319,Master_Sales!$A$1:$A$9,0))</f>
        <v>Timur</v>
      </c>
      <c r="G319" s="10" t="str">
        <f>INDEX(Master_Sales!$C$1:$C$9,MATCH(Lembar_Kerja_Analisis!B319,Master_Sales!$A$1:$A$9,0))</f>
        <v>Makassar</v>
      </c>
      <c r="H319" s="10" t="str">
        <f>VLOOKUP(A319,Master_Produk!$A$1:$E$16,2,FALSE)</f>
        <v>Kopi Arabika Gayo 250g</v>
      </c>
      <c r="I319" s="10" t="str">
        <f>INDEX(Master_Produk!$C$1:$C$16,MATCH(Lembar_Kerja_Analisis!A319,Master_Produk!$A$1:$A$16,0))</f>
        <v>F&amp;B</v>
      </c>
      <c r="J319" s="19">
        <f>_xlfn.XLOOKUP(A319,Master_Produk!$A$1:$A$16,Master_Produk!$D$1:$D$16,,0)</f>
        <v>85000</v>
      </c>
      <c r="K319" s="19">
        <f>INDEX(Master_Produk!$E$1:$E$16,MATCH(Lembar_Kerja_Analisis!A319,Master_Produk!$A$1:$A$16,0))</f>
        <v>55000</v>
      </c>
      <c r="L319" s="8">
        <v>27</v>
      </c>
      <c r="M319" s="19">
        <f t="shared" si="20"/>
        <v>2295000</v>
      </c>
      <c r="N319" s="9">
        <v>0.15</v>
      </c>
      <c r="O319" s="19">
        <f t="shared" si="21"/>
        <v>344250</v>
      </c>
      <c r="P319" s="19">
        <f t="shared" si="22"/>
        <v>1950750</v>
      </c>
      <c r="Q319" s="19">
        <f t="shared" si="23"/>
        <v>1485000</v>
      </c>
      <c r="R319" s="19">
        <f t="shared" si="24"/>
        <v>465750</v>
      </c>
    </row>
    <row r="320" spans="1:18" x14ac:dyDescent="0.25">
      <c r="A320" t="str">
        <f>_xlfn.XLOOKUP(C320,Raw_Data_Transaksi!$A$1:$A$1001,Raw_Data_Transaksi!$D$1:$D$1001,,0)</f>
        <v>PRD-103</v>
      </c>
      <c r="B320" t="str">
        <f>_xlfn.XLOOKUP(C320,Raw_Data_Transaksi!$A$1:$A$1001,Raw_Data_Transaksi!$C$1:$C$1001,,0)</f>
        <v>SLS-03</v>
      </c>
      <c r="C320" s="6" t="s">
        <v>404</v>
      </c>
      <c r="D320" s="7">
        <v>45838</v>
      </c>
      <c r="E320" s="10" t="str">
        <f>VLOOKUP(B320,Master_Sales!$A$1:$D$9,2,FALSE)</f>
        <v>Citra Lestari</v>
      </c>
      <c r="F320" s="10" t="str">
        <f>INDEX(Master_Sales!$D$1:$D$9,MATCH(Lembar_Kerja_Analisis!B320,Master_Sales!$A$1:$A$9,0))</f>
        <v>Barat</v>
      </c>
      <c r="G320" s="10" t="str">
        <f>INDEX(Master_Sales!$C$1:$C$9,MATCH(Lembar_Kerja_Analisis!B320,Master_Sales!$A$1:$A$9,0))</f>
        <v>Bandung</v>
      </c>
      <c r="H320" s="10" t="str">
        <f>VLOOKUP(A320,Master_Produk!$A$1:$E$16,2,FALSE)</f>
        <v>Mechanical Keyboard RGB</v>
      </c>
      <c r="I320" s="10" t="str">
        <f>INDEX(Master_Produk!$C$1:$C$16,MATCH(Lembar_Kerja_Analisis!A320,Master_Produk!$A$1:$A$16,0))</f>
        <v>Elektronik</v>
      </c>
      <c r="J320" s="19">
        <f>_xlfn.XLOOKUP(A320,Master_Produk!$A$1:$A$16,Master_Produk!$D$1:$D$16,,0)</f>
        <v>750000</v>
      </c>
      <c r="K320" s="19">
        <f>INDEX(Master_Produk!$E$1:$E$16,MATCH(Lembar_Kerja_Analisis!A320,Master_Produk!$A$1:$A$16,0))</f>
        <v>520000</v>
      </c>
      <c r="L320" s="8">
        <v>12</v>
      </c>
      <c r="M320" s="19">
        <f t="shared" si="20"/>
        <v>9000000</v>
      </c>
      <c r="N320" s="9">
        <v>0.2</v>
      </c>
      <c r="O320" s="19">
        <f t="shared" si="21"/>
        <v>1800000</v>
      </c>
      <c r="P320" s="19">
        <f t="shared" si="22"/>
        <v>7200000</v>
      </c>
      <c r="Q320" s="19">
        <f t="shared" si="23"/>
        <v>6240000</v>
      </c>
      <c r="R320" s="19">
        <f t="shared" si="24"/>
        <v>960000</v>
      </c>
    </row>
    <row r="321" spans="1:18" x14ac:dyDescent="0.25">
      <c r="A321" t="str">
        <f>_xlfn.XLOOKUP(C321,Raw_Data_Transaksi!$A$1:$A$1001,Raw_Data_Transaksi!$D$1:$D$1001,,0)</f>
        <v>PRD-101</v>
      </c>
      <c r="B321" t="str">
        <f>_xlfn.XLOOKUP(C321,Raw_Data_Transaksi!$A$1:$A$1001,Raw_Data_Transaksi!$C$1:$C$1001,,0)</f>
        <v>SLS-02</v>
      </c>
      <c r="C321" s="6" t="s">
        <v>405</v>
      </c>
      <c r="D321" s="7">
        <v>45926</v>
      </c>
      <c r="E321" s="10" t="str">
        <f>VLOOKUP(B321,Master_Sales!$A$1:$D$9,2,FALSE)</f>
        <v>Budi Santoso</v>
      </c>
      <c r="F321" s="10" t="str">
        <f>INDEX(Master_Sales!$D$1:$D$9,MATCH(Lembar_Kerja_Analisis!B321,Master_Sales!$A$1:$A$9,0))</f>
        <v>Timur</v>
      </c>
      <c r="G321" s="10" t="str">
        <f>INDEX(Master_Sales!$C$1:$C$9,MATCH(Lembar_Kerja_Analisis!B321,Master_Sales!$A$1:$A$9,0))</f>
        <v>Surabaya</v>
      </c>
      <c r="H321" s="10" t="str">
        <f>VLOOKUP(A321,Master_Produk!$A$1:$E$16,2,FALSE)</f>
        <v>Laptop Ultrabook 14"</v>
      </c>
      <c r="I321" s="10" t="str">
        <f>INDEX(Master_Produk!$C$1:$C$16,MATCH(Lembar_Kerja_Analisis!A321,Master_Produk!$A$1:$A$16,0))</f>
        <v>Elektronik</v>
      </c>
      <c r="J321" s="19">
        <f>_xlfn.XLOOKUP(A321,Master_Produk!$A$1:$A$16,Master_Produk!$D$1:$D$16,,0)</f>
        <v>8500000</v>
      </c>
      <c r="K321" s="19">
        <f>INDEX(Master_Produk!$E$1:$E$16,MATCH(Lembar_Kerja_Analisis!A321,Master_Produk!$A$1:$A$16,0))</f>
        <v>7200000</v>
      </c>
      <c r="L321" s="8">
        <v>11</v>
      </c>
      <c r="M321" s="19">
        <f t="shared" si="20"/>
        <v>93500000</v>
      </c>
      <c r="N321" s="9">
        <v>0</v>
      </c>
      <c r="O321" s="19">
        <f t="shared" si="21"/>
        <v>0</v>
      </c>
      <c r="P321" s="19">
        <f t="shared" si="22"/>
        <v>93500000</v>
      </c>
      <c r="Q321" s="19">
        <f t="shared" si="23"/>
        <v>79200000</v>
      </c>
      <c r="R321" s="19">
        <f t="shared" si="24"/>
        <v>14300000</v>
      </c>
    </row>
    <row r="322" spans="1:18" x14ac:dyDescent="0.25">
      <c r="A322" t="str">
        <f>_xlfn.XLOOKUP(C322,Raw_Data_Transaksi!$A$1:$A$1001,Raw_Data_Transaksi!$D$1:$D$1001,,0)</f>
        <v>PRD-104</v>
      </c>
      <c r="B322" t="str">
        <f>_xlfn.XLOOKUP(C322,Raw_Data_Transaksi!$A$1:$A$1001,Raw_Data_Transaksi!$C$1:$C$1001,,0)</f>
        <v>SLS-02</v>
      </c>
      <c r="C322" s="6" t="s">
        <v>406</v>
      </c>
      <c r="D322" s="7">
        <v>45980</v>
      </c>
      <c r="E322" s="10" t="str">
        <f>VLOOKUP(B322,Master_Sales!$A$1:$D$9,2,FALSE)</f>
        <v>Budi Santoso</v>
      </c>
      <c r="F322" s="10" t="str">
        <f>INDEX(Master_Sales!$D$1:$D$9,MATCH(Lembar_Kerja_Analisis!B322,Master_Sales!$A$1:$A$9,0))</f>
        <v>Timur</v>
      </c>
      <c r="G322" s="10" t="str">
        <f>INDEX(Master_Sales!$C$1:$C$9,MATCH(Lembar_Kerja_Analisis!B322,Master_Sales!$A$1:$A$9,0))</f>
        <v>Surabaya</v>
      </c>
      <c r="H322" s="10" t="str">
        <f>VLOOKUP(A322,Master_Produk!$A$1:$E$16,2,FALSE)</f>
        <v>Monitor 24" FHD 144Hz</v>
      </c>
      <c r="I322" s="10" t="str">
        <f>INDEX(Master_Produk!$C$1:$C$16,MATCH(Lembar_Kerja_Analisis!A322,Master_Produk!$A$1:$A$16,0))</f>
        <v>Elektronik</v>
      </c>
      <c r="J322" s="19">
        <f>_xlfn.XLOOKUP(A322,Master_Produk!$A$1:$A$16,Master_Produk!$D$1:$D$16,,0)</f>
        <v>1950000</v>
      </c>
      <c r="K322" s="19">
        <f>INDEX(Master_Produk!$E$1:$E$16,MATCH(Lembar_Kerja_Analisis!A322,Master_Produk!$A$1:$A$16,0))</f>
        <v>1500000</v>
      </c>
      <c r="L322" s="8">
        <v>12</v>
      </c>
      <c r="M322" s="19">
        <f t="shared" si="20"/>
        <v>23400000</v>
      </c>
      <c r="N322" s="9">
        <v>0.05</v>
      </c>
      <c r="O322" s="19">
        <f t="shared" si="21"/>
        <v>1170000</v>
      </c>
      <c r="P322" s="19">
        <f t="shared" si="22"/>
        <v>22230000</v>
      </c>
      <c r="Q322" s="19">
        <f t="shared" si="23"/>
        <v>18000000</v>
      </c>
      <c r="R322" s="19">
        <f t="shared" si="24"/>
        <v>4230000</v>
      </c>
    </row>
    <row r="323" spans="1:18" x14ac:dyDescent="0.25">
      <c r="A323" t="str">
        <f>_xlfn.XLOOKUP(C323,Raw_Data_Transaksi!$A$1:$A$1001,Raw_Data_Transaksi!$D$1:$D$1001,,0)</f>
        <v>PRD-101</v>
      </c>
      <c r="B323" t="str">
        <f>_xlfn.XLOOKUP(C323,Raw_Data_Transaksi!$A$1:$A$1001,Raw_Data_Transaksi!$C$1:$C$1001,,0)</f>
        <v>SLS-08</v>
      </c>
      <c r="C323" s="6" t="s">
        <v>407</v>
      </c>
      <c r="D323" s="7">
        <v>45849</v>
      </c>
      <c r="E323" s="10" t="str">
        <f>VLOOKUP(B323,Master_Sales!$A$1:$D$9,2,FALSE)</f>
        <v>Hendra Wijaya</v>
      </c>
      <c r="F323" s="10" t="str">
        <f>INDEX(Master_Sales!$D$1:$D$9,MATCH(Lembar_Kerja_Analisis!B323,Master_Sales!$A$1:$A$9,0))</f>
        <v>Tengah</v>
      </c>
      <c r="G323" s="10" t="str">
        <f>INDEX(Master_Sales!$C$1:$C$9,MATCH(Lembar_Kerja_Analisis!B323,Master_Sales!$A$1:$A$9,0))</f>
        <v>Yogyakarta</v>
      </c>
      <c r="H323" s="10" t="str">
        <f>VLOOKUP(A323,Master_Produk!$A$1:$E$16,2,FALSE)</f>
        <v>Laptop Ultrabook 14"</v>
      </c>
      <c r="I323" s="10" t="str">
        <f>INDEX(Master_Produk!$C$1:$C$16,MATCH(Lembar_Kerja_Analisis!A323,Master_Produk!$A$1:$A$16,0))</f>
        <v>Elektronik</v>
      </c>
      <c r="J323" s="19">
        <f>_xlfn.XLOOKUP(A323,Master_Produk!$A$1:$A$16,Master_Produk!$D$1:$D$16,,0)</f>
        <v>8500000</v>
      </c>
      <c r="K323" s="19">
        <f>INDEX(Master_Produk!$E$1:$E$16,MATCH(Lembar_Kerja_Analisis!A323,Master_Produk!$A$1:$A$16,0))</f>
        <v>7200000</v>
      </c>
      <c r="L323" s="8">
        <v>11</v>
      </c>
      <c r="M323" s="19">
        <f t="shared" ref="M323:M386" si="25">L323*J323</f>
        <v>93500000</v>
      </c>
      <c r="N323" s="9">
        <v>0.15</v>
      </c>
      <c r="O323" s="19">
        <f t="shared" ref="O323:O386" si="26">M323*N323</f>
        <v>14025000</v>
      </c>
      <c r="P323" s="19">
        <f t="shared" ref="P323:P386" si="27">M323-O323</f>
        <v>79475000</v>
      </c>
      <c r="Q323" s="19">
        <f t="shared" ref="Q323:Q386" si="28">L323*K323</f>
        <v>79200000</v>
      </c>
      <c r="R323" s="19">
        <f t="shared" ref="R323:R386" si="29">P323-Q323</f>
        <v>275000</v>
      </c>
    </row>
    <row r="324" spans="1:18" x14ac:dyDescent="0.25">
      <c r="A324" t="str">
        <f>_xlfn.XLOOKUP(C324,Raw_Data_Transaksi!$A$1:$A$1001,Raw_Data_Transaksi!$D$1:$D$1001,,0)</f>
        <v>PRD-101</v>
      </c>
      <c r="B324" t="str">
        <f>_xlfn.XLOOKUP(C324,Raw_Data_Transaksi!$A$1:$A$1001,Raw_Data_Transaksi!$C$1:$C$1001,,0)</f>
        <v>SLS-05</v>
      </c>
      <c r="C324" s="6" t="s">
        <v>408</v>
      </c>
      <c r="D324" s="7">
        <v>45664</v>
      </c>
      <c r="E324" s="10" t="str">
        <f>VLOOKUP(B324,Master_Sales!$A$1:$D$9,2,FALSE)</f>
        <v>Eko Prasetyo</v>
      </c>
      <c r="F324" s="10" t="str">
        <f>INDEX(Master_Sales!$D$1:$D$9,MATCH(Lembar_Kerja_Analisis!B324,Master_Sales!$A$1:$A$9,0))</f>
        <v>Tengah</v>
      </c>
      <c r="G324" s="10" t="str">
        <f>INDEX(Master_Sales!$C$1:$C$9,MATCH(Lembar_Kerja_Analisis!B324,Master_Sales!$A$1:$A$9,0))</f>
        <v>Semarang</v>
      </c>
      <c r="H324" s="10" t="str">
        <f>VLOOKUP(A324,Master_Produk!$A$1:$E$16,2,FALSE)</f>
        <v>Laptop Ultrabook 14"</v>
      </c>
      <c r="I324" s="10" t="str">
        <f>INDEX(Master_Produk!$C$1:$C$16,MATCH(Lembar_Kerja_Analisis!A324,Master_Produk!$A$1:$A$16,0))</f>
        <v>Elektronik</v>
      </c>
      <c r="J324" s="19">
        <f>_xlfn.XLOOKUP(A324,Master_Produk!$A$1:$A$16,Master_Produk!$D$1:$D$16,,0)</f>
        <v>8500000</v>
      </c>
      <c r="K324" s="19">
        <f>INDEX(Master_Produk!$E$1:$E$16,MATCH(Lembar_Kerja_Analisis!A324,Master_Produk!$A$1:$A$16,0))</f>
        <v>7200000</v>
      </c>
      <c r="L324" s="8">
        <v>9</v>
      </c>
      <c r="M324" s="19">
        <f t="shared" si="25"/>
        <v>76500000</v>
      </c>
      <c r="N324" s="9">
        <v>0.1</v>
      </c>
      <c r="O324" s="19">
        <f t="shared" si="26"/>
        <v>7650000</v>
      </c>
      <c r="P324" s="19">
        <f t="shared" si="27"/>
        <v>68850000</v>
      </c>
      <c r="Q324" s="19">
        <f t="shared" si="28"/>
        <v>64800000</v>
      </c>
      <c r="R324" s="19">
        <f t="shared" si="29"/>
        <v>4050000</v>
      </c>
    </row>
    <row r="325" spans="1:18" x14ac:dyDescent="0.25">
      <c r="A325" t="str">
        <f>_xlfn.XLOOKUP(C325,Raw_Data_Transaksi!$A$1:$A$1001,Raw_Data_Transaksi!$D$1:$D$1001,,0)</f>
        <v>PRD-102</v>
      </c>
      <c r="B325" t="str">
        <f>_xlfn.XLOOKUP(C325,Raw_Data_Transaksi!$A$1:$A$1001,Raw_Data_Transaksi!$C$1:$C$1001,,0)</f>
        <v>SLS-02</v>
      </c>
      <c r="C325" s="6" t="s">
        <v>409</v>
      </c>
      <c r="D325" s="7">
        <v>45749</v>
      </c>
      <c r="E325" s="10" t="str">
        <f>VLOOKUP(B325,Master_Sales!$A$1:$D$9,2,FALSE)</f>
        <v>Budi Santoso</v>
      </c>
      <c r="F325" s="10" t="str">
        <f>INDEX(Master_Sales!$D$1:$D$9,MATCH(Lembar_Kerja_Analisis!B325,Master_Sales!$A$1:$A$9,0))</f>
        <v>Timur</v>
      </c>
      <c r="G325" s="10" t="str">
        <f>INDEX(Master_Sales!$C$1:$C$9,MATCH(Lembar_Kerja_Analisis!B325,Master_Sales!$A$1:$A$9,0))</f>
        <v>Surabaya</v>
      </c>
      <c r="H325" s="10" t="str">
        <f>VLOOKUP(A325,Master_Produk!$A$1:$E$16,2,FALSE)</f>
        <v>Wireless Mouse Ergonomic</v>
      </c>
      <c r="I325" s="10" t="str">
        <f>INDEX(Master_Produk!$C$1:$C$16,MATCH(Lembar_Kerja_Analisis!A325,Master_Produk!$A$1:$A$16,0))</f>
        <v>Elektronik</v>
      </c>
      <c r="J325" s="19">
        <f>_xlfn.XLOOKUP(A325,Master_Produk!$A$1:$A$16,Master_Produk!$D$1:$D$16,,0)</f>
        <v>250000</v>
      </c>
      <c r="K325" s="19">
        <f>INDEX(Master_Produk!$E$1:$E$16,MATCH(Lembar_Kerja_Analisis!A325,Master_Produk!$A$1:$A$16,0))</f>
        <v>160000</v>
      </c>
      <c r="L325" s="8">
        <v>9</v>
      </c>
      <c r="M325" s="19">
        <f t="shared" si="25"/>
        <v>2250000</v>
      </c>
      <c r="N325" s="9">
        <v>0.05</v>
      </c>
      <c r="O325" s="19">
        <f t="shared" si="26"/>
        <v>112500</v>
      </c>
      <c r="P325" s="19">
        <f t="shared" si="27"/>
        <v>2137500</v>
      </c>
      <c r="Q325" s="19">
        <f t="shared" si="28"/>
        <v>1440000</v>
      </c>
      <c r="R325" s="19">
        <f t="shared" si="29"/>
        <v>697500</v>
      </c>
    </row>
    <row r="326" spans="1:18" x14ac:dyDescent="0.25">
      <c r="A326" t="str">
        <f>_xlfn.XLOOKUP(C326,Raw_Data_Transaksi!$A$1:$A$1001,Raw_Data_Transaksi!$D$1:$D$1001,,0)</f>
        <v>PRD-105</v>
      </c>
      <c r="B326" t="str">
        <f>_xlfn.XLOOKUP(C326,Raw_Data_Transaksi!$A$1:$A$1001,Raw_Data_Transaksi!$C$1:$C$1001,,0)</f>
        <v>SLS-07</v>
      </c>
      <c r="C326" s="6" t="s">
        <v>410</v>
      </c>
      <c r="D326" s="7">
        <v>45839</v>
      </c>
      <c r="E326" s="10" t="str">
        <f>VLOOKUP(B326,Master_Sales!$A$1:$D$9,2,FALSE)</f>
        <v>Gita Permata</v>
      </c>
      <c r="F326" s="10" t="str">
        <f>INDEX(Master_Sales!$D$1:$D$9,MATCH(Lembar_Kerja_Analisis!B326,Master_Sales!$A$1:$A$9,0))</f>
        <v>Tengah</v>
      </c>
      <c r="G326" s="10" t="str">
        <f>INDEX(Master_Sales!$C$1:$C$9,MATCH(Lembar_Kerja_Analisis!B326,Master_Sales!$A$1:$A$9,0))</f>
        <v>Denpasar</v>
      </c>
      <c r="H326" s="10" t="str">
        <f>VLOOKUP(A326,Master_Produk!$A$1:$E$16,2,FALSE)</f>
        <v>Kemeja Batik Katun Premium</v>
      </c>
      <c r="I326" s="10" t="str">
        <f>INDEX(Master_Produk!$C$1:$C$16,MATCH(Lembar_Kerja_Analisis!A326,Master_Produk!$A$1:$A$16,0))</f>
        <v>Fashion</v>
      </c>
      <c r="J326" s="19">
        <f>_xlfn.XLOOKUP(A326,Master_Produk!$A$1:$A$16,Master_Produk!$D$1:$D$16,,0)</f>
        <v>320000</v>
      </c>
      <c r="K326" s="19">
        <f>INDEX(Master_Produk!$E$1:$E$16,MATCH(Lembar_Kerja_Analisis!A326,Master_Produk!$A$1:$A$16,0))</f>
        <v>190000</v>
      </c>
      <c r="L326" s="8">
        <v>2</v>
      </c>
      <c r="M326" s="19">
        <f t="shared" si="25"/>
        <v>640000</v>
      </c>
      <c r="N326" s="9">
        <v>0.1</v>
      </c>
      <c r="O326" s="19">
        <f t="shared" si="26"/>
        <v>64000</v>
      </c>
      <c r="P326" s="19">
        <f t="shared" si="27"/>
        <v>576000</v>
      </c>
      <c r="Q326" s="19">
        <f t="shared" si="28"/>
        <v>380000</v>
      </c>
      <c r="R326" s="19">
        <f t="shared" si="29"/>
        <v>196000</v>
      </c>
    </row>
    <row r="327" spans="1:18" x14ac:dyDescent="0.25">
      <c r="A327" t="str">
        <f>_xlfn.XLOOKUP(C327,Raw_Data_Transaksi!$A$1:$A$1001,Raw_Data_Transaksi!$D$1:$D$1001,,0)</f>
        <v>PRD-104</v>
      </c>
      <c r="B327" t="str">
        <f>_xlfn.XLOOKUP(C327,Raw_Data_Transaksi!$A$1:$A$1001,Raw_Data_Transaksi!$C$1:$C$1001,,0)</f>
        <v>SLS-05</v>
      </c>
      <c r="C327" s="6" t="s">
        <v>411</v>
      </c>
      <c r="D327" s="7">
        <v>46014</v>
      </c>
      <c r="E327" s="10" t="str">
        <f>VLOOKUP(B327,Master_Sales!$A$1:$D$9,2,FALSE)</f>
        <v>Eko Prasetyo</v>
      </c>
      <c r="F327" s="10" t="str">
        <f>INDEX(Master_Sales!$D$1:$D$9,MATCH(Lembar_Kerja_Analisis!B327,Master_Sales!$A$1:$A$9,0))</f>
        <v>Tengah</v>
      </c>
      <c r="G327" s="10" t="str">
        <f>INDEX(Master_Sales!$C$1:$C$9,MATCH(Lembar_Kerja_Analisis!B327,Master_Sales!$A$1:$A$9,0))</f>
        <v>Semarang</v>
      </c>
      <c r="H327" s="10" t="str">
        <f>VLOOKUP(A327,Master_Produk!$A$1:$E$16,2,FALSE)</f>
        <v>Monitor 24" FHD 144Hz</v>
      </c>
      <c r="I327" s="10" t="str">
        <f>INDEX(Master_Produk!$C$1:$C$16,MATCH(Lembar_Kerja_Analisis!A327,Master_Produk!$A$1:$A$16,0))</f>
        <v>Elektronik</v>
      </c>
      <c r="J327" s="19">
        <f>_xlfn.XLOOKUP(A327,Master_Produk!$A$1:$A$16,Master_Produk!$D$1:$D$16,,0)</f>
        <v>1950000</v>
      </c>
      <c r="K327" s="19">
        <f>INDEX(Master_Produk!$E$1:$E$16,MATCH(Lembar_Kerja_Analisis!A327,Master_Produk!$A$1:$A$16,0))</f>
        <v>1500000</v>
      </c>
      <c r="L327" s="8">
        <v>11</v>
      </c>
      <c r="M327" s="19">
        <f t="shared" si="25"/>
        <v>21450000</v>
      </c>
      <c r="N327" s="9">
        <v>0</v>
      </c>
      <c r="O327" s="19">
        <f t="shared" si="26"/>
        <v>0</v>
      </c>
      <c r="P327" s="19">
        <f t="shared" si="27"/>
        <v>21450000</v>
      </c>
      <c r="Q327" s="19">
        <f t="shared" si="28"/>
        <v>16500000</v>
      </c>
      <c r="R327" s="19">
        <f t="shared" si="29"/>
        <v>4950000</v>
      </c>
    </row>
    <row r="328" spans="1:18" x14ac:dyDescent="0.25">
      <c r="A328" t="str">
        <f>_xlfn.XLOOKUP(C328,Raw_Data_Transaksi!$A$1:$A$1001,Raw_Data_Transaksi!$D$1:$D$1001,,0)</f>
        <v>PRD-107</v>
      </c>
      <c r="B328" t="str">
        <f>_xlfn.XLOOKUP(C328,Raw_Data_Transaksi!$A$1:$A$1001,Raw_Data_Transaksi!$C$1:$C$1001,,0)</f>
        <v>SLS-08</v>
      </c>
      <c r="C328" s="6" t="s">
        <v>412</v>
      </c>
      <c r="D328" s="7">
        <v>45852</v>
      </c>
      <c r="E328" s="10" t="str">
        <f>VLOOKUP(B328,Master_Sales!$A$1:$D$9,2,FALSE)</f>
        <v>Hendra Wijaya</v>
      </c>
      <c r="F328" s="10" t="str">
        <f>INDEX(Master_Sales!$D$1:$D$9,MATCH(Lembar_Kerja_Analisis!B328,Master_Sales!$A$1:$A$9,0))</f>
        <v>Tengah</v>
      </c>
      <c r="G328" s="10" t="str">
        <f>INDEX(Master_Sales!$C$1:$C$9,MATCH(Lembar_Kerja_Analisis!B328,Master_Sales!$A$1:$A$9,0))</f>
        <v>Yogyakarta</v>
      </c>
      <c r="H328" s="10" t="str">
        <f>VLOOKUP(A328,Master_Produk!$A$1:$E$16,2,FALSE)</f>
        <v>Jaket Hoodie Casual</v>
      </c>
      <c r="I328" s="10" t="str">
        <f>INDEX(Master_Produk!$C$1:$C$16,MATCH(Lembar_Kerja_Analisis!A328,Master_Produk!$A$1:$A$16,0))</f>
        <v>Fashion</v>
      </c>
      <c r="J328" s="19">
        <f>_xlfn.XLOOKUP(A328,Master_Produk!$A$1:$A$16,Master_Produk!$D$1:$D$16,,0)</f>
        <v>350000</v>
      </c>
      <c r="K328" s="19">
        <f>INDEX(Master_Produk!$E$1:$E$16,MATCH(Lembar_Kerja_Analisis!A328,Master_Produk!$A$1:$A$16,0))</f>
        <v>220000</v>
      </c>
      <c r="L328" s="8">
        <v>1</v>
      </c>
      <c r="M328" s="19">
        <f t="shared" si="25"/>
        <v>350000</v>
      </c>
      <c r="N328" s="9">
        <v>0</v>
      </c>
      <c r="O328" s="19">
        <f t="shared" si="26"/>
        <v>0</v>
      </c>
      <c r="P328" s="19">
        <f t="shared" si="27"/>
        <v>350000</v>
      </c>
      <c r="Q328" s="19">
        <f t="shared" si="28"/>
        <v>220000</v>
      </c>
      <c r="R328" s="19">
        <f t="shared" si="29"/>
        <v>130000</v>
      </c>
    </row>
    <row r="329" spans="1:18" x14ac:dyDescent="0.25">
      <c r="A329" t="str">
        <f>_xlfn.XLOOKUP(C329,Raw_Data_Transaksi!$A$1:$A$1001,Raw_Data_Transaksi!$D$1:$D$1001,,0)</f>
        <v>PRD-111</v>
      </c>
      <c r="B329" t="str">
        <f>_xlfn.XLOOKUP(C329,Raw_Data_Transaksi!$A$1:$A$1001,Raw_Data_Transaksi!$C$1:$C$1001,,0)</f>
        <v>SLS-06</v>
      </c>
      <c r="C329" s="6" t="s">
        <v>413</v>
      </c>
      <c r="D329" s="7">
        <v>45880</v>
      </c>
      <c r="E329" s="10" t="str">
        <f>VLOOKUP(B329,Master_Sales!$A$1:$D$9,2,FALSE)</f>
        <v>Fajar Nugraha</v>
      </c>
      <c r="F329" s="10" t="str">
        <f>INDEX(Master_Sales!$D$1:$D$9,MATCH(Lembar_Kerja_Analisis!B329,Master_Sales!$A$1:$A$9,0))</f>
        <v>Timur</v>
      </c>
      <c r="G329" s="10" t="str">
        <f>INDEX(Master_Sales!$C$1:$C$9,MATCH(Lembar_Kerja_Analisis!B329,Master_Sales!$A$1:$A$9,0))</f>
        <v>Makassar</v>
      </c>
      <c r="H329" s="10" t="str">
        <f>VLOOKUP(A329,Master_Produk!$A$1:$E$16,2,FALSE)</f>
        <v>Beras Premium 5kg</v>
      </c>
      <c r="I329" s="10" t="str">
        <f>INDEX(Master_Produk!$C$1:$C$16,MATCH(Lembar_Kerja_Analisis!A329,Master_Produk!$A$1:$A$16,0))</f>
        <v>F&amp;B</v>
      </c>
      <c r="J329" s="19">
        <f>_xlfn.XLOOKUP(A329,Master_Produk!$A$1:$A$16,Master_Produk!$D$1:$D$16,,0)</f>
        <v>74000</v>
      </c>
      <c r="K329" s="19">
        <f>INDEX(Master_Produk!$E$1:$E$16,MATCH(Lembar_Kerja_Analisis!A329,Master_Produk!$A$1:$A$16,0))</f>
        <v>65000</v>
      </c>
      <c r="L329" s="8">
        <v>30</v>
      </c>
      <c r="M329" s="19">
        <f t="shared" si="25"/>
        <v>2220000</v>
      </c>
      <c r="N329" s="9">
        <v>0</v>
      </c>
      <c r="O329" s="19">
        <f t="shared" si="26"/>
        <v>0</v>
      </c>
      <c r="P329" s="19">
        <f t="shared" si="27"/>
        <v>2220000</v>
      </c>
      <c r="Q329" s="19">
        <f t="shared" si="28"/>
        <v>1950000</v>
      </c>
      <c r="R329" s="19">
        <f t="shared" si="29"/>
        <v>270000</v>
      </c>
    </row>
    <row r="330" spans="1:18" x14ac:dyDescent="0.25">
      <c r="A330" t="str">
        <f>_xlfn.XLOOKUP(C330,Raw_Data_Transaksi!$A$1:$A$1001,Raw_Data_Transaksi!$D$1:$D$1001,,0)</f>
        <v>PRD-115</v>
      </c>
      <c r="B330" t="str">
        <f>_xlfn.XLOOKUP(C330,Raw_Data_Transaksi!$A$1:$A$1001,Raw_Data_Transaksi!$C$1:$C$1001,,0)</f>
        <v>SLS-08</v>
      </c>
      <c r="C330" s="6" t="s">
        <v>414</v>
      </c>
      <c r="D330" s="7">
        <v>46012</v>
      </c>
      <c r="E330" s="10" t="str">
        <f>VLOOKUP(B330,Master_Sales!$A$1:$D$9,2,FALSE)</f>
        <v>Hendra Wijaya</v>
      </c>
      <c r="F330" s="10" t="str">
        <f>INDEX(Master_Sales!$D$1:$D$9,MATCH(Lembar_Kerja_Analisis!B330,Master_Sales!$A$1:$A$9,0))</f>
        <v>Tengah</v>
      </c>
      <c r="G330" s="10" t="str">
        <f>INDEX(Master_Sales!$C$1:$C$9,MATCH(Lembar_Kerja_Analisis!B330,Master_Sales!$A$1:$A$9,0))</f>
        <v>Yogyakarta</v>
      </c>
      <c r="H330" s="10" t="str">
        <f>VLOOKUP(A330,Master_Produk!$A$1:$E$16,2,FALSE)</f>
        <v>Set Pisau Dapur Stainless</v>
      </c>
      <c r="I330" s="10" t="str">
        <f>INDEX(Master_Produk!$C$1:$C$16,MATCH(Lembar_Kerja_Analisis!A330,Master_Produk!$A$1:$A$16,0))</f>
        <v>Peralatan Rumah</v>
      </c>
      <c r="J330" s="19">
        <f>_xlfn.XLOOKUP(A330,Master_Produk!$A$1:$A$16,Master_Produk!$D$1:$D$16,,0)</f>
        <v>165000</v>
      </c>
      <c r="K330" s="19">
        <f>INDEX(Master_Produk!$E$1:$E$16,MATCH(Lembar_Kerja_Analisis!A330,Master_Produk!$A$1:$A$16,0))</f>
        <v>105000</v>
      </c>
      <c r="L330" s="8">
        <v>5</v>
      </c>
      <c r="M330" s="19">
        <f t="shared" si="25"/>
        <v>825000</v>
      </c>
      <c r="N330" s="9">
        <v>0</v>
      </c>
      <c r="O330" s="19">
        <f t="shared" si="26"/>
        <v>0</v>
      </c>
      <c r="P330" s="19">
        <f t="shared" si="27"/>
        <v>825000</v>
      </c>
      <c r="Q330" s="19">
        <f t="shared" si="28"/>
        <v>525000</v>
      </c>
      <c r="R330" s="19">
        <f t="shared" si="29"/>
        <v>300000</v>
      </c>
    </row>
    <row r="331" spans="1:18" x14ac:dyDescent="0.25">
      <c r="A331" t="str">
        <f>_xlfn.XLOOKUP(C331,Raw_Data_Transaksi!$A$1:$A$1001,Raw_Data_Transaksi!$D$1:$D$1001,,0)</f>
        <v>PRD-110</v>
      </c>
      <c r="B331" t="str">
        <f>_xlfn.XLOOKUP(C331,Raw_Data_Transaksi!$A$1:$A$1001,Raw_Data_Transaksi!$C$1:$C$1001,,0)</f>
        <v>SLS-01</v>
      </c>
      <c r="C331" s="6" t="s">
        <v>415</v>
      </c>
      <c r="D331" s="7">
        <v>45936</v>
      </c>
      <c r="E331" s="10" t="str">
        <f>VLOOKUP(B331,Master_Sales!$A$1:$D$9,2,FALSE)</f>
        <v>Andi Pratama</v>
      </c>
      <c r="F331" s="10" t="str">
        <f>INDEX(Master_Sales!$D$1:$D$9,MATCH(Lembar_Kerja_Analisis!B331,Master_Sales!$A$1:$A$9,0))</f>
        <v>Barat</v>
      </c>
      <c r="G331" s="10" t="str">
        <f>INDEX(Master_Sales!$C$1:$C$9,MATCH(Lembar_Kerja_Analisis!B331,Master_Sales!$A$1:$A$9,0))</f>
        <v>Jakarta</v>
      </c>
      <c r="H331" s="10" t="str">
        <f>VLOOKUP(A331,Master_Produk!$A$1:$E$16,2,FALSE)</f>
        <v>Minyak Goreng Sawit 2L</v>
      </c>
      <c r="I331" s="10" t="str">
        <f>INDEX(Master_Produk!$C$1:$C$16,MATCH(Lembar_Kerja_Analisis!A331,Master_Produk!$A$1:$A$16,0))</f>
        <v>F&amp;B</v>
      </c>
      <c r="J331" s="19">
        <f>_xlfn.XLOOKUP(A331,Master_Produk!$A$1:$A$16,Master_Produk!$D$1:$D$16,,0)</f>
        <v>36000</v>
      </c>
      <c r="K331" s="19">
        <f>INDEX(Master_Produk!$E$1:$E$16,MATCH(Lembar_Kerja_Analisis!A331,Master_Produk!$A$1:$A$16,0))</f>
        <v>31000</v>
      </c>
      <c r="L331" s="8">
        <v>30</v>
      </c>
      <c r="M331" s="19">
        <f t="shared" si="25"/>
        <v>1080000</v>
      </c>
      <c r="N331" s="9">
        <v>0.1</v>
      </c>
      <c r="O331" s="19">
        <f t="shared" si="26"/>
        <v>108000</v>
      </c>
      <c r="P331" s="19">
        <f t="shared" si="27"/>
        <v>972000</v>
      </c>
      <c r="Q331" s="19">
        <f t="shared" si="28"/>
        <v>930000</v>
      </c>
      <c r="R331" s="19">
        <f t="shared" si="29"/>
        <v>42000</v>
      </c>
    </row>
    <row r="332" spans="1:18" x14ac:dyDescent="0.25">
      <c r="A332" t="str">
        <f>_xlfn.XLOOKUP(C332,Raw_Data_Transaksi!$A$1:$A$1001,Raw_Data_Transaksi!$D$1:$D$1001,,0)</f>
        <v>PRD-114</v>
      </c>
      <c r="B332" t="str">
        <f>_xlfn.XLOOKUP(C332,Raw_Data_Transaksi!$A$1:$A$1001,Raw_Data_Transaksi!$C$1:$C$1001,,0)</f>
        <v>SLS-07</v>
      </c>
      <c r="C332" s="6" t="s">
        <v>416</v>
      </c>
      <c r="D332" s="7">
        <v>46022</v>
      </c>
      <c r="E332" s="10" t="str">
        <f>VLOOKUP(B332,Master_Sales!$A$1:$D$9,2,FALSE)</f>
        <v>Gita Permata</v>
      </c>
      <c r="F332" s="10" t="str">
        <f>INDEX(Master_Sales!$D$1:$D$9,MATCH(Lembar_Kerja_Analisis!B332,Master_Sales!$A$1:$A$9,0))</f>
        <v>Tengah</v>
      </c>
      <c r="G332" s="10" t="str">
        <f>INDEX(Master_Sales!$C$1:$C$9,MATCH(Lembar_Kerja_Analisis!B332,Master_Sales!$A$1:$A$9,0))</f>
        <v>Denpasar</v>
      </c>
      <c r="H332" s="10" t="str">
        <f>VLOOKUP(A332,Master_Produk!$A$1:$E$16,2,FALSE)</f>
        <v>Blender Multifungsi 2-in-1</v>
      </c>
      <c r="I332" s="10" t="str">
        <f>INDEX(Master_Produk!$C$1:$C$16,MATCH(Lembar_Kerja_Analisis!A332,Master_Produk!$A$1:$A$16,0))</f>
        <v>Peralatan Rumah</v>
      </c>
      <c r="J332" s="19">
        <f>_xlfn.XLOOKUP(A332,Master_Produk!$A$1:$A$16,Master_Produk!$D$1:$D$16,,0)</f>
        <v>340000</v>
      </c>
      <c r="K332" s="19">
        <f>INDEX(Master_Produk!$E$1:$E$16,MATCH(Lembar_Kerja_Analisis!A332,Master_Produk!$A$1:$A$16,0))</f>
        <v>240000</v>
      </c>
      <c r="L332" s="8">
        <v>2</v>
      </c>
      <c r="M332" s="19">
        <f t="shared" si="25"/>
        <v>680000</v>
      </c>
      <c r="N332" s="9">
        <v>0.1</v>
      </c>
      <c r="O332" s="19">
        <f t="shared" si="26"/>
        <v>68000</v>
      </c>
      <c r="P332" s="19">
        <f t="shared" si="27"/>
        <v>612000</v>
      </c>
      <c r="Q332" s="19">
        <f t="shared" si="28"/>
        <v>480000</v>
      </c>
      <c r="R332" s="19">
        <f t="shared" si="29"/>
        <v>132000</v>
      </c>
    </row>
    <row r="333" spans="1:18" x14ac:dyDescent="0.25">
      <c r="A333" t="str">
        <f>_xlfn.XLOOKUP(C333,Raw_Data_Transaksi!$A$1:$A$1001,Raw_Data_Transaksi!$D$1:$D$1001,,0)</f>
        <v>PRD-114</v>
      </c>
      <c r="B333" t="str">
        <f>_xlfn.XLOOKUP(C333,Raw_Data_Transaksi!$A$1:$A$1001,Raw_Data_Transaksi!$C$1:$C$1001,,0)</f>
        <v>SLS-07</v>
      </c>
      <c r="C333" s="6" t="s">
        <v>417</v>
      </c>
      <c r="D333" s="7">
        <v>45948</v>
      </c>
      <c r="E333" s="10" t="str">
        <f>VLOOKUP(B333,Master_Sales!$A$1:$D$9,2,FALSE)</f>
        <v>Gita Permata</v>
      </c>
      <c r="F333" s="10" t="str">
        <f>INDEX(Master_Sales!$D$1:$D$9,MATCH(Lembar_Kerja_Analisis!B333,Master_Sales!$A$1:$A$9,0))</f>
        <v>Tengah</v>
      </c>
      <c r="G333" s="10" t="str">
        <f>INDEX(Master_Sales!$C$1:$C$9,MATCH(Lembar_Kerja_Analisis!B333,Master_Sales!$A$1:$A$9,0))</f>
        <v>Denpasar</v>
      </c>
      <c r="H333" s="10" t="str">
        <f>VLOOKUP(A333,Master_Produk!$A$1:$E$16,2,FALSE)</f>
        <v>Blender Multifungsi 2-in-1</v>
      </c>
      <c r="I333" s="10" t="str">
        <f>INDEX(Master_Produk!$C$1:$C$16,MATCH(Lembar_Kerja_Analisis!A333,Master_Produk!$A$1:$A$16,0))</f>
        <v>Peralatan Rumah</v>
      </c>
      <c r="J333" s="19">
        <f>_xlfn.XLOOKUP(A333,Master_Produk!$A$1:$A$16,Master_Produk!$D$1:$D$16,,0)</f>
        <v>340000</v>
      </c>
      <c r="K333" s="19">
        <f>INDEX(Master_Produk!$E$1:$E$16,MATCH(Lembar_Kerja_Analisis!A333,Master_Produk!$A$1:$A$16,0))</f>
        <v>240000</v>
      </c>
      <c r="L333" s="8">
        <v>11</v>
      </c>
      <c r="M333" s="19">
        <f t="shared" si="25"/>
        <v>3740000</v>
      </c>
      <c r="N333" s="9">
        <v>0.2</v>
      </c>
      <c r="O333" s="19">
        <f t="shared" si="26"/>
        <v>748000</v>
      </c>
      <c r="P333" s="19">
        <f t="shared" si="27"/>
        <v>2992000</v>
      </c>
      <c r="Q333" s="19">
        <f t="shared" si="28"/>
        <v>2640000</v>
      </c>
      <c r="R333" s="19">
        <f t="shared" si="29"/>
        <v>352000</v>
      </c>
    </row>
    <row r="334" spans="1:18" x14ac:dyDescent="0.25">
      <c r="A334" t="str">
        <f>_xlfn.XLOOKUP(C334,Raw_Data_Transaksi!$A$1:$A$1001,Raw_Data_Transaksi!$D$1:$D$1001,,0)</f>
        <v>PRD-112</v>
      </c>
      <c r="B334" t="str">
        <f>_xlfn.XLOOKUP(C334,Raw_Data_Transaksi!$A$1:$A$1001,Raw_Data_Transaksi!$C$1:$C$1001,,0)</f>
        <v>SLS-02</v>
      </c>
      <c r="C334" s="6" t="s">
        <v>418</v>
      </c>
      <c r="D334" s="7">
        <v>46010</v>
      </c>
      <c r="E334" s="10" t="str">
        <f>VLOOKUP(B334,Master_Sales!$A$1:$D$9,2,FALSE)</f>
        <v>Budi Santoso</v>
      </c>
      <c r="F334" s="10" t="str">
        <f>INDEX(Master_Sales!$D$1:$D$9,MATCH(Lembar_Kerja_Analisis!B334,Master_Sales!$A$1:$A$9,0))</f>
        <v>Timur</v>
      </c>
      <c r="G334" s="10" t="str">
        <f>INDEX(Master_Sales!$C$1:$C$9,MATCH(Lembar_Kerja_Analisis!B334,Master_Sales!$A$1:$A$9,0))</f>
        <v>Surabaya</v>
      </c>
      <c r="H334" s="10" t="str">
        <f>VLOOKUP(A334,Master_Produk!$A$1:$E$16,2,FALSE)</f>
        <v>Susu UHT Full Cream 1L</v>
      </c>
      <c r="I334" s="10" t="str">
        <f>INDEX(Master_Produk!$C$1:$C$16,MATCH(Lembar_Kerja_Analisis!A334,Master_Produk!$A$1:$A$16,0))</f>
        <v>F&amp;B</v>
      </c>
      <c r="J334" s="19">
        <f>_xlfn.XLOOKUP(A334,Master_Produk!$A$1:$A$16,Master_Produk!$D$1:$D$16,,0)</f>
        <v>22000</v>
      </c>
      <c r="K334" s="19">
        <f>INDEX(Master_Produk!$E$1:$E$16,MATCH(Lembar_Kerja_Analisis!A334,Master_Produk!$A$1:$A$16,0))</f>
        <v>18000</v>
      </c>
      <c r="L334" s="8">
        <v>26</v>
      </c>
      <c r="M334" s="19">
        <f t="shared" si="25"/>
        <v>572000</v>
      </c>
      <c r="N334" s="9">
        <v>0.1</v>
      </c>
      <c r="O334" s="19">
        <f t="shared" si="26"/>
        <v>57200</v>
      </c>
      <c r="P334" s="19">
        <f t="shared" si="27"/>
        <v>514800</v>
      </c>
      <c r="Q334" s="19">
        <f t="shared" si="28"/>
        <v>468000</v>
      </c>
      <c r="R334" s="19">
        <f t="shared" si="29"/>
        <v>46800</v>
      </c>
    </row>
    <row r="335" spans="1:18" x14ac:dyDescent="0.25">
      <c r="A335" t="str">
        <f>_xlfn.XLOOKUP(C335,Raw_Data_Transaksi!$A$1:$A$1001,Raw_Data_Transaksi!$D$1:$D$1001,,0)</f>
        <v>PRD-114</v>
      </c>
      <c r="B335" t="str">
        <f>_xlfn.XLOOKUP(C335,Raw_Data_Transaksi!$A$1:$A$1001,Raw_Data_Transaksi!$C$1:$C$1001,,0)</f>
        <v>SLS-02</v>
      </c>
      <c r="C335" s="6" t="s">
        <v>419</v>
      </c>
      <c r="D335" s="7">
        <v>45776</v>
      </c>
      <c r="E335" s="10" t="str">
        <f>VLOOKUP(B335,Master_Sales!$A$1:$D$9,2,FALSE)</f>
        <v>Budi Santoso</v>
      </c>
      <c r="F335" s="10" t="str">
        <f>INDEX(Master_Sales!$D$1:$D$9,MATCH(Lembar_Kerja_Analisis!B335,Master_Sales!$A$1:$A$9,0))</f>
        <v>Timur</v>
      </c>
      <c r="G335" s="10" t="str">
        <f>INDEX(Master_Sales!$C$1:$C$9,MATCH(Lembar_Kerja_Analisis!B335,Master_Sales!$A$1:$A$9,0))</f>
        <v>Surabaya</v>
      </c>
      <c r="H335" s="10" t="str">
        <f>VLOOKUP(A335,Master_Produk!$A$1:$E$16,2,FALSE)</f>
        <v>Blender Multifungsi 2-in-1</v>
      </c>
      <c r="I335" s="10" t="str">
        <f>INDEX(Master_Produk!$C$1:$C$16,MATCH(Lembar_Kerja_Analisis!A335,Master_Produk!$A$1:$A$16,0))</f>
        <v>Peralatan Rumah</v>
      </c>
      <c r="J335" s="19">
        <f>_xlfn.XLOOKUP(A335,Master_Produk!$A$1:$A$16,Master_Produk!$D$1:$D$16,,0)</f>
        <v>340000</v>
      </c>
      <c r="K335" s="19">
        <f>INDEX(Master_Produk!$E$1:$E$16,MATCH(Lembar_Kerja_Analisis!A335,Master_Produk!$A$1:$A$16,0))</f>
        <v>240000</v>
      </c>
      <c r="L335" s="8">
        <v>6</v>
      </c>
      <c r="M335" s="19">
        <f t="shared" si="25"/>
        <v>2040000</v>
      </c>
      <c r="N335" s="9">
        <v>0.2</v>
      </c>
      <c r="O335" s="19">
        <f t="shared" si="26"/>
        <v>408000</v>
      </c>
      <c r="P335" s="19">
        <f t="shared" si="27"/>
        <v>1632000</v>
      </c>
      <c r="Q335" s="19">
        <f t="shared" si="28"/>
        <v>1440000</v>
      </c>
      <c r="R335" s="19">
        <f t="shared" si="29"/>
        <v>192000</v>
      </c>
    </row>
    <row r="336" spans="1:18" x14ac:dyDescent="0.25">
      <c r="A336" t="str">
        <f>_xlfn.XLOOKUP(C336,Raw_Data_Transaksi!$A$1:$A$1001,Raw_Data_Transaksi!$D$1:$D$1001,,0)</f>
        <v>PRD-105</v>
      </c>
      <c r="B336" t="str">
        <f>_xlfn.XLOOKUP(C336,Raw_Data_Transaksi!$A$1:$A$1001,Raw_Data_Transaksi!$C$1:$C$1001,,0)</f>
        <v>SLS-08</v>
      </c>
      <c r="C336" s="6" t="s">
        <v>420</v>
      </c>
      <c r="D336" s="7">
        <v>45982</v>
      </c>
      <c r="E336" s="10" t="str">
        <f>VLOOKUP(B336,Master_Sales!$A$1:$D$9,2,FALSE)</f>
        <v>Hendra Wijaya</v>
      </c>
      <c r="F336" s="10" t="str">
        <f>INDEX(Master_Sales!$D$1:$D$9,MATCH(Lembar_Kerja_Analisis!B336,Master_Sales!$A$1:$A$9,0))</f>
        <v>Tengah</v>
      </c>
      <c r="G336" s="10" t="str">
        <f>INDEX(Master_Sales!$C$1:$C$9,MATCH(Lembar_Kerja_Analisis!B336,Master_Sales!$A$1:$A$9,0))</f>
        <v>Yogyakarta</v>
      </c>
      <c r="H336" s="10" t="str">
        <f>VLOOKUP(A336,Master_Produk!$A$1:$E$16,2,FALSE)</f>
        <v>Kemeja Batik Katun Premium</v>
      </c>
      <c r="I336" s="10" t="str">
        <f>INDEX(Master_Produk!$C$1:$C$16,MATCH(Lembar_Kerja_Analisis!A336,Master_Produk!$A$1:$A$16,0))</f>
        <v>Fashion</v>
      </c>
      <c r="J336" s="19">
        <f>_xlfn.XLOOKUP(A336,Master_Produk!$A$1:$A$16,Master_Produk!$D$1:$D$16,,0)</f>
        <v>320000</v>
      </c>
      <c r="K336" s="19">
        <f>INDEX(Master_Produk!$E$1:$E$16,MATCH(Lembar_Kerja_Analisis!A336,Master_Produk!$A$1:$A$16,0))</f>
        <v>190000</v>
      </c>
      <c r="L336" s="8">
        <v>8</v>
      </c>
      <c r="M336" s="19">
        <f t="shared" si="25"/>
        <v>2560000</v>
      </c>
      <c r="N336" s="9">
        <v>0.05</v>
      </c>
      <c r="O336" s="19">
        <f t="shared" si="26"/>
        <v>128000</v>
      </c>
      <c r="P336" s="19">
        <f t="shared" si="27"/>
        <v>2432000</v>
      </c>
      <c r="Q336" s="19">
        <f t="shared" si="28"/>
        <v>1520000</v>
      </c>
      <c r="R336" s="19">
        <f t="shared" si="29"/>
        <v>912000</v>
      </c>
    </row>
    <row r="337" spans="1:18" x14ac:dyDescent="0.25">
      <c r="A337" t="str">
        <f>_xlfn.XLOOKUP(C337,Raw_Data_Transaksi!$A$1:$A$1001,Raw_Data_Transaksi!$D$1:$D$1001,,0)</f>
        <v>PRD-103</v>
      </c>
      <c r="B337" t="str">
        <f>_xlfn.XLOOKUP(C337,Raw_Data_Transaksi!$A$1:$A$1001,Raw_Data_Transaksi!$C$1:$C$1001,,0)</f>
        <v>SLS-07</v>
      </c>
      <c r="C337" s="6" t="s">
        <v>421</v>
      </c>
      <c r="D337" s="7">
        <v>45879</v>
      </c>
      <c r="E337" s="10" t="str">
        <f>VLOOKUP(B337,Master_Sales!$A$1:$D$9,2,FALSE)</f>
        <v>Gita Permata</v>
      </c>
      <c r="F337" s="10" t="str">
        <f>INDEX(Master_Sales!$D$1:$D$9,MATCH(Lembar_Kerja_Analisis!B337,Master_Sales!$A$1:$A$9,0))</f>
        <v>Tengah</v>
      </c>
      <c r="G337" s="10" t="str">
        <f>INDEX(Master_Sales!$C$1:$C$9,MATCH(Lembar_Kerja_Analisis!B337,Master_Sales!$A$1:$A$9,0))</f>
        <v>Denpasar</v>
      </c>
      <c r="H337" s="10" t="str">
        <f>VLOOKUP(A337,Master_Produk!$A$1:$E$16,2,FALSE)</f>
        <v>Mechanical Keyboard RGB</v>
      </c>
      <c r="I337" s="10" t="str">
        <f>INDEX(Master_Produk!$C$1:$C$16,MATCH(Lembar_Kerja_Analisis!A337,Master_Produk!$A$1:$A$16,0))</f>
        <v>Elektronik</v>
      </c>
      <c r="J337" s="19">
        <f>_xlfn.XLOOKUP(A337,Master_Produk!$A$1:$A$16,Master_Produk!$D$1:$D$16,,0)</f>
        <v>750000</v>
      </c>
      <c r="K337" s="19">
        <f>INDEX(Master_Produk!$E$1:$E$16,MATCH(Lembar_Kerja_Analisis!A337,Master_Produk!$A$1:$A$16,0))</f>
        <v>520000</v>
      </c>
      <c r="L337" s="8">
        <v>2</v>
      </c>
      <c r="M337" s="19">
        <f t="shared" si="25"/>
        <v>1500000</v>
      </c>
      <c r="N337" s="9">
        <v>0.2</v>
      </c>
      <c r="O337" s="19">
        <f t="shared" si="26"/>
        <v>300000</v>
      </c>
      <c r="P337" s="19">
        <f t="shared" si="27"/>
        <v>1200000</v>
      </c>
      <c r="Q337" s="19">
        <f t="shared" si="28"/>
        <v>1040000</v>
      </c>
      <c r="R337" s="19">
        <f t="shared" si="29"/>
        <v>160000</v>
      </c>
    </row>
    <row r="338" spans="1:18" x14ac:dyDescent="0.25">
      <c r="A338" t="str">
        <f>_xlfn.XLOOKUP(C338,Raw_Data_Transaksi!$A$1:$A$1001,Raw_Data_Transaksi!$D$1:$D$1001,,0)</f>
        <v>PRD-105</v>
      </c>
      <c r="B338" t="str">
        <f>_xlfn.XLOOKUP(C338,Raw_Data_Transaksi!$A$1:$A$1001,Raw_Data_Transaksi!$C$1:$C$1001,,0)</f>
        <v>SLS-03</v>
      </c>
      <c r="C338" s="6" t="s">
        <v>422</v>
      </c>
      <c r="D338" s="7">
        <v>45700</v>
      </c>
      <c r="E338" s="10" t="str">
        <f>VLOOKUP(B338,Master_Sales!$A$1:$D$9,2,FALSE)</f>
        <v>Citra Lestari</v>
      </c>
      <c r="F338" s="10" t="str">
        <f>INDEX(Master_Sales!$D$1:$D$9,MATCH(Lembar_Kerja_Analisis!B338,Master_Sales!$A$1:$A$9,0))</f>
        <v>Barat</v>
      </c>
      <c r="G338" s="10" t="str">
        <f>INDEX(Master_Sales!$C$1:$C$9,MATCH(Lembar_Kerja_Analisis!B338,Master_Sales!$A$1:$A$9,0))</f>
        <v>Bandung</v>
      </c>
      <c r="H338" s="10" t="str">
        <f>VLOOKUP(A338,Master_Produk!$A$1:$E$16,2,FALSE)</f>
        <v>Kemeja Batik Katun Premium</v>
      </c>
      <c r="I338" s="10" t="str">
        <f>INDEX(Master_Produk!$C$1:$C$16,MATCH(Lembar_Kerja_Analisis!A338,Master_Produk!$A$1:$A$16,0))</f>
        <v>Fashion</v>
      </c>
      <c r="J338" s="19">
        <f>_xlfn.XLOOKUP(A338,Master_Produk!$A$1:$A$16,Master_Produk!$D$1:$D$16,,0)</f>
        <v>320000</v>
      </c>
      <c r="K338" s="19">
        <f>INDEX(Master_Produk!$E$1:$E$16,MATCH(Lembar_Kerja_Analisis!A338,Master_Produk!$A$1:$A$16,0))</f>
        <v>190000</v>
      </c>
      <c r="L338" s="8">
        <v>7</v>
      </c>
      <c r="M338" s="19">
        <f t="shared" si="25"/>
        <v>2240000</v>
      </c>
      <c r="N338" s="9">
        <v>0.05</v>
      </c>
      <c r="O338" s="19">
        <f t="shared" si="26"/>
        <v>112000</v>
      </c>
      <c r="P338" s="19">
        <f t="shared" si="27"/>
        <v>2128000</v>
      </c>
      <c r="Q338" s="19">
        <f t="shared" si="28"/>
        <v>1330000</v>
      </c>
      <c r="R338" s="19">
        <f t="shared" si="29"/>
        <v>798000</v>
      </c>
    </row>
    <row r="339" spans="1:18" x14ac:dyDescent="0.25">
      <c r="A339" t="str">
        <f>_xlfn.XLOOKUP(C339,Raw_Data_Transaksi!$A$1:$A$1001,Raw_Data_Transaksi!$D$1:$D$1001,,0)</f>
        <v>PRD-102</v>
      </c>
      <c r="B339" t="str">
        <f>_xlfn.XLOOKUP(C339,Raw_Data_Transaksi!$A$1:$A$1001,Raw_Data_Transaksi!$C$1:$C$1001,,0)</f>
        <v>SLS-01</v>
      </c>
      <c r="C339" s="6" t="s">
        <v>423</v>
      </c>
      <c r="D339" s="7">
        <v>45712</v>
      </c>
      <c r="E339" s="10" t="str">
        <f>VLOOKUP(B339,Master_Sales!$A$1:$D$9,2,FALSE)</f>
        <v>Andi Pratama</v>
      </c>
      <c r="F339" s="10" t="str">
        <f>INDEX(Master_Sales!$D$1:$D$9,MATCH(Lembar_Kerja_Analisis!B339,Master_Sales!$A$1:$A$9,0))</f>
        <v>Barat</v>
      </c>
      <c r="G339" s="10" t="str">
        <f>INDEX(Master_Sales!$C$1:$C$9,MATCH(Lembar_Kerja_Analisis!B339,Master_Sales!$A$1:$A$9,0))</f>
        <v>Jakarta</v>
      </c>
      <c r="H339" s="10" t="str">
        <f>VLOOKUP(A339,Master_Produk!$A$1:$E$16,2,FALSE)</f>
        <v>Wireless Mouse Ergonomic</v>
      </c>
      <c r="I339" s="10" t="str">
        <f>INDEX(Master_Produk!$C$1:$C$16,MATCH(Lembar_Kerja_Analisis!A339,Master_Produk!$A$1:$A$16,0))</f>
        <v>Elektronik</v>
      </c>
      <c r="J339" s="19">
        <f>_xlfn.XLOOKUP(A339,Master_Produk!$A$1:$A$16,Master_Produk!$D$1:$D$16,,0)</f>
        <v>250000</v>
      </c>
      <c r="K339" s="19">
        <f>INDEX(Master_Produk!$E$1:$E$16,MATCH(Lembar_Kerja_Analisis!A339,Master_Produk!$A$1:$A$16,0))</f>
        <v>160000</v>
      </c>
      <c r="L339" s="8">
        <v>5</v>
      </c>
      <c r="M339" s="19">
        <f t="shared" si="25"/>
        <v>1250000</v>
      </c>
      <c r="N339" s="9">
        <v>0.15</v>
      </c>
      <c r="O339" s="19">
        <f t="shared" si="26"/>
        <v>187500</v>
      </c>
      <c r="P339" s="19">
        <f t="shared" si="27"/>
        <v>1062500</v>
      </c>
      <c r="Q339" s="19">
        <f t="shared" si="28"/>
        <v>800000</v>
      </c>
      <c r="R339" s="19">
        <f t="shared" si="29"/>
        <v>262500</v>
      </c>
    </row>
    <row r="340" spans="1:18" x14ac:dyDescent="0.25">
      <c r="A340" t="str">
        <f>_xlfn.XLOOKUP(C340,Raw_Data_Transaksi!$A$1:$A$1001,Raw_Data_Transaksi!$D$1:$D$1001,,0)</f>
        <v>PRD-102</v>
      </c>
      <c r="B340" t="str">
        <f>_xlfn.XLOOKUP(C340,Raw_Data_Transaksi!$A$1:$A$1001,Raw_Data_Transaksi!$C$1:$C$1001,,0)</f>
        <v>SLS-03</v>
      </c>
      <c r="C340" s="6" t="s">
        <v>424</v>
      </c>
      <c r="D340" s="7">
        <v>45725</v>
      </c>
      <c r="E340" s="10" t="str">
        <f>VLOOKUP(B340,Master_Sales!$A$1:$D$9,2,FALSE)</f>
        <v>Citra Lestari</v>
      </c>
      <c r="F340" s="10" t="str">
        <f>INDEX(Master_Sales!$D$1:$D$9,MATCH(Lembar_Kerja_Analisis!B340,Master_Sales!$A$1:$A$9,0))</f>
        <v>Barat</v>
      </c>
      <c r="G340" s="10" t="str">
        <f>INDEX(Master_Sales!$C$1:$C$9,MATCH(Lembar_Kerja_Analisis!B340,Master_Sales!$A$1:$A$9,0))</f>
        <v>Bandung</v>
      </c>
      <c r="H340" s="10" t="str">
        <f>VLOOKUP(A340,Master_Produk!$A$1:$E$16,2,FALSE)</f>
        <v>Wireless Mouse Ergonomic</v>
      </c>
      <c r="I340" s="10" t="str">
        <f>INDEX(Master_Produk!$C$1:$C$16,MATCH(Lembar_Kerja_Analisis!A340,Master_Produk!$A$1:$A$16,0))</f>
        <v>Elektronik</v>
      </c>
      <c r="J340" s="19">
        <f>_xlfn.XLOOKUP(A340,Master_Produk!$A$1:$A$16,Master_Produk!$D$1:$D$16,,0)</f>
        <v>250000</v>
      </c>
      <c r="K340" s="19">
        <f>INDEX(Master_Produk!$E$1:$E$16,MATCH(Lembar_Kerja_Analisis!A340,Master_Produk!$A$1:$A$16,0))</f>
        <v>160000</v>
      </c>
      <c r="L340" s="8">
        <v>7</v>
      </c>
      <c r="M340" s="19">
        <f t="shared" si="25"/>
        <v>1750000</v>
      </c>
      <c r="N340" s="9">
        <v>0.15</v>
      </c>
      <c r="O340" s="19">
        <f t="shared" si="26"/>
        <v>262500</v>
      </c>
      <c r="P340" s="19">
        <f t="shared" si="27"/>
        <v>1487500</v>
      </c>
      <c r="Q340" s="19">
        <f t="shared" si="28"/>
        <v>1120000</v>
      </c>
      <c r="R340" s="19">
        <f t="shared" si="29"/>
        <v>367500</v>
      </c>
    </row>
    <row r="341" spans="1:18" x14ac:dyDescent="0.25">
      <c r="A341" t="str">
        <f>_xlfn.XLOOKUP(C341,Raw_Data_Transaksi!$A$1:$A$1001,Raw_Data_Transaksi!$D$1:$D$1001,,0)</f>
        <v>PRD-106</v>
      </c>
      <c r="B341" t="str">
        <f>_xlfn.XLOOKUP(C341,Raw_Data_Transaksi!$A$1:$A$1001,Raw_Data_Transaksi!$C$1:$C$1001,,0)</f>
        <v>SLS-02</v>
      </c>
      <c r="C341" s="6" t="s">
        <v>425</v>
      </c>
      <c r="D341" s="7">
        <v>45703</v>
      </c>
      <c r="E341" s="10" t="str">
        <f>VLOOKUP(B341,Master_Sales!$A$1:$D$9,2,FALSE)</f>
        <v>Budi Santoso</v>
      </c>
      <c r="F341" s="10" t="str">
        <f>INDEX(Master_Sales!$D$1:$D$9,MATCH(Lembar_Kerja_Analisis!B341,Master_Sales!$A$1:$A$9,0))</f>
        <v>Timur</v>
      </c>
      <c r="G341" s="10" t="str">
        <f>INDEX(Master_Sales!$C$1:$C$9,MATCH(Lembar_Kerja_Analisis!B341,Master_Sales!$A$1:$A$9,0))</f>
        <v>Surabaya</v>
      </c>
      <c r="H341" s="10" t="str">
        <f>VLOOKUP(A341,Master_Produk!$A$1:$E$16,2,FALSE)</f>
        <v>Celana Chino Slim Fit</v>
      </c>
      <c r="I341" s="10" t="str">
        <f>INDEX(Master_Produk!$C$1:$C$16,MATCH(Lembar_Kerja_Analisis!A341,Master_Produk!$A$1:$A$16,0))</f>
        <v>Fashion</v>
      </c>
      <c r="J341" s="19">
        <f>_xlfn.XLOOKUP(A341,Master_Produk!$A$1:$A$16,Master_Produk!$D$1:$D$16,,0)</f>
        <v>280000</v>
      </c>
      <c r="K341" s="19">
        <f>INDEX(Master_Produk!$E$1:$E$16,MATCH(Lembar_Kerja_Analisis!A341,Master_Produk!$A$1:$A$16,0))</f>
        <v>175000</v>
      </c>
      <c r="L341" s="8">
        <v>10</v>
      </c>
      <c r="M341" s="19">
        <f t="shared" si="25"/>
        <v>2800000</v>
      </c>
      <c r="N341" s="9">
        <v>0.2</v>
      </c>
      <c r="O341" s="19">
        <f t="shared" si="26"/>
        <v>560000</v>
      </c>
      <c r="P341" s="19">
        <f t="shared" si="27"/>
        <v>2240000</v>
      </c>
      <c r="Q341" s="19">
        <f t="shared" si="28"/>
        <v>1750000</v>
      </c>
      <c r="R341" s="19">
        <f t="shared" si="29"/>
        <v>490000</v>
      </c>
    </row>
    <row r="342" spans="1:18" x14ac:dyDescent="0.25">
      <c r="A342" t="str">
        <f>_xlfn.XLOOKUP(C342,Raw_Data_Transaksi!$A$1:$A$1001,Raw_Data_Transaksi!$D$1:$D$1001,,0)</f>
        <v>PRD-107</v>
      </c>
      <c r="B342" t="str">
        <f>_xlfn.XLOOKUP(C342,Raw_Data_Transaksi!$A$1:$A$1001,Raw_Data_Transaksi!$C$1:$C$1001,,0)</f>
        <v>SLS-07</v>
      </c>
      <c r="C342" s="6" t="s">
        <v>426</v>
      </c>
      <c r="D342" s="7">
        <v>45807</v>
      </c>
      <c r="E342" s="10" t="str">
        <f>VLOOKUP(B342,Master_Sales!$A$1:$D$9,2,FALSE)</f>
        <v>Gita Permata</v>
      </c>
      <c r="F342" s="10" t="str">
        <f>INDEX(Master_Sales!$D$1:$D$9,MATCH(Lembar_Kerja_Analisis!B342,Master_Sales!$A$1:$A$9,0))</f>
        <v>Tengah</v>
      </c>
      <c r="G342" s="10" t="str">
        <f>INDEX(Master_Sales!$C$1:$C$9,MATCH(Lembar_Kerja_Analisis!B342,Master_Sales!$A$1:$A$9,0))</f>
        <v>Denpasar</v>
      </c>
      <c r="H342" s="10" t="str">
        <f>VLOOKUP(A342,Master_Produk!$A$1:$E$16,2,FALSE)</f>
        <v>Jaket Hoodie Casual</v>
      </c>
      <c r="I342" s="10" t="str">
        <f>INDEX(Master_Produk!$C$1:$C$16,MATCH(Lembar_Kerja_Analisis!A342,Master_Produk!$A$1:$A$16,0))</f>
        <v>Fashion</v>
      </c>
      <c r="J342" s="19">
        <f>_xlfn.XLOOKUP(A342,Master_Produk!$A$1:$A$16,Master_Produk!$D$1:$D$16,,0)</f>
        <v>350000</v>
      </c>
      <c r="K342" s="19">
        <f>INDEX(Master_Produk!$E$1:$E$16,MATCH(Lembar_Kerja_Analisis!A342,Master_Produk!$A$1:$A$16,0))</f>
        <v>220000</v>
      </c>
      <c r="L342" s="8">
        <v>2</v>
      </c>
      <c r="M342" s="19">
        <f t="shared" si="25"/>
        <v>700000</v>
      </c>
      <c r="N342" s="9">
        <v>0.2</v>
      </c>
      <c r="O342" s="19">
        <f t="shared" si="26"/>
        <v>140000</v>
      </c>
      <c r="P342" s="19">
        <f t="shared" si="27"/>
        <v>560000</v>
      </c>
      <c r="Q342" s="19">
        <f t="shared" si="28"/>
        <v>440000</v>
      </c>
      <c r="R342" s="19">
        <f t="shared" si="29"/>
        <v>120000</v>
      </c>
    </row>
    <row r="343" spans="1:18" x14ac:dyDescent="0.25">
      <c r="A343" t="str">
        <f>_xlfn.XLOOKUP(C343,Raw_Data_Transaksi!$A$1:$A$1001,Raw_Data_Transaksi!$D$1:$D$1001,,0)</f>
        <v>PRD-107</v>
      </c>
      <c r="B343" t="str">
        <f>_xlfn.XLOOKUP(C343,Raw_Data_Transaksi!$A$1:$A$1001,Raw_Data_Transaksi!$C$1:$C$1001,,0)</f>
        <v>SLS-03</v>
      </c>
      <c r="C343" s="6" t="s">
        <v>427</v>
      </c>
      <c r="D343" s="7">
        <v>46008</v>
      </c>
      <c r="E343" s="10" t="str">
        <f>VLOOKUP(B343,Master_Sales!$A$1:$D$9,2,FALSE)</f>
        <v>Citra Lestari</v>
      </c>
      <c r="F343" s="10" t="str">
        <f>INDEX(Master_Sales!$D$1:$D$9,MATCH(Lembar_Kerja_Analisis!B343,Master_Sales!$A$1:$A$9,0))</f>
        <v>Barat</v>
      </c>
      <c r="G343" s="10" t="str">
        <f>INDEX(Master_Sales!$C$1:$C$9,MATCH(Lembar_Kerja_Analisis!B343,Master_Sales!$A$1:$A$9,0))</f>
        <v>Bandung</v>
      </c>
      <c r="H343" s="10" t="str">
        <f>VLOOKUP(A343,Master_Produk!$A$1:$E$16,2,FALSE)</f>
        <v>Jaket Hoodie Casual</v>
      </c>
      <c r="I343" s="10" t="str">
        <f>INDEX(Master_Produk!$C$1:$C$16,MATCH(Lembar_Kerja_Analisis!A343,Master_Produk!$A$1:$A$16,0))</f>
        <v>Fashion</v>
      </c>
      <c r="J343" s="19">
        <f>_xlfn.XLOOKUP(A343,Master_Produk!$A$1:$A$16,Master_Produk!$D$1:$D$16,,0)</f>
        <v>350000</v>
      </c>
      <c r="K343" s="19">
        <f>INDEX(Master_Produk!$E$1:$E$16,MATCH(Lembar_Kerja_Analisis!A343,Master_Produk!$A$1:$A$16,0))</f>
        <v>220000</v>
      </c>
      <c r="L343" s="8">
        <v>3</v>
      </c>
      <c r="M343" s="19">
        <f t="shared" si="25"/>
        <v>1050000</v>
      </c>
      <c r="N343" s="9">
        <v>0.1</v>
      </c>
      <c r="O343" s="19">
        <f t="shared" si="26"/>
        <v>105000</v>
      </c>
      <c r="P343" s="19">
        <f t="shared" si="27"/>
        <v>945000</v>
      </c>
      <c r="Q343" s="19">
        <f t="shared" si="28"/>
        <v>660000</v>
      </c>
      <c r="R343" s="19">
        <f t="shared" si="29"/>
        <v>285000</v>
      </c>
    </row>
    <row r="344" spans="1:18" x14ac:dyDescent="0.25">
      <c r="A344" t="str">
        <f>_xlfn.XLOOKUP(C344,Raw_Data_Transaksi!$A$1:$A$1001,Raw_Data_Transaksi!$D$1:$D$1001,,0)</f>
        <v>PRD-102</v>
      </c>
      <c r="B344" t="str">
        <f>_xlfn.XLOOKUP(C344,Raw_Data_Transaksi!$A$1:$A$1001,Raw_Data_Transaksi!$C$1:$C$1001,,0)</f>
        <v>SLS-03</v>
      </c>
      <c r="C344" s="6" t="s">
        <v>428</v>
      </c>
      <c r="D344" s="7">
        <v>45732</v>
      </c>
      <c r="E344" s="10" t="str">
        <f>VLOOKUP(B344,Master_Sales!$A$1:$D$9,2,FALSE)</f>
        <v>Citra Lestari</v>
      </c>
      <c r="F344" s="10" t="str">
        <f>INDEX(Master_Sales!$D$1:$D$9,MATCH(Lembar_Kerja_Analisis!B344,Master_Sales!$A$1:$A$9,0))</f>
        <v>Barat</v>
      </c>
      <c r="G344" s="10" t="str">
        <f>INDEX(Master_Sales!$C$1:$C$9,MATCH(Lembar_Kerja_Analisis!B344,Master_Sales!$A$1:$A$9,0))</f>
        <v>Bandung</v>
      </c>
      <c r="H344" s="10" t="str">
        <f>VLOOKUP(A344,Master_Produk!$A$1:$E$16,2,FALSE)</f>
        <v>Wireless Mouse Ergonomic</v>
      </c>
      <c r="I344" s="10" t="str">
        <f>INDEX(Master_Produk!$C$1:$C$16,MATCH(Lembar_Kerja_Analisis!A344,Master_Produk!$A$1:$A$16,0))</f>
        <v>Elektronik</v>
      </c>
      <c r="J344" s="19">
        <f>_xlfn.XLOOKUP(A344,Master_Produk!$A$1:$A$16,Master_Produk!$D$1:$D$16,,0)</f>
        <v>250000</v>
      </c>
      <c r="K344" s="19">
        <f>INDEX(Master_Produk!$E$1:$E$16,MATCH(Lembar_Kerja_Analisis!A344,Master_Produk!$A$1:$A$16,0))</f>
        <v>160000</v>
      </c>
      <c r="L344" s="8">
        <v>7</v>
      </c>
      <c r="M344" s="19">
        <f t="shared" si="25"/>
        <v>1750000</v>
      </c>
      <c r="N344" s="9">
        <v>0.1</v>
      </c>
      <c r="O344" s="19">
        <f t="shared" si="26"/>
        <v>175000</v>
      </c>
      <c r="P344" s="19">
        <f t="shared" si="27"/>
        <v>1575000</v>
      </c>
      <c r="Q344" s="19">
        <f t="shared" si="28"/>
        <v>1120000</v>
      </c>
      <c r="R344" s="19">
        <f t="shared" si="29"/>
        <v>455000</v>
      </c>
    </row>
    <row r="345" spans="1:18" x14ac:dyDescent="0.25">
      <c r="A345" t="str">
        <f>_xlfn.XLOOKUP(C345,Raw_Data_Transaksi!$A$1:$A$1001,Raw_Data_Transaksi!$D$1:$D$1001,,0)</f>
        <v>PRD-106</v>
      </c>
      <c r="B345" t="str">
        <f>_xlfn.XLOOKUP(C345,Raw_Data_Transaksi!$A$1:$A$1001,Raw_Data_Transaksi!$C$1:$C$1001,,0)</f>
        <v>SLS-05</v>
      </c>
      <c r="C345" s="6" t="s">
        <v>429</v>
      </c>
      <c r="D345" s="7">
        <v>45697</v>
      </c>
      <c r="E345" s="10" t="str">
        <f>VLOOKUP(B345,Master_Sales!$A$1:$D$9,2,FALSE)</f>
        <v>Eko Prasetyo</v>
      </c>
      <c r="F345" s="10" t="str">
        <f>INDEX(Master_Sales!$D$1:$D$9,MATCH(Lembar_Kerja_Analisis!B345,Master_Sales!$A$1:$A$9,0))</f>
        <v>Tengah</v>
      </c>
      <c r="G345" s="10" t="str">
        <f>INDEX(Master_Sales!$C$1:$C$9,MATCH(Lembar_Kerja_Analisis!B345,Master_Sales!$A$1:$A$9,0))</f>
        <v>Semarang</v>
      </c>
      <c r="H345" s="10" t="str">
        <f>VLOOKUP(A345,Master_Produk!$A$1:$E$16,2,FALSE)</f>
        <v>Celana Chino Slim Fit</v>
      </c>
      <c r="I345" s="10" t="str">
        <f>INDEX(Master_Produk!$C$1:$C$16,MATCH(Lembar_Kerja_Analisis!A345,Master_Produk!$A$1:$A$16,0))</f>
        <v>Fashion</v>
      </c>
      <c r="J345" s="19">
        <f>_xlfn.XLOOKUP(A345,Master_Produk!$A$1:$A$16,Master_Produk!$D$1:$D$16,,0)</f>
        <v>280000</v>
      </c>
      <c r="K345" s="19">
        <f>INDEX(Master_Produk!$E$1:$E$16,MATCH(Lembar_Kerja_Analisis!A345,Master_Produk!$A$1:$A$16,0))</f>
        <v>175000</v>
      </c>
      <c r="L345" s="8">
        <v>4</v>
      </c>
      <c r="M345" s="19">
        <f t="shared" si="25"/>
        <v>1120000</v>
      </c>
      <c r="N345" s="9">
        <v>0.15</v>
      </c>
      <c r="O345" s="19">
        <f t="shared" si="26"/>
        <v>168000</v>
      </c>
      <c r="P345" s="19">
        <f t="shared" si="27"/>
        <v>952000</v>
      </c>
      <c r="Q345" s="19">
        <f t="shared" si="28"/>
        <v>700000</v>
      </c>
      <c r="R345" s="19">
        <f t="shared" si="29"/>
        <v>252000</v>
      </c>
    </row>
    <row r="346" spans="1:18" x14ac:dyDescent="0.25">
      <c r="A346" t="str">
        <f>_xlfn.XLOOKUP(C346,Raw_Data_Transaksi!$A$1:$A$1001,Raw_Data_Transaksi!$D$1:$D$1001,,0)</f>
        <v>PRD-105</v>
      </c>
      <c r="B346" t="str">
        <f>_xlfn.XLOOKUP(C346,Raw_Data_Transaksi!$A$1:$A$1001,Raw_Data_Transaksi!$C$1:$C$1001,,0)</f>
        <v>SLS-01</v>
      </c>
      <c r="C346" s="6" t="s">
        <v>430</v>
      </c>
      <c r="D346" s="7">
        <v>45727</v>
      </c>
      <c r="E346" s="10" t="str">
        <f>VLOOKUP(B346,Master_Sales!$A$1:$D$9,2,FALSE)</f>
        <v>Andi Pratama</v>
      </c>
      <c r="F346" s="10" t="str">
        <f>INDEX(Master_Sales!$D$1:$D$9,MATCH(Lembar_Kerja_Analisis!B346,Master_Sales!$A$1:$A$9,0))</f>
        <v>Barat</v>
      </c>
      <c r="G346" s="10" t="str">
        <f>INDEX(Master_Sales!$C$1:$C$9,MATCH(Lembar_Kerja_Analisis!B346,Master_Sales!$A$1:$A$9,0))</f>
        <v>Jakarta</v>
      </c>
      <c r="H346" s="10" t="str">
        <f>VLOOKUP(A346,Master_Produk!$A$1:$E$16,2,FALSE)</f>
        <v>Kemeja Batik Katun Premium</v>
      </c>
      <c r="I346" s="10" t="str">
        <f>INDEX(Master_Produk!$C$1:$C$16,MATCH(Lembar_Kerja_Analisis!A346,Master_Produk!$A$1:$A$16,0))</f>
        <v>Fashion</v>
      </c>
      <c r="J346" s="19">
        <f>_xlfn.XLOOKUP(A346,Master_Produk!$A$1:$A$16,Master_Produk!$D$1:$D$16,,0)</f>
        <v>320000</v>
      </c>
      <c r="K346" s="19">
        <f>INDEX(Master_Produk!$E$1:$E$16,MATCH(Lembar_Kerja_Analisis!A346,Master_Produk!$A$1:$A$16,0))</f>
        <v>190000</v>
      </c>
      <c r="L346" s="8">
        <v>7</v>
      </c>
      <c r="M346" s="19">
        <f t="shared" si="25"/>
        <v>2240000</v>
      </c>
      <c r="N346" s="9">
        <v>0.1</v>
      </c>
      <c r="O346" s="19">
        <f t="shared" si="26"/>
        <v>224000</v>
      </c>
      <c r="P346" s="19">
        <f t="shared" si="27"/>
        <v>2016000</v>
      </c>
      <c r="Q346" s="19">
        <f t="shared" si="28"/>
        <v>1330000</v>
      </c>
      <c r="R346" s="19">
        <f t="shared" si="29"/>
        <v>686000</v>
      </c>
    </row>
    <row r="347" spans="1:18" x14ac:dyDescent="0.25">
      <c r="A347" t="str">
        <f>_xlfn.XLOOKUP(C347,Raw_Data_Transaksi!$A$1:$A$1001,Raw_Data_Transaksi!$D$1:$D$1001,,0)</f>
        <v>PRD-107</v>
      </c>
      <c r="B347" t="str">
        <f>_xlfn.XLOOKUP(C347,Raw_Data_Transaksi!$A$1:$A$1001,Raw_Data_Transaksi!$C$1:$C$1001,,0)</f>
        <v>SLS-03</v>
      </c>
      <c r="C347" s="6" t="s">
        <v>431</v>
      </c>
      <c r="D347" s="7">
        <v>45829</v>
      </c>
      <c r="E347" s="10" t="str">
        <f>VLOOKUP(B347,Master_Sales!$A$1:$D$9,2,FALSE)</f>
        <v>Citra Lestari</v>
      </c>
      <c r="F347" s="10" t="str">
        <f>INDEX(Master_Sales!$D$1:$D$9,MATCH(Lembar_Kerja_Analisis!B347,Master_Sales!$A$1:$A$9,0))</f>
        <v>Barat</v>
      </c>
      <c r="G347" s="10" t="str">
        <f>INDEX(Master_Sales!$C$1:$C$9,MATCH(Lembar_Kerja_Analisis!B347,Master_Sales!$A$1:$A$9,0))</f>
        <v>Bandung</v>
      </c>
      <c r="H347" s="10" t="str">
        <f>VLOOKUP(A347,Master_Produk!$A$1:$E$16,2,FALSE)</f>
        <v>Jaket Hoodie Casual</v>
      </c>
      <c r="I347" s="10" t="str">
        <f>INDEX(Master_Produk!$C$1:$C$16,MATCH(Lembar_Kerja_Analisis!A347,Master_Produk!$A$1:$A$16,0))</f>
        <v>Fashion</v>
      </c>
      <c r="J347" s="19">
        <f>_xlfn.XLOOKUP(A347,Master_Produk!$A$1:$A$16,Master_Produk!$D$1:$D$16,,0)</f>
        <v>350000</v>
      </c>
      <c r="K347" s="19">
        <f>INDEX(Master_Produk!$E$1:$E$16,MATCH(Lembar_Kerja_Analisis!A347,Master_Produk!$A$1:$A$16,0))</f>
        <v>220000</v>
      </c>
      <c r="L347" s="8">
        <v>5</v>
      </c>
      <c r="M347" s="19">
        <f t="shared" si="25"/>
        <v>1750000</v>
      </c>
      <c r="N347" s="9">
        <v>0.1</v>
      </c>
      <c r="O347" s="19">
        <f t="shared" si="26"/>
        <v>175000</v>
      </c>
      <c r="P347" s="19">
        <f t="shared" si="27"/>
        <v>1575000</v>
      </c>
      <c r="Q347" s="19">
        <f t="shared" si="28"/>
        <v>1100000</v>
      </c>
      <c r="R347" s="19">
        <f t="shared" si="29"/>
        <v>475000</v>
      </c>
    </row>
    <row r="348" spans="1:18" x14ac:dyDescent="0.25">
      <c r="A348" t="str">
        <f>_xlfn.XLOOKUP(C348,Raw_Data_Transaksi!$A$1:$A$1001,Raw_Data_Transaksi!$D$1:$D$1001,,0)</f>
        <v>PRD-107</v>
      </c>
      <c r="B348" t="str">
        <f>_xlfn.XLOOKUP(C348,Raw_Data_Transaksi!$A$1:$A$1001,Raw_Data_Transaksi!$C$1:$C$1001,,0)</f>
        <v>SLS-06</v>
      </c>
      <c r="C348" s="6" t="s">
        <v>432</v>
      </c>
      <c r="D348" s="7">
        <v>45748</v>
      </c>
      <c r="E348" s="10" t="str">
        <f>VLOOKUP(B348,Master_Sales!$A$1:$D$9,2,FALSE)</f>
        <v>Fajar Nugraha</v>
      </c>
      <c r="F348" s="10" t="str">
        <f>INDEX(Master_Sales!$D$1:$D$9,MATCH(Lembar_Kerja_Analisis!B348,Master_Sales!$A$1:$A$9,0))</f>
        <v>Timur</v>
      </c>
      <c r="G348" s="10" t="str">
        <f>INDEX(Master_Sales!$C$1:$C$9,MATCH(Lembar_Kerja_Analisis!B348,Master_Sales!$A$1:$A$9,0))</f>
        <v>Makassar</v>
      </c>
      <c r="H348" s="10" t="str">
        <f>VLOOKUP(A348,Master_Produk!$A$1:$E$16,2,FALSE)</f>
        <v>Jaket Hoodie Casual</v>
      </c>
      <c r="I348" s="10" t="str">
        <f>INDEX(Master_Produk!$C$1:$C$16,MATCH(Lembar_Kerja_Analisis!A348,Master_Produk!$A$1:$A$16,0))</f>
        <v>Fashion</v>
      </c>
      <c r="J348" s="19">
        <f>_xlfn.XLOOKUP(A348,Master_Produk!$A$1:$A$16,Master_Produk!$D$1:$D$16,,0)</f>
        <v>350000</v>
      </c>
      <c r="K348" s="19">
        <f>INDEX(Master_Produk!$E$1:$E$16,MATCH(Lembar_Kerja_Analisis!A348,Master_Produk!$A$1:$A$16,0))</f>
        <v>220000</v>
      </c>
      <c r="L348" s="8">
        <v>5</v>
      </c>
      <c r="M348" s="19">
        <f t="shared" si="25"/>
        <v>1750000</v>
      </c>
      <c r="N348" s="9">
        <v>0.15</v>
      </c>
      <c r="O348" s="19">
        <f t="shared" si="26"/>
        <v>262500</v>
      </c>
      <c r="P348" s="19">
        <f t="shared" si="27"/>
        <v>1487500</v>
      </c>
      <c r="Q348" s="19">
        <f t="shared" si="28"/>
        <v>1100000</v>
      </c>
      <c r="R348" s="19">
        <f t="shared" si="29"/>
        <v>387500</v>
      </c>
    </row>
    <row r="349" spans="1:18" x14ac:dyDescent="0.25">
      <c r="A349" t="str">
        <f>_xlfn.XLOOKUP(C349,Raw_Data_Transaksi!$A$1:$A$1001,Raw_Data_Transaksi!$D$1:$D$1001,,0)</f>
        <v>PRD-114</v>
      </c>
      <c r="B349" t="str">
        <f>_xlfn.XLOOKUP(C349,Raw_Data_Transaksi!$A$1:$A$1001,Raw_Data_Transaksi!$C$1:$C$1001,,0)</f>
        <v>SLS-07</v>
      </c>
      <c r="C349" s="6" t="s">
        <v>433</v>
      </c>
      <c r="D349" s="7">
        <v>45801</v>
      </c>
      <c r="E349" s="10" t="str">
        <f>VLOOKUP(B349,Master_Sales!$A$1:$D$9,2,FALSE)</f>
        <v>Gita Permata</v>
      </c>
      <c r="F349" s="10" t="str">
        <f>INDEX(Master_Sales!$D$1:$D$9,MATCH(Lembar_Kerja_Analisis!B349,Master_Sales!$A$1:$A$9,0))</f>
        <v>Tengah</v>
      </c>
      <c r="G349" s="10" t="str">
        <f>INDEX(Master_Sales!$C$1:$C$9,MATCH(Lembar_Kerja_Analisis!B349,Master_Sales!$A$1:$A$9,0))</f>
        <v>Denpasar</v>
      </c>
      <c r="H349" s="10" t="str">
        <f>VLOOKUP(A349,Master_Produk!$A$1:$E$16,2,FALSE)</f>
        <v>Blender Multifungsi 2-in-1</v>
      </c>
      <c r="I349" s="10" t="str">
        <f>INDEX(Master_Produk!$C$1:$C$16,MATCH(Lembar_Kerja_Analisis!A349,Master_Produk!$A$1:$A$16,0))</f>
        <v>Peralatan Rumah</v>
      </c>
      <c r="J349" s="19">
        <f>_xlfn.XLOOKUP(A349,Master_Produk!$A$1:$A$16,Master_Produk!$D$1:$D$16,,0)</f>
        <v>340000</v>
      </c>
      <c r="K349" s="19">
        <f>INDEX(Master_Produk!$E$1:$E$16,MATCH(Lembar_Kerja_Analisis!A349,Master_Produk!$A$1:$A$16,0))</f>
        <v>240000</v>
      </c>
      <c r="L349" s="8">
        <v>6</v>
      </c>
      <c r="M349" s="19">
        <f t="shared" si="25"/>
        <v>2040000</v>
      </c>
      <c r="N349" s="9">
        <v>0</v>
      </c>
      <c r="O349" s="19">
        <f t="shared" si="26"/>
        <v>0</v>
      </c>
      <c r="P349" s="19">
        <f t="shared" si="27"/>
        <v>2040000</v>
      </c>
      <c r="Q349" s="19">
        <f t="shared" si="28"/>
        <v>1440000</v>
      </c>
      <c r="R349" s="19">
        <f t="shared" si="29"/>
        <v>600000</v>
      </c>
    </row>
    <row r="350" spans="1:18" x14ac:dyDescent="0.25">
      <c r="A350" t="str">
        <f>_xlfn.XLOOKUP(C350,Raw_Data_Transaksi!$A$1:$A$1001,Raw_Data_Transaksi!$D$1:$D$1001,,0)</f>
        <v>PRD-113</v>
      </c>
      <c r="B350" t="str">
        <f>_xlfn.XLOOKUP(C350,Raw_Data_Transaksi!$A$1:$A$1001,Raw_Data_Transaksi!$C$1:$C$1001,,0)</f>
        <v>SLS-01</v>
      </c>
      <c r="C350" s="6" t="s">
        <v>434</v>
      </c>
      <c r="D350" s="7">
        <v>46007</v>
      </c>
      <c r="E350" s="10" t="str">
        <f>VLOOKUP(B350,Master_Sales!$A$1:$D$9,2,FALSE)</f>
        <v>Andi Pratama</v>
      </c>
      <c r="F350" s="10" t="str">
        <f>INDEX(Master_Sales!$D$1:$D$9,MATCH(Lembar_Kerja_Analisis!B350,Master_Sales!$A$1:$A$9,0))</f>
        <v>Barat</v>
      </c>
      <c r="G350" s="10" t="str">
        <f>INDEX(Master_Sales!$C$1:$C$9,MATCH(Lembar_Kerja_Analisis!B350,Master_Sales!$A$1:$A$9,0))</f>
        <v>Jakarta</v>
      </c>
      <c r="H350" s="10" t="str">
        <f>VLOOKUP(A350,Master_Produk!$A$1:$E$16,2,FALSE)</f>
        <v>Wajan Anti Lengket 28cm</v>
      </c>
      <c r="I350" s="10" t="str">
        <f>INDEX(Master_Produk!$C$1:$C$16,MATCH(Lembar_Kerja_Analisis!A350,Master_Produk!$A$1:$A$16,0))</f>
        <v>Peralatan Rumah</v>
      </c>
      <c r="J350" s="19">
        <f>_xlfn.XLOOKUP(A350,Master_Produk!$A$1:$A$16,Master_Produk!$D$1:$D$16,,0)</f>
        <v>210000</v>
      </c>
      <c r="K350" s="19">
        <f>INDEX(Master_Produk!$E$1:$E$16,MATCH(Lembar_Kerja_Analisis!A350,Master_Produk!$A$1:$A$16,0))</f>
        <v>140000</v>
      </c>
      <c r="L350" s="8">
        <v>12</v>
      </c>
      <c r="M350" s="19">
        <f t="shared" si="25"/>
        <v>2520000</v>
      </c>
      <c r="N350" s="9">
        <v>0.15</v>
      </c>
      <c r="O350" s="19">
        <f t="shared" si="26"/>
        <v>378000</v>
      </c>
      <c r="P350" s="19">
        <f t="shared" si="27"/>
        <v>2142000</v>
      </c>
      <c r="Q350" s="19">
        <f t="shared" si="28"/>
        <v>1680000</v>
      </c>
      <c r="R350" s="19">
        <f t="shared" si="29"/>
        <v>462000</v>
      </c>
    </row>
    <row r="351" spans="1:18" x14ac:dyDescent="0.25">
      <c r="A351" t="str">
        <f>_xlfn.XLOOKUP(C351,Raw_Data_Transaksi!$A$1:$A$1001,Raw_Data_Transaksi!$D$1:$D$1001,,0)</f>
        <v>PRD-102</v>
      </c>
      <c r="B351" t="str">
        <f>_xlfn.XLOOKUP(C351,Raw_Data_Transaksi!$A$1:$A$1001,Raw_Data_Transaksi!$C$1:$C$1001,,0)</f>
        <v>SLS-07</v>
      </c>
      <c r="C351" s="6" t="s">
        <v>435</v>
      </c>
      <c r="D351" s="7">
        <v>46012</v>
      </c>
      <c r="E351" s="10" t="str">
        <f>VLOOKUP(B351,Master_Sales!$A$1:$D$9,2,FALSE)</f>
        <v>Gita Permata</v>
      </c>
      <c r="F351" s="10" t="str">
        <f>INDEX(Master_Sales!$D$1:$D$9,MATCH(Lembar_Kerja_Analisis!B351,Master_Sales!$A$1:$A$9,0))</f>
        <v>Tengah</v>
      </c>
      <c r="G351" s="10" t="str">
        <f>INDEX(Master_Sales!$C$1:$C$9,MATCH(Lembar_Kerja_Analisis!B351,Master_Sales!$A$1:$A$9,0))</f>
        <v>Denpasar</v>
      </c>
      <c r="H351" s="10" t="str">
        <f>VLOOKUP(A351,Master_Produk!$A$1:$E$16,2,FALSE)</f>
        <v>Wireless Mouse Ergonomic</v>
      </c>
      <c r="I351" s="10" t="str">
        <f>INDEX(Master_Produk!$C$1:$C$16,MATCH(Lembar_Kerja_Analisis!A351,Master_Produk!$A$1:$A$16,0))</f>
        <v>Elektronik</v>
      </c>
      <c r="J351" s="19">
        <f>_xlfn.XLOOKUP(A351,Master_Produk!$A$1:$A$16,Master_Produk!$D$1:$D$16,,0)</f>
        <v>250000</v>
      </c>
      <c r="K351" s="19">
        <f>INDEX(Master_Produk!$E$1:$E$16,MATCH(Lembar_Kerja_Analisis!A351,Master_Produk!$A$1:$A$16,0))</f>
        <v>160000</v>
      </c>
      <c r="L351" s="8">
        <v>11</v>
      </c>
      <c r="M351" s="19">
        <f t="shared" si="25"/>
        <v>2750000</v>
      </c>
      <c r="N351" s="9">
        <v>0.15</v>
      </c>
      <c r="O351" s="19">
        <f t="shared" si="26"/>
        <v>412500</v>
      </c>
      <c r="P351" s="19">
        <f t="shared" si="27"/>
        <v>2337500</v>
      </c>
      <c r="Q351" s="19">
        <f t="shared" si="28"/>
        <v>1760000</v>
      </c>
      <c r="R351" s="19">
        <f t="shared" si="29"/>
        <v>577500</v>
      </c>
    </row>
    <row r="352" spans="1:18" x14ac:dyDescent="0.25">
      <c r="A352" t="str">
        <f>_xlfn.XLOOKUP(C352,Raw_Data_Transaksi!$A$1:$A$1001,Raw_Data_Transaksi!$D$1:$D$1001,,0)</f>
        <v>PRD-105</v>
      </c>
      <c r="B352" t="str">
        <f>_xlfn.XLOOKUP(C352,Raw_Data_Transaksi!$A$1:$A$1001,Raw_Data_Transaksi!$C$1:$C$1001,,0)</f>
        <v>SLS-03</v>
      </c>
      <c r="C352" s="6" t="s">
        <v>436</v>
      </c>
      <c r="D352" s="7">
        <v>45781</v>
      </c>
      <c r="E352" s="10" t="str">
        <f>VLOOKUP(B352,Master_Sales!$A$1:$D$9,2,FALSE)</f>
        <v>Citra Lestari</v>
      </c>
      <c r="F352" s="10" t="str">
        <f>INDEX(Master_Sales!$D$1:$D$9,MATCH(Lembar_Kerja_Analisis!B352,Master_Sales!$A$1:$A$9,0))</f>
        <v>Barat</v>
      </c>
      <c r="G352" s="10" t="str">
        <f>INDEX(Master_Sales!$C$1:$C$9,MATCH(Lembar_Kerja_Analisis!B352,Master_Sales!$A$1:$A$9,0))</f>
        <v>Bandung</v>
      </c>
      <c r="H352" s="10" t="str">
        <f>VLOOKUP(A352,Master_Produk!$A$1:$E$16,2,FALSE)</f>
        <v>Kemeja Batik Katun Premium</v>
      </c>
      <c r="I352" s="10" t="str">
        <f>INDEX(Master_Produk!$C$1:$C$16,MATCH(Lembar_Kerja_Analisis!A352,Master_Produk!$A$1:$A$16,0))</f>
        <v>Fashion</v>
      </c>
      <c r="J352" s="19">
        <f>_xlfn.XLOOKUP(A352,Master_Produk!$A$1:$A$16,Master_Produk!$D$1:$D$16,,0)</f>
        <v>320000</v>
      </c>
      <c r="K352" s="19">
        <f>INDEX(Master_Produk!$E$1:$E$16,MATCH(Lembar_Kerja_Analisis!A352,Master_Produk!$A$1:$A$16,0))</f>
        <v>190000</v>
      </c>
      <c r="L352" s="8">
        <v>12</v>
      </c>
      <c r="M352" s="19">
        <f t="shared" si="25"/>
        <v>3840000</v>
      </c>
      <c r="N352" s="9">
        <v>0.15</v>
      </c>
      <c r="O352" s="19">
        <f t="shared" si="26"/>
        <v>576000</v>
      </c>
      <c r="P352" s="19">
        <f t="shared" si="27"/>
        <v>3264000</v>
      </c>
      <c r="Q352" s="19">
        <f t="shared" si="28"/>
        <v>2280000</v>
      </c>
      <c r="R352" s="19">
        <f t="shared" si="29"/>
        <v>984000</v>
      </c>
    </row>
    <row r="353" spans="1:18" x14ac:dyDescent="0.25">
      <c r="A353" t="str">
        <f>_xlfn.XLOOKUP(C353,Raw_Data_Transaksi!$A$1:$A$1001,Raw_Data_Transaksi!$D$1:$D$1001,,0)</f>
        <v>PRD-108</v>
      </c>
      <c r="B353" t="str">
        <f>_xlfn.XLOOKUP(C353,Raw_Data_Transaksi!$A$1:$A$1001,Raw_Data_Transaksi!$C$1:$C$1001,,0)</f>
        <v>SLS-07</v>
      </c>
      <c r="C353" s="6" t="s">
        <v>437</v>
      </c>
      <c r="D353" s="7">
        <v>45964</v>
      </c>
      <c r="E353" s="10" t="str">
        <f>VLOOKUP(B353,Master_Sales!$A$1:$D$9,2,FALSE)</f>
        <v>Gita Permata</v>
      </c>
      <c r="F353" s="10" t="str">
        <f>INDEX(Master_Sales!$D$1:$D$9,MATCH(Lembar_Kerja_Analisis!B353,Master_Sales!$A$1:$A$9,0))</f>
        <v>Tengah</v>
      </c>
      <c r="G353" s="10" t="str">
        <f>INDEX(Master_Sales!$C$1:$C$9,MATCH(Lembar_Kerja_Analisis!B353,Master_Sales!$A$1:$A$9,0))</f>
        <v>Denpasar</v>
      </c>
      <c r="H353" s="10" t="str">
        <f>VLOOKUP(A353,Master_Produk!$A$1:$E$16,2,FALSE)</f>
        <v>Sepatu Sneakers Pria/Wanita</v>
      </c>
      <c r="I353" s="10" t="str">
        <f>INDEX(Master_Produk!$C$1:$C$16,MATCH(Lembar_Kerja_Analisis!A353,Master_Produk!$A$1:$A$16,0))</f>
        <v>Fashion</v>
      </c>
      <c r="J353" s="19">
        <f>_xlfn.XLOOKUP(A353,Master_Produk!$A$1:$A$16,Master_Produk!$D$1:$D$16,,0)</f>
        <v>450000</v>
      </c>
      <c r="K353" s="19">
        <f>INDEX(Master_Produk!$E$1:$E$16,MATCH(Lembar_Kerja_Analisis!A353,Master_Produk!$A$1:$A$16,0))</f>
        <v>290000</v>
      </c>
      <c r="L353" s="8">
        <v>9</v>
      </c>
      <c r="M353" s="19">
        <f t="shared" si="25"/>
        <v>4050000</v>
      </c>
      <c r="N353" s="9">
        <v>0.2</v>
      </c>
      <c r="O353" s="19">
        <f t="shared" si="26"/>
        <v>810000</v>
      </c>
      <c r="P353" s="19">
        <f t="shared" si="27"/>
        <v>3240000</v>
      </c>
      <c r="Q353" s="19">
        <f t="shared" si="28"/>
        <v>2610000</v>
      </c>
      <c r="R353" s="19">
        <f t="shared" si="29"/>
        <v>630000</v>
      </c>
    </row>
    <row r="354" spans="1:18" x14ac:dyDescent="0.25">
      <c r="A354" t="str">
        <f>_xlfn.XLOOKUP(C354,Raw_Data_Transaksi!$A$1:$A$1001,Raw_Data_Transaksi!$D$1:$D$1001,,0)</f>
        <v>PRD-112</v>
      </c>
      <c r="B354" t="str">
        <f>_xlfn.XLOOKUP(C354,Raw_Data_Transaksi!$A$1:$A$1001,Raw_Data_Transaksi!$C$1:$C$1001,,0)</f>
        <v>SLS-02</v>
      </c>
      <c r="C354" s="6" t="s">
        <v>438</v>
      </c>
      <c r="D354" s="7">
        <v>45842</v>
      </c>
      <c r="E354" s="10" t="str">
        <f>VLOOKUP(B354,Master_Sales!$A$1:$D$9,2,FALSE)</f>
        <v>Budi Santoso</v>
      </c>
      <c r="F354" s="10" t="str">
        <f>INDEX(Master_Sales!$D$1:$D$9,MATCH(Lembar_Kerja_Analisis!B354,Master_Sales!$A$1:$A$9,0))</f>
        <v>Timur</v>
      </c>
      <c r="G354" s="10" t="str">
        <f>INDEX(Master_Sales!$C$1:$C$9,MATCH(Lembar_Kerja_Analisis!B354,Master_Sales!$A$1:$A$9,0))</f>
        <v>Surabaya</v>
      </c>
      <c r="H354" s="10" t="str">
        <f>VLOOKUP(A354,Master_Produk!$A$1:$E$16,2,FALSE)</f>
        <v>Susu UHT Full Cream 1L</v>
      </c>
      <c r="I354" s="10" t="str">
        <f>INDEX(Master_Produk!$C$1:$C$16,MATCH(Lembar_Kerja_Analisis!A354,Master_Produk!$A$1:$A$16,0))</f>
        <v>F&amp;B</v>
      </c>
      <c r="J354" s="19">
        <f>_xlfn.XLOOKUP(A354,Master_Produk!$A$1:$A$16,Master_Produk!$D$1:$D$16,,0)</f>
        <v>22000</v>
      </c>
      <c r="K354" s="19">
        <f>INDEX(Master_Produk!$E$1:$E$16,MATCH(Lembar_Kerja_Analisis!A354,Master_Produk!$A$1:$A$16,0))</f>
        <v>18000</v>
      </c>
      <c r="L354" s="8">
        <v>27</v>
      </c>
      <c r="M354" s="19">
        <f t="shared" si="25"/>
        <v>594000</v>
      </c>
      <c r="N354" s="9">
        <v>0.05</v>
      </c>
      <c r="O354" s="19">
        <f t="shared" si="26"/>
        <v>29700</v>
      </c>
      <c r="P354" s="19">
        <f t="shared" si="27"/>
        <v>564300</v>
      </c>
      <c r="Q354" s="19">
        <f t="shared" si="28"/>
        <v>486000</v>
      </c>
      <c r="R354" s="19">
        <f t="shared" si="29"/>
        <v>78300</v>
      </c>
    </row>
    <row r="355" spans="1:18" x14ac:dyDescent="0.25">
      <c r="A355" t="str">
        <f>_xlfn.XLOOKUP(C355,Raw_Data_Transaksi!$A$1:$A$1001,Raw_Data_Transaksi!$D$1:$D$1001,,0)</f>
        <v>PRD-111</v>
      </c>
      <c r="B355" t="str">
        <f>_xlfn.XLOOKUP(C355,Raw_Data_Transaksi!$A$1:$A$1001,Raw_Data_Transaksi!$C$1:$C$1001,,0)</f>
        <v>SLS-07</v>
      </c>
      <c r="C355" s="6" t="s">
        <v>439</v>
      </c>
      <c r="D355" s="7">
        <v>45946</v>
      </c>
      <c r="E355" s="10" t="str">
        <f>VLOOKUP(B355,Master_Sales!$A$1:$D$9,2,FALSE)</f>
        <v>Gita Permata</v>
      </c>
      <c r="F355" s="10" t="str">
        <f>INDEX(Master_Sales!$D$1:$D$9,MATCH(Lembar_Kerja_Analisis!B355,Master_Sales!$A$1:$A$9,0))</f>
        <v>Tengah</v>
      </c>
      <c r="G355" s="10" t="str">
        <f>INDEX(Master_Sales!$C$1:$C$9,MATCH(Lembar_Kerja_Analisis!B355,Master_Sales!$A$1:$A$9,0))</f>
        <v>Denpasar</v>
      </c>
      <c r="H355" s="10" t="str">
        <f>VLOOKUP(A355,Master_Produk!$A$1:$E$16,2,FALSE)</f>
        <v>Beras Premium 5kg</v>
      </c>
      <c r="I355" s="10" t="str">
        <f>INDEX(Master_Produk!$C$1:$C$16,MATCH(Lembar_Kerja_Analisis!A355,Master_Produk!$A$1:$A$16,0))</f>
        <v>F&amp;B</v>
      </c>
      <c r="J355" s="19">
        <f>_xlfn.XLOOKUP(A355,Master_Produk!$A$1:$A$16,Master_Produk!$D$1:$D$16,,0)</f>
        <v>74000</v>
      </c>
      <c r="K355" s="19">
        <f>INDEX(Master_Produk!$E$1:$E$16,MATCH(Lembar_Kerja_Analisis!A355,Master_Produk!$A$1:$A$16,0))</f>
        <v>65000</v>
      </c>
      <c r="L355" s="8">
        <v>28</v>
      </c>
      <c r="M355" s="19">
        <f t="shared" si="25"/>
        <v>2072000</v>
      </c>
      <c r="N355" s="9">
        <v>0.15</v>
      </c>
      <c r="O355" s="19">
        <f t="shared" si="26"/>
        <v>310800</v>
      </c>
      <c r="P355" s="19">
        <f t="shared" si="27"/>
        <v>1761200</v>
      </c>
      <c r="Q355" s="19">
        <f t="shared" si="28"/>
        <v>1820000</v>
      </c>
      <c r="R355" s="19">
        <f t="shared" si="29"/>
        <v>-58800</v>
      </c>
    </row>
    <row r="356" spans="1:18" x14ac:dyDescent="0.25">
      <c r="A356" t="str">
        <f>_xlfn.XLOOKUP(C356,Raw_Data_Transaksi!$A$1:$A$1001,Raw_Data_Transaksi!$D$1:$D$1001,,0)</f>
        <v>PRD-104</v>
      </c>
      <c r="B356" t="str">
        <f>_xlfn.XLOOKUP(C356,Raw_Data_Transaksi!$A$1:$A$1001,Raw_Data_Transaksi!$C$1:$C$1001,,0)</f>
        <v>SLS-04</v>
      </c>
      <c r="C356" s="6" t="s">
        <v>440</v>
      </c>
      <c r="D356" s="7">
        <v>45790</v>
      </c>
      <c r="E356" s="10" t="str">
        <f>VLOOKUP(B356,Master_Sales!$A$1:$D$9,2,FALSE)</f>
        <v>Dewi Anggraini</v>
      </c>
      <c r="F356" s="10" t="str">
        <f>INDEX(Master_Sales!$D$1:$D$9,MATCH(Lembar_Kerja_Analisis!B356,Master_Sales!$A$1:$A$9,0))</f>
        <v>Barat</v>
      </c>
      <c r="G356" s="10" t="str">
        <f>INDEX(Master_Sales!$C$1:$C$9,MATCH(Lembar_Kerja_Analisis!B356,Master_Sales!$A$1:$A$9,0))</f>
        <v>Medan</v>
      </c>
      <c r="H356" s="10" t="str">
        <f>VLOOKUP(A356,Master_Produk!$A$1:$E$16,2,FALSE)</f>
        <v>Monitor 24" FHD 144Hz</v>
      </c>
      <c r="I356" s="10" t="str">
        <f>INDEX(Master_Produk!$C$1:$C$16,MATCH(Lembar_Kerja_Analisis!A356,Master_Produk!$A$1:$A$16,0))</f>
        <v>Elektronik</v>
      </c>
      <c r="J356" s="19">
        <f>_xlfn.XLOOKUP(A356,Master_Produk!$A$1:$A$16,Master_Produk!$D$1:$D$16,,0)</f>
        <v>1950000</v>
      </c>
      <c r="K356" s="19">
        <f>INDEX(Master_Produk!$E$1:$E$16,MATCH(Lembar_Kerja_Analisis!A356,Master_Produk!$A$1:$A$16,0))</f>
        <v>1500000</v>
      </c>
      <c r="L356" s="8">
        <v>8</v>
      </c>
      <c r="M356" s="19">
        <f t="shared" si="25"/>
        <v>15600000</v>
      </c>
      <c r="N356" s="9">
        <v>0.1</v>
      </c>
      <c r="O356" s="19">
        <f t="shared" si="26"/>
        <v>1560000</v>
      </c>
      <c r="P356" s="19">
        <f t="shared" si="27"/>
        <v>14040000</v>
      </c>
      <c r="Q356" s="19">
        <f t="shared" si="28"/>
        <v>12000000</v>
      </c>
      <c r="R356" s="19">
        <f t="shared" si="29"/>
        <v>2040000</v>
      </c>
    </row>
    <row r="357" spans="1:18" x14ac:dyDescent="0.25">
      <c r="A357" t="str">
        <f>_xlfn.XLOOKUP(C357,Raw_Data_Transaksi!$A$1:$A$1001,Raw_Data_Transaksi!$D$1:$D$1001,,0)</f>
        <v>PRD-101</v>
      </c>
      <c r="B357" t="str">
        <f>_xlfn.XLOOKUP(C357,Raw_Data_Transaksi!$A$1:$A$1001,Raw_Data_Transaksi!$C$1:$C$1001,,0)</f>
        <v>SLS-08</v>
      </c>
      <c r="C357" s="6" t="s">
        <v>441</v>
      </c>
      <c r="D357" s="7">
        <v>45834</v>
      </c>
      <c r="E357" s="10" t="str">
        <f>VLOOKUP(B357,Master_Sales!$A$1:$D$9,2,FALSE)</f>
        <v>Hendra Wijaya</v>
      </c>
      <c r="F357" s="10" t="str">
        <f>INDEX(Master_Sales!$D$1:$D$9,MATCH(Lembar_Kerja_Analisis!B357,Master_Sales!$A$1:$A$9,0))</f>
        <v>Tengah</v>
      </c>
      <c r="G357" s="10" t="str">
        <f>INDEX(Master_Sales!$C$1:$C$9,MATCH(Lembar_Kerja_Analisis!B357,Master_Sales!$A$1:$A$9,0))</f>
        <v>Yogyakarta</v>
      </c>
      <c r="H357" s="10" t="str">
        <f>VLOOKUP(A357,Master_Produk!$A$1:$E$16,2,FALSE)</f>
        <v>Laptop Ultrabook 14"</v>
      </c>
      <c r="I357" s="10" t="str">
        <f>INDEX(Master_Produk!$C$1:$C$16,MATCH(Lembar_Kerja_Analisis!A357,Master_Produk!$A$1:$A$16,0))</f>
        <v>Elektronik</v>
      </c>
      <c r="J357" s="19">
        <f>_xlfn.XLOOKUP(A357,Master_Produk!$A$1:$A$16,Master_Produk!$D$1:$D$16,,0)</f>
        <v>8500000</v>
      </c>
      <c r="K357" s="19">
        <f>INDEX(Master_Produk!$E$1:$E$16,MATCH(Lembar_Kerja_Analisis!A357,Master_Produk!$A$1:$A$16,0))</f>
        <v>7200000</v>
      </c>
      <c r="L357" s="8">
        <v>2</v>
      </c>
      <c r="M357" s="19">
        <f t="shared" si="25"/>
        <v>17000000</v>
      </c>
      <c r="N357" s="9">
        <v>0.1</v>
      </c>
      <c r="O357" s="19">
        <f t="shared" si="26"/>
        <v>1700000</v>
      </c>
      <c r="P357" s="19">
        <f t="shared" si="27"/>
        <v>15300000</v>
      </c>
      <c r="Q357" s="19">
        <f t="shared" si="28"/>
        <v>14400000</v>
      </c>
      <c r="R357" s="19">
        <f t="shared" si="29"/>
        <v>900000</v>
      </c>
    </row>
    <row r="358" spans="1:18" x14ac:dyDescent="0.25">
      <c r="A358" t="str">
        <f>_xlfn.XLOOKUP(C358,Raw_Data_Transaksi!$A$1:$A$1001,Raw_Data_Transaksi!$D$1:$D$1001,,0)</f>
        <v>PRD-106</v>
      </c>
      <c r="B358" t="str">
        <f>_xlfn.XLOOKUP(C358,Raw_Data_Transaksi!$A$1:$A$1001,Raw_Data_Transaksi!$C$1:$C$1001,,0)</f>
        <v>SLS-05</v>
      </c>
      <c r="C358" s="6" t="s">
        <v>442</v>
      </c>
      <c r="D358" s="7">
        <v>45730</v>
      </c>
      <c r="E358" s="10" t="str">
        <f>VLOOKUP(B358,Master_Sales!$A$1:$D$9,2,FALSE)</f>
        <v>Eko Prasetyo</v>
      </c>
      <c r="F358" s="10" t="str">
        <f>INDEX(Master_Sales!$D$1:$D$9,MATCH(Lembar_Kerja_Analisis!B358,Master_Sales!$A$1:$A$9,0))</f>
        <v>Tengah</v>
      </c>
      <c r="G358" s="10" t="str">
        <f>INDEX(Master_Sales!$C$1:$C$9,MATCH(Lembar_Kerja_Analisis!B358,Master_Sales!$A$1:$A$9,0))</f>
        <v>Semarang</v>
      </c>
      <c r="H358" s="10" t="str">
        <f>VLOOKUP(A358,Master_Produk!$A$1:$E$16,2,FALSE)</f>
        <v>Celana Chino Slim Fit</v>
      </c>
      <c r="I358" s="10" t="str">
        <f>INDEX(Master_Produk!$C$1:$C$16,MATCH(Lembar_Kerja_Analisis!A358,Master_Produk!$A$1:$A$16,0))</f>
        <v>Fashion</v>
      </c>
      <c r="J358" s="19">
        <f>_xlfn.XLOOKUP(A358,Master_Produk!$A$1:$A$16,Master_Produk!$D$1:$D$16,,0)</f>
        <v>280000</v>
      </c>
      <c r="K358" s="19">
        <f>INDEX(Master_Produk!$E$1:$E$16,MATCH(Lembar_Kerja_Analisis!A358,Master_Produk!$A$1:$A$16,0))</f>
        <v>175000</v>
      </c>
      <c r="L358" s="8">
        <v>6</v>
      </c>
      <c r="M358" s="19">
        <f t="shared" si="25"/>
        <v>1680000</v>
      </c>
      <c r="N358" s="9">
        <v>0.15</v>
      </c>
      <c r="O358" s="19">
        <f t="shared" si="26"/>
        <v>252000</v>
      </c>
      <c r="P358" s="19">
        <f t="shared" si="27"/>
        <v>1428000</v>
      </c>
      <c r="Q358" s="19">
        <f t="shared" si="28"/>
        <v>1050000</v>
      </c>
      <c r="R358" s="19">
        <f t="shared" si="29"/>
        <v>378000</v>
      </c>
    </row>
    <row r="359" spans="1:18" x14ac:dyDescent="0.25">
      <c r="A359" t="str">
        <f>_xlfn.XLOOKUP(C359,Raw_Data_Transaksi!$A$1:$A$1001,Raw_Data_Transaksi!$D$1:$D$1001,,0)</f>
        <v>PRD-108</v>
      </c>
      <c r="B359" t="str">
        <f>_xlfn.XLOOKUP(C359,Raw_Data_Transaksi!$A$1:$A$1001,Raw_Data_Transaksi!$C$1:$C$1001,,0)</f>
        <v>SLS-02</v>
      </c>
      <c r="C359" s="6" t="s">
        <v>443</v>
      </c>
      <c r="D359" s="7">
        <v>45836</v>
      </c>
      <c r="E359" s="10" t="str">
        <f>VLOOKUP(B359,Master_Sales!$A$1:$D$9,2,FALSE)</f>
        <v>Budi Santoso</v>
      </c>
      <c r="F359" s="10" t="str">
        <f>INDEX(Master_Sales!$D$1:$D$9,MATCH(Lembar_Kerja_Analisis!B359,Master_Sales!$A$1:$A$9,0))</f>
        <v>Timur</v>
      </c>
      <c r="G359" s="10" t="str">
        <f>INDEX(Master_Sales!$C$1:$C$9,MATCH(Lembar_Kerja_Analisis!B359,Master_Sales!$A$1:$A$9,0))</f>
        <v>Surabaya</v>
      </c>
      <c r="H359" s="10" t="str">
        <f>VLOOKUP(A359,Master_Produk!$A$1:$E$16,2,FALSE)</f>
        <v>Sepatu Sneakers Pria/Wanita</v>
      </c>
      <c r="I359" s="10" t="str">
        <f>INDEX(Master_Produk!$C$1:$C$16,MATCH(Lembar_Kerja_Analisis!A359,Master_Produk!$A$1:$A$16,0))</f>
        <v>Fashion</v>
      </c>
      <c r="J359" s="19">
        <f>_xlfn.XLOOKUP(A359,Master_Produk!$A$1:$A$16,Master_Produk!$D$1:$D$16,,0)</f>
        <v>450000</v>
      </c>
      <c r="K359" s="19">
        <f>INDEX(Master_Produk!$E$1:$E$16,MATCH(Lembar_Kerja_Analisis!A359,Master_Produk!$A$1:$A$16,0))</f>
        <v>290000</v>
      </c>
      <c r="L359" s="8">
        <v>8</v>
      </c>
      <c r="M359" s="19">
        <f t="shared" si="25"/>
        <v>3600000</v>
      </c>
      <c r="N359" s="9">
        <v>0.15</v>
      </c>
      <c r="O359" s="19">
        <f t="shared" si="26"/>
        <v>540000</v>
      </c>
      <c r="P359" s="19">
        <f t="shared" si="27"/>
        <v>3060000</v>
      </c>
      <c r="Q359" s="19">
        <f t="shared" si="28"/>
        <v>2320000</v>
      </c>
      <c r="R359" s="19">
        <f t="shared" si="29"/>
        <v>740000</v>
      </c>
    </row>
    <row r="360" spans="1:18" x14ac:dyDescent="0.25">
      <c r="A360" t="str">
        <f>_xlfn.XLOOKUP(C360,Raw_Data_Transaksi!$A$1:$A$1001,Raw_Data_Transaksi!$D$1:$D$1001,,0)</f>
        <v>PRD-113</v>
      </c>
      <c r="B360" t="str">
        <f>_xlfn.XLOOKUP(C360,Raw_Data_Transaksi!$A$1:$A$1001,Raw_Data_Transaksi!$C$1:$C$1001,,0)</f>
        <v>SLS-02</v>
      </c>
      <c r="C360" s="6" t="s">
        <v>444</v>
      </c>
      <c r="D360" s="7">
        <v>45680</v>
      </c>
      <c r="E360" s="10" t="str">
        <f>VLOOKUP(B360,Master_Sales!$A$1:$D$9,2,FALSE)</f>
        <v>Budi Santoso</v>
      </c>
      <c r="F360" s="10" t="str">
        <f>INDEX(Master_Sales!$D$1:$D$9,MATCH(Lembar_Kerja_Analisis!B360,Master_Sales!$A$1:$A$9,0))</f>
        <v>Timur</v>
      </c>
      <c r="G360" s="10" t="str">
        <f>INDEX(Master_Sales!$C$1:$C$9,MATCH(Lembar_Kerja_Analisis!B360,Master_Sales!$A$1:$A$9,0))</f>
        <v>Surabaya</v>
      </c>
      <c r="H360" s="10" t="str">
        <f>VLOOKUP(A360,Master_Produk!$A$1:$E$16,2,FALSE)</f>
        <v>Wajan Anti Lengket 28cm</v>
      </c>
      <c r="I360" s="10" t="str">
        <f>INDEX(Master_Produk!$C$1:$C$16,MATCH(Lembar_Kerja_Analisis!A360,Master_Produk!$A$1:$A$16,0))</f>
        <v>Peralatan Rumah</v>
      </c>
      <c r="J360" s="19">
        <f>_xlfn.XLOOKUP(A360,Master_Produk!$A$1:$A$16,Master_Produk!$D$1:$D$16,,0)</f>
        <v>210000</v>
      </c>
      <c r="K360" s="19">
        <f>INDEX(Master_Produk!$E$1:$E$16,MATCH(Lembar_Kerja_Analisis!A360,Master_Produk!$A$1:$A$16,0))</f>
        <v>140000</v>
      </c>
      <c r="L360" s="8">
        <v>1</v>
      </c>
      <c r="M360" s="19">
        <f t="shared" si="25"/>
        <v>210000</v>
      </c>
      <c r="N360" s="9">
        <v>0.1</v>
      </c>
      <c r="O360" s="19">
        <f t="shared" si="26"/>
        <v>21000</v>
      </c>
      <c r="P360" s="19">
        <f t="shared" si="27"/>
        <v>189000</v>
      </c>
      <c r="Q360" s="19">
        <f t="shared" si="28"/>
        <v>140000</v>
      </c>
      <c r="R360" s="19">
        <f t="shared" si="29"/>
        <v>49000</v>
      </c>
    </row>
    <row r="361" spans="1:18" x14ac:dyDescent="0.25">
      <c r="A361" t="str">
        <f>_xlfn.XLOOKUP(C361,Raw_Data_Transaksi!$A$1:$A$1001,Raw_Data_Transaksi!$D$1:$D$1001,,0)</f>
        <v>PRD-109</v>
      </c>
      <c r="B361" t="str">
        <f>_xlfn.XLOOKUP(C361,Raw_Data_Transaksi!$A$1:$A$1001,Raw_Data_Transaksi!$C$1:$C$1001,,0)</f>
        <v>SLS-03</v>
      </c>
      <c r="C361" s="6" t="s">
        <v>445</v>
      </c>
      <c r="D361" s="7">
        <v>45782</v>
      </c>
      <c r="E361" s="10" t="str">
        <f>VLOOKUP(B361,Master_Sales!$A$1:$D$9,2,FALSE)</f>
        <v>Citra Lestari</v>
      </c>
      <c r="F361" s="10" t="str">
        <f>INDEX(Master_Sales!$D$1:$D$9,MATCH(Lembar_Kerja_Analisis!B361,Master_Sales!$A$1:$A$9,0))</f>
        <v>Barat</v>
      </c>
      <c r="G361" s="10" t="str">
        <f>INDEX(Master_Sales!$C$1:$C$9,MATCH(Lembar_Kerja_Analisis!B361,Master_Sales!$A$1:$A$9,0))</f>
        <v>Bandung</v>
      </c>
      <c r="H361" s="10" t="str">
        <f>VLOOKUP(A361,Master_Produk!$A$1:$E$16,2,FALSE)</f>
        <v>Kopi Arabika Gayo 250g</v>
      </c>
      <c r="I361" s="10" t="str">
        <f>INDEX(Master_Produk!$C$1:$C$16,MATCH(Lembar_Kerja_Analisis!A361,Master_Produk!$A$1:$A$16,0))</f>
        <v>F&amp;B</v>
      </c>
      <c r="J361" s="19">
        <f>_xlfn.XLOOKUP(A361,Master_Produk!$A$1:$A$16,Master_Produk!$D$1:$D$16,,0)</f>
        <v>85000</v>
      </c>
      <c r="K361" s="19">
        <f>INDEX(Master_Produk!$E$1:$E$16,MATCH(Lembar_Kerja_Analisis!A361,Master_Produk!$A$1:$A$16,0))</f>
        <v>55000</v>
      </c>
      <c r="L361" s="8">
        <v>8</v>
      </c>
      <c r="M361" s="19">
        <f t="shared" si="25"/>
        <v>680000</v>
      </c>
      <c r="N361" s="9">
        <v>0.1</v>
      </c>
      <c r="O361" s="19">
        <f t="shared" si="26"/>
        <v>68000</v>
      </c>
      <c r="P361" s="19">
        <f t="shared" si="27"/>
        <v>612000</v>
      </c>
      <c r="Q361" s="19">
        <f t="shared" si="28"/>
        <v>440000</v>
      </c>
      <c r="R361" s="19">
        <f t="shared" si="29"/>
        <v>172000</v>
      </c>
    </row>
    <row r="362" spans="1:18" x14ac:dyDescent="0.25">
      <c r="A362" t="str">
        <f>_xlfn.XLOOKUP(C362,Raw_Data_Transaksi!$A$1:$A$1001,Raw_Data_Transaksi!$D$1:$D$1001,,0)</f>
        <v>PRD-111</v>
      </c>
      <c r="B362" t="str">
        <f>_xlfn.XLOOKUP(C362,Raw_Data_Transaksi!$A$1:$A$1001,Raw_Data_Transaksi!$C$1:$C$1001,,0)</f>
        <v>SLS-03</v>
      </c>
      <c r="C362" s="6" t="s">
        <v>446</v>
      </c>
      <c r="D362" s="7">
        <v>45865</v>
      </c>
      <c r="E362" s="10" t="str">
        <f>VLOOKUP(B362,Master_Sales!$A$1:$D$9,2,FALSE)</f>
        <v>Citra Lestari</v>
      </c>
      <c r="F362" s="10" t="str">
        <f>INDEX(Master_Sales!$D$1:$D$9,MATCH(Lembar_Kerja_Analisis!B362,Master_Sales!$A$1:$A$9,0))</f>
        <v>Barat</v>
      </c>
      <c r="G362" s="10" t="str">
        <f>INDEX(Master_Sales!$C$1:$C$9,MATCH(Lembar_Kerja_Analisis!B362,Master_Sales!$A$1:$A$9,0))</f>
        <v>Bandung</v>
      </c>
      <c r="H362" s="10" t="str">
        <f>VLOOKUP(A362,Master_Produk!$A$1:$E$16,2,FALSE)</f>
        <v>Beras Premium 5kg</v>
      </c>
      <c r="I362" s="10" t="str">
        <f>INDEX(Master_Produk!$C$1:$C$16,MATCH(Lembar_Kerja_Analisis!A362,Master_Produk!$A$1:$A$16,0))</f>
        <v>F&amp;B</v>
      </c>
      <c r="J362" s="19">
        <f>_xlfn.XLOOKUP(A362,Master_Produk!$A$1:$A$16,Master_Produk!$D$1:$D$16,,0)</f>
        <v>74000</v>
      </c>
      <c r="K362" s="19">
        <f>INDEX(Master_Produk!$E$1:$E$16,MATCH(Lembar_Kerja_Analisis!A362,Master_Produk!$A$1:$A$16,0))</f>
        <v>65000</v>
      </c>
      <c r="L362" s="8">
        <v>23</v>
      </c>
      <c r="M362" s="19">
        <f t="shared" si="25"/>
        <v>1702000</v>
      </c>
      <c r="N362" s="9">
        <v>0.15</v>
      </c>
      <c r="O362" s="19">
        <f t="shared" si="26"/>
        <v>255300</v>
      </c>
      <c r="P362" s="19">
        <f t="shared" si="27"/>
        <v>1446700</v>
      </c>
      <c r="Q362" s="19">
        <f t="shared" si="28"/>
        <v>1495000</v>
      </c>
      <c r="R362" s="19">
        <f t="shared" si="29"/>
        <v>-48300</v>
      </c>
    </row>
    <row r="363" spans="1:18" x14ac:dyDescent="0.25">
      <c r="A363" t="str">
        <f>_xlfn.XLOOKUP(C363,Raw_Data_Transaksi!$A$1:$A$1001,Raw_Data_Transaksi!$D$1:$D$1001,,0)</f>
        <v>PRD-110</v>
      </c>
      <c r="B363" t="str">
        <f>_xlfn.XLOOKUP(C363,Raw_Data_Transaksi!$A$1:$A$1001,Raw_Data_Transaksi!$C$1:$C$1001,,0)</f>
        <v>SLS-07</v>
      </c>
      <c r="C363" s="6" t="s">
        <v>447</v>
      </c>
      <c r="D363" s="7">
        <v>45888</v>
      </c>
      <c r="E363" s="10" t="str">
        <f>VLOOKUP(B363,Master_Sales!$A$1:$D$9,2,FALSE)</f>
        <v>Gita Permata</v>
      </c>
      <c r="F363" s="10" t="str">
        <f>INDEX(Master_Sales!$D$1:$D$9,MATCH(Lembar_Kerja_Analisis!B363,Master_Sales!$A$1:$A$9,0))</f>
        <v>Tengah</v>
      </c>
      <c r="G363" s="10" t="str">
        <f>INDEX(Master_Sales!$C$1:$C$9,MATCH(Lembar_Kerja_Analisis!B363,Master_Sales!$A$1:$A$9,0))</f>
        <v>Denpasar</v>
      </c>
      <c r="H363" s="10" t="str">
        <f>VLOOKUP(A363,Master_Produk!$A$1:$E$16,2,FALSE)</f>
        <v>Minyak Goreng Sawit 2L</v>
      </c>
      <c r="I363" s="10" t="str">
        <f>INDEX(Master_Produk!$C$1:$C$16,MATCH(Lembar_Kerja_Analisis!A363,Master_Produk!$A$1:$A$16,0))</f>
        <v>F&amp;B</v>
      </c>
      <c r="J363" s="19">
        <f>_xlfn.XLOOKUP(A363,Master_Produk!$A$1:$A$16,Master_Produk!$D$1:$D$16,,0)</f>
        <v>36000</v>
      </c>
      <c r="K363" s="19">
        <f>INDEX(Master_Produk!$E$1:$E$16,MATCH(Lembar_Kerja_Analisis!A363,Master_Produk!$A$1:$A$16,0))</f>
        <v>31000</v>
      </c>
      <c r="L363" s="8">
        <v>3</v>
      </c>
      <c r="M363" s="19">
        <f t="shared" si="25"/>
        <v>108000</v>
      </c>
      <c r="N363" s="9">
        <v>0.05</v>
      </c>
      <c r="O363" s="19">
        <f t="shared" si="26"/>
        <v>5400</v>
      </c>
      <c r="P363" s="19">
        <f t="shared" si="27"/>
        <v>102600</v>
      </c>
      <c r="Q363" s="19">
        <f t="shared" si="28"/>
        <v>93000</v>
      </c>
      <c r="R363" s="19">
        <f t="shared" si="29"/>
        <v>9600</v>
      </c>
    </row>
    <row r="364" spans="1:18" x14ac:dyDescent="0.25">
      <c r="A364" t="str">
        <f>_xlfn.XLOOKUP(C364,Raw_Data_Transaksi!$A$1:$A$1001,Raw_Data_Transaksi!$D$1:$D$1001,,0)</f>
        <v>PRD-102</v>
      </c>
      <c r="B364" t="str">
        <f>_xlfn.XLOOKUP(C364,Raw_Data_Transaksi!$A$1:$A$1001,Raw_Data_Transaksi!$C$1:$C$1001,,0)</f>
        <v>SLS-03</v>
      </c>
      <c r="C364" s="6" t="s">
        <v>448</v>
      </c>
      <c r="D364" s="7">
        <v>45953</v>
      </c>
      <c r="E364" s="10" t="str">
        <f>VLOOKUP(B364,Master_Sales!$A$1:$D$9,2,FALSE)</f>
        <v>Citra Lestari</v>
      </c>
      <c r="F364" s="10" t="str">
        <f>INDEX(Master_Sales!$D$1:$D$9,MATCH(Lembar_Kerja_Analisis!B364,Master_Sales!$A$1:$A$9,0))</f>
        <v>Barat</v>
      </c>
      <c r="G364" s="10" t="str">
        <f>INDEX(Master_Sales!$C$1:$C$9,MATCH(Lembar_Kerja_Analisis!B364,Master_Sales!$A$1:$A$9,0))</f>
        <v>Bandung</v>
      </c>
      <c r="H364" s="10" t="str">
        <f>VLOOKUP(A364,Master_Produk!$A$1:$E$16,2,FALSE)</f>
        <v>Wireless Mouse Ergonomic</v>
      </c>
      <c r="I364" s="10" t="str">
        <f>INDEX(Master_Produk!$C$1:$C$16,MATCH(Lembar_Kerja_Analisis!A364,Master_Produk!$A$1:$A$16,0))</f>
        <v>Elektronik</v>
      </c>
      <c r="J364" s="19">
        <f>_xlfn.XLOOKUP(A364,Master_Produk!$A$1:$A$16,Master_Produk!$D$1:$D$16,,0)</f>
        <v>250000</v>
      </c>
      <c r="K364" s="19">
        <f>INDEX(Master_Produk!$E$1:$E$16,MATCH(Lembar_Kerja_Analisis!A364,Master_Produk!$A$1:$A$16,0))</f>
        <v>160000</v>
      </c>
      <c r="L364" s="8">
        <v>6</v>
      </c>
      <c r="M364" s="19">
        <f t="shared" si="25"/>
        <v>1500000</v>
      </c>
      <c r="N364" s="9">
        <v>0.1</v>
      </c>
      <c r="O364" s="19">
        <f t="shared" si="26"/>
        <v>150000</v>
      </c>
      <c r="P364" s="19">
        <f t="shared" si="27"/>
        <v>1350000</v>
      </c>
      <c r="Q364" s="19">
        <f t="shared" si="28"/>
        <v>960000</v>
      </c>
      <c r="R364" s="19">
        <f t="shared" si="29"/>
        <v>390000</v>
      </c>
    </row>
    <row r="365" spans="1:18" x14ac:dyDescent="0.25">
      <c r="A365" t="str">
        <f>_xlfn.XLOOKUP(C365,Raw_Data_Transaksi!$A$1:$A$1001,Raw_Data_Transaksi!$D$1:$D$1001,,0)</f>
        <v>PRD-111</v>
      </c>
      <c r="B365" t="str">
        <f>_xlfn.XLOOKUP(C365,Raw_Data_Transaksi!$A$1:$A$1001,Raw_Data_Transaksi!$C$1:$C$1001,,0)</f>
        <v>SLS-08</v>
      </c>
      <c r="C365" s="6" t="s">
        <v>449</v>
      </c>
      <c r="D365" s="7">
        <v>45792</v>
      </c>
      <c r="E365" s="10" t="str">
        <f>VLOOKUP(B365,Master_Sales!$A$1:$D$9,2,FALSE)</f>
        <v>Hendra Wijaya</v>
      </c>
      <c r="F365" s="10" t="str">
        <f>INDEX(Master_Sales!$D$1:$D$9,MATCH(Lembar_Kerja_Analisis!B365,Master_Sales!$A$1:$A$9,0))</f>
        <v>Tengah</v>
      </c>
      <c r="G365" s="10" t="str">
        <f>INDEX(Master_Sales!$C$1:$C$9,MATCH(Lembar_Kerja_Analisis!B365,Master_Sales!$A$1:$A$9,0))</f>
        <v>Yogyakarta</v>
      </c>
      <c r="H365" s="10" t="str">
        <f>VLOOKUP(A365,Master_Produk!$A$1:$E$16,2,FALSE)</f>
        <v>Beras Premium 5kg</v>
      </c>
      <c r="I365" s="10" t="str">
        <f>INDEX(Master_Produk!$C$1:$C$16,MATCH(Lembar_Kerja_Analisis!A365,Master_Produk!$A$1:$A$16,0))</f>
        <v>F&amp;B</v>
      </c>
      <c r="J365" s="19">
        <f>_xlfn.XLOOKUP(A365,Master_Produk!$A$1:$A$16,Master_Produk!$D$1:$D$16,,0)</f>
        <v>74000</v>
      </c>
      <c r="K365" s="19">
        <f>INDEX(Master_Produk!$E$1:$E$16,MATCH(Lembar_Kerja_Analisis!A365,Master_Produk!$A$1:$A$16,0))</f>
        <v>65000</v>
      </c>
      <c r="L365" s="8">
        <v>23</v>
      </c>
      <c r="M365" s="19">
        <f t="shared" si="25"/>
        <v>1702000</v>
      </c>
      <c r="N365" s="9">
        <v>0.1</v>
      </c>
      <c r="O365" s="19">
        <f t="shared" si="26"/>
        <v>170200</v>
      </c>
      <c r="P365" s="19">
        <f t="shared" si="27"/>
        <v>1531800</v>
      </c>
      <c r="Q365" s="19">
        <f t="shared" si="28"/>
        <v>1495000</v>
      </c>
      <c r="R365" s="19">
        <f t="shared" si="29"/>
        <v>36800</v>
      </c>
    </row>
    <row r="366" spans="1:18" x14ac:dyDescent="0.25">
      <c r="A366" t="str">
        <f>_xlfn.XLOOKUP(C366,Raw_Data_Transaksi!$A$1:$A$1001,Raw_Data_Transaksi!$D$1:$D$1001,,0)</f>
        <v>PRD-102</v>
      </c>
      <c r="B366" t="str">
        <f>_xlfn.XLOOKUP(C366,Raw_Data_Transaksi!$A$1:$A$1001,Raw_Data_Transaksi!$C$1:$C$1001,,0)</f>
        <v>SLS-06</v>
      </c>
      <c r="C366" s="6" t="s">
        <v>450</v>
      </c>
      <c r="D366" s="7">
        <v>45958</v>
      </c>
      <c r="E366" s="10" t="str">
        <f>VLOOKUP(B366,Master_Sales!$A$1:$D$9,2,FALSE)</f>
        <v>Fajar Nugraha</v>
      </c>
      <c r="F366" s="10" t="str">
        <f>INDEX(Master_Sales!$D$1:$D$9,MATCH(Lembar_Kerja_Analisis!B366,Master_Sales!$A$1:$A$9,0))</f>
        <v>Timur</v>
      </c>
      <c r="G366" s="10" t="str">
        <f>INDEX(Master_Sales!$C$1:$C$9,MATCH(Lembar_Kerja_Analisis!B366,Master_Sales!$A$1:$A$9,0))</f>
        <v>Makassar</v>
      </c>
      <c r="H366" s="10" t="str">
        <f>VLOOKUP(A366,Master_Produk!$A$1:$E$16,2,FALSE)</f>
        <v>Wireless Mouse Ergonomic</v>
      </c>
      <c r="I366" s="10" t="str">
        <f>INDEX(Master_Produk!$C$1:$C$16,MATCH(Lembar_Kerja_Analisis!A366,Master_Produk!$A$1:$A$16,0))</f>
        <v>Elektronik</v>
      </c>
      <c r="J366" s="19">
        <f>_xlfn.XLOOKUP(A366,Master_Produk!$A$1:$A$16,Master_Produk!$D$1:$D$16,,0)</f>
        <v>250000</v>
      </c>
      <c r="K366" s="19">
        <f>INDEX(Master_Produk!$E$1:$E$16,MATCH(Lembar_Kerja_Analisis!A366,Master_Produk!$A$1:$A$16,0))</f>
        <v>160000</v>
      </c>
      <c r="L366" s="8">
        <v>6</v>
      </c>
      <c r="M366" s="19">
        <f t="shared" si="25"/>
        <v>1500000</v>
      </c>
      <c r="N366" s="9">
        <v>0.15</v>
      </c>
      <c r="O366" s="19">
        <f t="shared" si="26"/>
        <v>225000</v>
      </c>
      <c r="P366" s="19">
        <f t="shared" si="27"/>
        <v>1275000</v>
      </c>
      <c r="Q366" s="19">
        <f t="shared" si="28"/>
        <v>960000</v>
      </c>
      <c r="R366" s="19">
        <f t="shared" si="29"/>
        <v>315000</v>
      </c>
    </row>
    <row r="367" spans="1:18" x14ac:dyDescent="0.25">
      <c r="A367" t="str">
        <f>_xlfn.XLOOKUP(C367,Raw_Data_Transaksi!$A$1:$A$1001,Raw_Data_Transaksi!$D$1:$D$1001,,0)</f>
        <v>PRD-110</v>
      </c>
      <c r="B367" t="str">
        <f>_xlfn.XLOOKUP(C367,Raw_Data_Transaksi!$A$1:$A$1001,Raw_Data_Transaksi!$C$1:$C$1001,,0)</f>
        <v>SLS-02</v>
      </c>
      <c r="C367" s="6" t="s">
        <v>451</v>
      </c>
      <c r="D367" s="7">
        <v>45972</v>
      </c>
      <c r="E367" s="10" t="str">
        <f>VLOOKUP(B367,Master_Sales!$A$1:$D$9,2,FALSE)</f>
        <v>Budi Santoso</v>
      </c>
      <c r="F367" s="10" t="str">
        <f>INDEX(Master_Sales!$D$1:$D$9,MATCH(Lembar_Kerja_Analisis!B367,Master_Sales!$A$1:$A$9,0))</f>
        <v>Timur</v>
      </c>
      <c r="G367" s="10" t="str">
        <f>INDEX(Master_Sales!$C$1:$C$9,MATCH(Lembar_Kerja_Analisis!B367,Master_Sales!$A$1:$A$9,0))</f>
        <v>Surabaya</v>
      </c>
      <c r="H367" s="10" t="str">
        <f>VLOOKUP(A367,Master_Produk!$A$1:$E$16,2,FALSE)</f>
        <v>Minyak Goreng Sawit 2L</v>
      </c>
      <c r="I367" s="10" t="str">
        <f>INDEX(Master_Produk!$C$1:$C$16,MATCH(Lembar_Kerja_Analisis!A367,Master_Produk!$A$1:$A$16,0))</f>
        <v>F&amp;B</v>
      </c>
      <c r="J367" s="19">
        <f>_xlfn.XLOOKUP(A367,Master_Produk!$A$1:$A$16,Master_Produk!$D$1:$D$16,,0)</f>
        <v>36000</v>
      </c>
      <c r="K367" s="19">
        <f>INDEX(Master_Produk!$E$1:$E$16,MATCH(Lembar_Kerja_Analisis!A367,Master_Produk!$A$1:$A$16,0))</f>
        <v>31000</v>
      </c>
      <c r="L367" s="8">
        <v>7</v>
      </c>
      <c r="M367" s="19">
        <f t="shared" si="25"/>
        <v>252000</v>
      </c>
      <c r="N367" s="9">
        <v>0.1</v>
      </c>
      <c r="O367" s="19">
        <f t="shared" si="26"/>
        <v>25200</v>
      </c>
      <c r="P367" s="19">
        <f t="shared" si="27"/>
        <v>226800</v>
      </c>
      <c r="Q367" s="19">
        <f t="shared" si="28"/>
        <v>217000</v>
      </c>
      <c r="R367" s="19">
        <f t="shared" si="29"/>
        <v>9800</v>
      </c>
    </row>
    <row r="368" spans="1:18" x14ac:dyDescent="0.25">
      <c r="A368" t="str">
        <f>_xlfn.XLOOKUP(C368,Raw_Data_Transaksi!$A$1:$A$1001,Raw_Data_Transaksi!$D$1:$D$1001,,0)</f>
        <v>PRD-103</v>
      </c>
      <c r="B368" t="str">
        <f>_xlfn.XLOOKUP(C368,Raw_Data_Transaksi!$A$1:$A$1001,Raw_Data_Transaksi!$C$1:$C$1001,,0)</f>
        <v>SLS-06</v>
      </c>
      <c r="C368" s="6" t="s">
        <v>452</v>
      </c>
      <c r="D368" s="7">
        <v>45717</v>
      </c>
      <c r="E368" s="10" t="str">
        <f>VLOOKUP(B368,Master_Sales!$A$1:$D$9,2,FALSE)</f>
        <v>Fajar Nugraha</v>
      </c>
      <c r="F368" s="10" t="str">
        <f>INDEX(Master_Sales!$D$1:$D$9,MATCH(Lembar_Kerja_Analisis!B368,Master_Sales!$A$1:$A$9,0))</f>
        <v>Timur</v>
      </c>
      <c r="G368" s="10" t="str">
        <f>INDEX(Master_Sales!$C$1:$C$9,MATCH(Lembar_Kerja_Analisis!B368,Master_Sales!$A$1:$A$9,0))</f>
        <v>Makassar</v>
      </c>
      <c r="H368" s="10" t="str">
        <f>VLOOKUP(A368,Master_Produk!$A$1:$E$16,2,FALSE)</f>
        <v>Mechanical Keyboard RGB</v>
      </c>
      <c r="I368" s="10" t="str">
        <f>INDEX(Master_Produk!$C$1:$C$16,MATCH(Lembar_Kerja_Analisis!A368,Master_Produk!$A$1:$A$16,0))</f>
        <v>Elektronik</v>
      </c>
      <c r="J368" s="19">
        <f>_xlfn.XLOOKUP(A368,Master_Produk!$A$1:$A$16,Master_Produk!$D$1:$D$16,,0)</f>
        <v>750000</v>
      </c>
      <c r="K368" s="19">
        <f>INDEX(Master_Produk!$E$1:$E$16,MATCH(Lembar_Kerja_Analisis!A368,Master_Produk!$A$1:$A$16,0))</f>
        <v>520000</v>
      </c>
      <c r="L368" s="8">
        <v>12</v>
      </c>
      <c r="M368" s="19">
        <f t="shared" si="25"/>
        <v>9000000</v>
      </c>
      <c r="N368" s="9">
        <v>0.05</v>
      </c>
      <c r="O368" s="19">
        <f t="shared" si="26"/>
        <v>450000</v>
      </c>
      <c r="P368" s="19">
        <f t="shared" si="27"/>
        <v>8550000</v>
      </c>
      <c r="Q368" s="19">
        <f t="shared" si="28"/>
        <v>6240000</v>
      </c>
      <c r="R368" s="19">
        <f t="shared" si="29"/>
        <v>2310000</v>
      </c>
    </row>
    <row r="369" spans="1:18" x14ac:dyDescent="0.25">
      <c r="A369" t="str">
        <f>_xlfn.XLOOKUP(C369,Raw_Data_Transaksi!$A$1:$A$1001,Raw_Data_Transaksi!$D$1:$D$1001,,0)</f>
        <v>PRD-107</v>
      </c>
      <c r="B369" t="str">
        <f>_xlfn.XLOOKUP(C369,Raw_Data_Transaksi!$A$1:$A$1001,Raw_Data_Transaksi!$C$1:$C$1001,,0)</f>
        <v>SLS-07</v>
      </c>
      <c r="C369" s="6" t="s">
        <v>453</v>
      </c>
      <c r="D369" s="7">
        <v>45952</v>
      </c>
      <c r="E369" s="10" t="str">
        <f>VLOOKUP(B369,Master_Sales!$A$1:$D$9,2,FALSE)</f>
        <v>Gita Permata</v>
      </c>
      <c r="F369" s="10" t="str">
        <f>INDEX(Master_Sales!$D$1:$D$9,MATCH(Lembar_Kerja_Analisis!B369,Master_Sales!$A$1:$A$9,0))</f>
        <v>Tengah</v>
      </c>
      <c r="G369" s="10" t="str">
        <f>INDEX(Master_Sales!$C$1:$C$9,MATCH(Lembar_Kerja_Analisis!B369,Master_Sales!$A$1:$A$9,0))</f>
        <v>Denpasar</v>
      </c>
      <c r="H369" s="10" t="str">
        <f>VLOOKUP(A369,Master_Produk!$A$1:$E$16,2,FALSE)</f>
        <v>Jaket Hoodie Casual</v>
      </c>
      <c r="I369" s="10" t="str">
        <f>INDEX(Master_Produk!$C$1:$C$16,MATCH(Lembar_Kerja_Analisis!A369,Master_Produk!$A$1:$A$16,0))</f>
        <v>Fashion</v>
      </c>
      <c r="J369" s="19">
        <f>_xlfn.XLOOKUP(A369,Master_Produk!$A$1:$A$16,Master_Produk!$D$1:$D$16,,0)</f>
        <v>350000</v>
      </c>
      <c r="K369" s="19">
        <f>INDEX(Master_Produk!$E$1:$E$16,MATCH(Lembar_Kerja_Analisis!A369,Master_Produk!$A$1:$A$16,0))</f>
        <v>220000</v>
      </c>
      <c r="L369" s="8">
        <v>3</v>
      </c>
      <c r="M369" s="19">
        <f t="shared" si="25"/>
        <v>1050000</v>
      </c>
      <c r="N369" s="9">
        <v>0.15</v>
      </c>
      <c r="O369" s="19">
        <f t="shared" si="26"/>
        <v>157500</v>
      </c>
      <c r="P369" s="19">
        <f t="shared" si="27"/>
        <v>892500</v>
      </c>
      <c r="Q369" s="19">
        <f t="shared" si="28"/>
        <v>660000</v>
      </c>
      <c r="R369" s="19">
        <f t="shared" si="29"/>
        <v>232500</v>
      </c>
    </row>
    <row r="370" spans="1:18" x14ac:dyDescent="0.25">
      <c r="A370" t="str">
        <f>_xlfn.XLOOKUP(C370,Raw_Data_Transaksi!$A$1:$A$1001,Raw_Data_Transaksi!$D$1:$D$1001,,0)</f>
        <v>PRD-105</v>
      </c>
      <c r="B370" t="str">
        <f>_xlfn.XLOOKUP(C370,Raw_Data_Transaksi!$A$1:$A$1001,Raw_Data_Transaksi!$C$1:$C$1001,,0)</f>
        <v>SLS-03</v>
      </c>
      <c r="C370" s="6" t="s">
        <v>454</v>
      </c>
      <c r="D370" s="7">
        <v>45908</v>
      </c>
      <c r="E370" s="10" t="str">
        <f>VLOOKUP(B370,Master_Sales!$A$1:$D$9,2,FALSE)</f>
        <v>Citra Lestari</v>
      </c>
      <c r="F370" s="10" t="str">
        <f>INDEX(Master_Sales!$D$1:$D$9,MATCH(Lembar_Kerja_Analisis!B370,Master_Sales!$A$1:$A$9,0))</f>
        <v>Barat</v>
      </c>
      <c r="G370" s="10" t="str">
        <f>INDEX(Master_Sales!$C$1:$C$9,MATCH(Lembar_Kerja_Analisis!B370,Master_Sales!$A$1:$A$9,0))</f>
        <v>Bandung</v>
      </c>
      <c r="H370" s="10" t="str">
        <f>VLOOKUP(A370,Master_Produk!$A$1:$E$16,2,FALSE)</f>
        <v>Kemeja Batik Katun Premium</v>
      </c>
      <c r="I370" s="10" t="str">
        <f>INDEX(Master_Produk!$C$1:$C$16,MATCH(Lembar_Kerja_Analisis!A370,Master_Produk!$A$1:$A$16,0))</f>
        <v>Fashion</v>
      </c>
      <c r="J370" s="19">
        <f>_xlfn.XLOOKUP(A370,Master_Produk!$A$1:$A$16,Master_Produk!$D$1:$D$16,,0)</f>
        <v>320000</v>
      </c>
      <c r="K370" s="19">
        <f>INDEX(Master_Produk!$E$1:$E$16,MATCH(Lembar_Kerja_Analisis!A370,Master_Produk!$A$1:$A$16,0))</f>
        <v>190000</v>
      </c>
      <c r="L370" s="8">
        <v>3</v>
      </c>
      <c r="M370" s="19">
        <f t="shared" si="25"/>
        <v>960000</v>
      </c>
      <c r="N370" s="9">
        <v>0.1</v>
      </c>
      <c r="O370" s="19">
        <f t="shared" si="26"/>
        <v>96000</v>
      </c>
      <c r="P370" s="19">
        <f t="shared" si="27"/>
        <v>864000</v>
      </c>
      <c r="Q370" s="19">
        <f t="shared" si="28"/>
        <v>570000</v>
      </c>
      <c r="R370" s="19">
        <f t="shared" si="29"/>
        <v>294000</v>
      </c>
    </row>
    <row r="371" spans="1:18" x14ac:dyDescent="0.25">
      <c r="A371" t="str">
        <f>_xlfn.XLOOKUP(C371,Raw_Data_Transaksi!$A$1:$A$1001,Raw_Data_Transaksi!$D$1:$D$1001,,0)</f>
        <v>PRD-101</v>
      </c>
      <c r="B371" t="str">
        <f>_xlfn.XLOOKUP(C371,Raw_Data_Transaksi!$A$1:$A$1001,Raw_Data_Transaksi!$C$1:$C$1001,,0)</f>
        <v>SLS-08</v>
      </c>
      <c r="C371" s="6" t="s">
        <v>455</v>
      </c>
      <c r="D371" s="7">
        <v>45841</v>
      </c>
      <c r="E371" s="10" t="str">
        <f>VLOOKUP(B371,Master_Sales!$A$1:$D$9,2,FALSE)</f>
        <v>Hendra Wijaya</v>
      </c>
      <c r="F371" s="10" t="str">
        <f>INDEX(Master_Sales!$D$1:$D$9,MATCH(Lembar_Kerja_Analisis!B371,Master_Sales!$A$1:$A$9,0))</f>
        <v>Tengah</v>
      </c>
      <c r="G371" s="10" t="str">
        <f>INDEX(Master_Sales!$C$1:$C$9,MATCH(Lembar_Kerja_Analisis!B371,Master_Sales!$A$1:$A$9,0))</f>
        <v>Yogyakarta</v>
      </c>
      <c r="H371" s="10" t="str">
        <f>VLOOKUP(A371,Master_Produk!$A$1:$E$16,2,FALSE)</f>
        <v>Laptop Ultrabook 14"</v>
      </c>
      <c r="I371" s="10" t="str">
        <f>INDEX(Master_Produk!$C$1:$C$16,MATCH(Lembar_Kerja_Analisis!A371,Master_Produk!$A$1:$A$16,0))</f>
        <v>Elektronik</v>
      </c>
      <c r="J371" s="19">
        <f>_xlfn.XLOOKUP(A371,Master_Produk!$A$1:$A$16,Master_Produk!$D$1:$D$16,,0)</f>
        <v>8500000</v>
      </c>
      <c r="K371" s="19">
        <f>INDEX(Master_Produk!$E$1:$E$16,MATCH(Lembar_Kerja_Analisis!A371,Master_Produk!$A$1:$A$16,0))</f>
        <v>7200000</v>
      </c>
      <c r="L371" s="8">
        <v>3</v>
      </c>
      <c r="M371" s="19">
        <f t="shared" si="25"/>
        <v>25500000</v>
      </c>
      <c r="N371" s="9">
        <v>0.05</v>
      </c>
      <c r="O371" s="19">
        <f t="shared" si="26"/>
        <v>1275000</v>
      </c>
      <c r="P371" s="19">
        <f t="shared" si="27"/>
        <v>24225000</v>
      </c>
      <c r="Q371" s="19">
        <f t="shared" si="28"/>
        <v>21600000</v>
      </c>
      <c r="R371" s="19">
        <f t="shared" si="29"/>
        <v>2625000</v>
      </c>
    </row>
    <row r="372" spans="1:18" x14ac:dyDescent="0.25">
      <c r="A372" t="str">
        <f>_xlfn.XLOOKUP(C372,Raw_Data_Transaksi!$A$1:$A$1001,Raw_Data_Transaksi!$D$1:$D$1001,,0)</f>
        <v>PRD-111</v>
      </c>
      <c r="B372" t="str">
        <f>_xlfn.XLOOKUP(C372,Raw_Data_Transaksi!$A$1:$A$1001,Raw_Data_Transaksi!$C$1:$C$1001,,0)</f>
        <v>SLS-08</v>
      </c>
      <c r="C372" s="6" t="s">
        <v>456</v>
      </c>
      <c r="D372" s="7">
        <v>45867</v>
      </c>
      <c r="E372" s="10" t="str">
        <f>VLOOKUP(B372,Master_Sales!$A$1:$D$9,2,FALSE)</f>
        <v>Hendra Wijaya</v>
      </c>
      <c r="F372" s="10" t="str">
        <f>INDEX(Master_Sales!$D$1:$D$9,MATCH(Lembar_Kerja_Analisis!B372,Master_Sales!$A$1:$A$9,0))</f>
        <v>Tengah</v>
      </c>
      <c r="G372" s="10" t="str">
        <f>INDEX(Master_Sales!$C$1:$C$9,MATCH(Lembar_Kerja_Analisis!B372,Master_Sales!$A$1:$A$9,0))</f>
        <v>Yogyakarta</v>
      </c>
      <c r="H372" s="10" t="str">
        <f>VLOOKUP(A372,Master_Produk!$A$1:$E$16,2,FALSE)</f>
        <v>Beras Premium 5kg</v>
      </c>
      <c r="I372" s="10" t="str">
        <f>INDEX(Master_Produk!$C$1:$C$16,MATCH(Lembar_Kerja_Analisis!A372,Master_Produk!$A$1:$A$16,0))</f>
        <v>F&amp;B</v>
      </c>
      <c r="J372" s="19">
        <f>_xlfn.XLOOKUP(A372,Master_Produk!$A$1:$A$16,Master_Produk!$D$1:$D$16,,0)</f>
        <v>74000</v>
      </c>
      <c r="K372" s="19">
        <f>INDEX(Master_Produk!$E$1:$E$16,MATCH(Lembar_Kerja_Analisis!A372,Master_Produk!$A$1:$A$16,0))</f>
        <v>65000</v>
      </c>
      <c r="L372" s="8">
        <v>25</v>
      </c>
      <c r="M372" s="19">
        <f t="shared" si="25"/>
        <v>1850000</v>
      </c>
      <c r="N372" s="9">
        <v>0.15</v>
      </c>
      <c r="O372" s="19">
        <f t="shared" si="26"/>
        <v>277500</v>
      </c>
      <c r="P372" s="19">
        <f t="shared" si="27"/>
        <v>1572500</v>
      </c>
      <c r="Q372" s="19">
        <f t="shared" si="28"/>
        <v>1625000</v>
      </c>
      <c r="R372" s="19">
        <f t="shared" si="29"/>
        <v>-52500</v>
      </c>
    </row>
    <row r="373" spans="1:18" x14ac:dyDescent="0.25">
      <c r="A373" t="str">
        <f>_xlfn.XLOOKUP(C373,Raw_Data_Transaksi!$A$1:$A$1001,Raw_Data_Transaksi!$D$1:$D$1001,,0)</f>
        <v>PRD-101</v>
      </c>
      <c r="B373" t="str">
        <f>_xlfn.XLOOKUP(C373,Raw_Data_Transaksi!$A$1:$A$1001,Raw_Data_Transaksi!$C$1:$C$1001,,0)</f>
        <v>SLS-04</v>
      </c>
      <c r="C373" s="6" t="s">
        <v>457</v>
      </c>
      <c r="D373" s="7">
        <v>45947</v>
      </c>
      <c r="E373" s="10" t="str">
        <f>VLOOKUP(B373,Master_Sales!$A$1:$D$9,2,FALSE)</f>
        <v>Dewi Anggraini</v>
      </c>
      <c r="F373" s="10" t="str">
        <f>INDEX(Master_Sales!$D$1:$D$9,MATCH(Lembar_Kerja_Analisis!B373,Master_Sales!$A$1:$A$9,0))</f>
        <v>Barat</v>
      </c>
      <c r="G373" s="10" t="str">
        <f>INDEX(Master_Sales!$C$1:$C$9,MATCH(Lembar_Kerja_Analisis!B373,Master_Sales!$A$1:$A$9,0))</f>
        <v>Medan</v>
      </c>
      <c r="H373" s="10" t="str">
        <f>VLOOKUP(A373,Master_Produk!$A$1:$E$16,2,FALSE)</f>
        <v>Laptop Ultrabook 14"</v>
      </c>
      <c r="I373" s="10" t="str">
        <f>INDEX(Master_Produk!$C$1:$C$16,MATCH(Lembar_Kerja_Analisis!A373,Master_Produk!$A$1:$A$16,0))</f>
        <v>Elektronik</v>
      </c>
      <c r="J373" s="19">
        <f>_xlfn.XLOOKUP(A373,Master_Produk!$A$1:$A$16,Master_Produk!$D$1:$D$16,,0)</f>
        <v>8500000</v>
      </c>
      <c r="K373" s="19">
        <f>INDEX(Master_Produk!$E$1:$E$16,MATCH(Lembar_Kerja_Analisis!A373,Master_Produk!$A$1:$A$16,0))</f>
        <v>7200000</v>
      </c>
      <c r="L373" s="8">
        <v>5</v>
      </c>
      <c r="M373" s="19">
        <f t="shared" si="25"/>
        <v>42500000</v>
      </c>
      <c r="N373" s="9">
        <v>0</v>
      </c>
      <c r="O373" s="19">
        <f t="shared" si="26"/>
        <v>0</v>
      </c>
      <c r="P373" s="19">
        <f t="shared" si="27"/>
        <v>42500000</v>
      </c>
      <c r="Q373" s="19">
        <f t="shared" si="28"/>
        <v>36000000</v>
      </c>
      <c r="R373" s="19">
        <f t="shared" si="29"/>
        <v>6500000</v>
      </c>
    </row>
    <row r="374" spans="1:18" x14ac:dyDescent="0.25">
      <c r="A374" t="str">
        <f>_xlfn.XLOOKUP(C374,Raw_Data_Transaksi!$A$1:$A$1001,Raw_Data_Transaksi!$D$1:$D$1001,,0)</f>
        <v>PRD-113</v>
      </c>
      <c r="B374" t="str">
        <f>_xlfn.XLOOKUP(C374,Raw_Data_Transaksi!$A$1:$A$1001,Raw_Data_Transaksi!$C$1:$C$1001,,0)</f>
        <v>SLS-08</v>
      </c>
      <c r="C374" s="6" t="s">
        <v>458</v>
      </c>
      <c r="D374" s="7">
        <v>45744</v>
      </c>
      <c r="E374" s="10" t="str">
        <f>VLOOKUP(B374,Master_Sales!$A$1:$D$9,2,FALSE)</f>
        <v>Hendra Wijaya</v>
      </c>
      <c r="F374" s="10" t="str">
        <f>INDEX(Master_Sales!$D$1:$D$9,MATCH(Lembar_Kerja_Analisis!B374,Master_Sales!$A$1:$A$9,0))</f>
        <v>Tengah</v>
      </c>
      <c r="G374" s="10" t="str">
        <f>INDEX(Master_Sales!$C$1:$C$9,MATCH(Lembar_Kerja_Analisis!B374,Master_Sales!$A$1:$A$9,0))</f>
        <v>Yogyakarta</v>
      </c>
      <c r="H374" s="10" t="str">
        <f>VLOOKUP(A374,Master_Produk!$A$1:$E$16,2,FALSE)</f>
        <v>Wajan Anti Lengket 28cm</v>
      </c>
      <c r="I374" s="10" t="str">
        <f>INDEX(Master_Produk!$C$1:$C$16,MATCH(Lembar_Kerja_Analisis!A374,Master_Produk!$A$1:$A$16,0))</f>
        <v>Peralatan Rumah</v>
      </c>
      <c r="J374" s="19">
        <f>_xlfn.XLOOKUP(A374,Master_Produk!$A$1:$A$16,Master_Produk!$D$1:$D$16,,0)</f>
        <v>210000</v>
      </c>
      <c r="K374" s="19">
        <f>INDEX(Master_Produk!$E$1:$E$16,MATCH(Lembar_Kerja_Analisis!A374,Master_Produk!$A$1:$A$16,0))</f>
        <v>140000</v>
      </c>
      <c r="L374" s="8">
        <v>10</v>
      </c>
      <c r="M374" s="19">
        <f t="shared" si="25"/>
        <v>2100000</v>
      </c>
      <c r="N374" s="9">
        <v>0.15</v>
      </c>
      <c r="O374" s="19">
        <f t="shared" si="26"/>
        <v>315000</v>
      </c>
      <c r="P374" s="19">
        <f t="shared" si="27"/>
        <v>1785000</v>
      </c>
      <c r="Q374" s="19">
        <f t="shared" si="28"/>
        <v>1400000</v>
      </c>
      <c r="R374" s="19">
        <f t="shared" si="29"/>
        <v>385000</v>
      </c>
    </row>
    <row r="375" spans="1:18" x14ac:dyDescent="0.25">
      <c r="A375" t="str">
        <f>_xlfn.XLOOKUP(C375,Raw_Data_Transaksi!$A$1:$A$1001,Raw_Data_Transaksi!$D$1:$D$1001,,0)</f>
        <v>PRD-113</v>
      </c>
      <c r="B375" t="str">
        <f>_xlfn.XLOOKUP(C375,Raw_Data_Transaksi!$A$1:$A$1001,Raw_Data_Transaksi!$C$1:$C$1001,,0)</f>
        <v>SLS-06</v>
      </c>
      <c r="C375" s="6" t="s">
        <v>459</v>
      </c>
      <c r="D375" s="7">
        <v>45795</v>
      </c>
      <c r="E375" s="10" t="str">
        <f>VLOOKUP(B375,Master_Sales!$A$1:$D$9,2,FALSE)</f>
        <v>Fajar Nugraha</v>
      </c>
      <c r="F375" s="10" t="str">
        <f>INDEX(Master_Sales!$D$1:$D$9,MATCH(Lembar_Kerja_Analisis!B375,Master_Sales!$A$1:$A$9,0))</f>
        <v>Timur</v>
      </c>
      <c r="G375" s="10" t="str">
        <f>INDEX(Master_Sales!$C$1:$C$9,MATCH(Lembar_Kerja_Analisis!B375,Master_Sales!$A$1:$A$9,0))</f>
        <v>Makassar</v>
      </c>
      <c r="H375" s="10" t="str">
        <f>VLOOKUP(A375,Master_Produk!$A$1:$E$16,2,FALSE)</f>
        <v>Wajan Anti Lengket 28cm</v>
      </c>
      <c r="I375" s="10" t="str">
        <f>INDEX(Master_Produk!$C$1:$C$16,MATCH(Lembar_Kerja_Analisis!A375,Master_Produk!$A$1:$A$16,0))</f>
        <v>Peralatan Rumah</v>
      </c>
      <c r="J375" s="19">
        <f>_xlfn.XLOOKUP(A375,Master_Produk!$A$1:$A$16,Master_Produk!$D$1:$D$16,,0)</f>
        <v>210000</v>
      </c>
      <c r="K375" s="19">
        <f>INDEX(Master_Produk!$E$1:$E$16,MATCH(Lembar_Kerja_Analisis!A375,Master_Produk!$A$1:$A$16,0))</f>
        <v>140000</v>
      </c>
      <c r="L375" s="8">
        <v>9</v>
      </c>
      <c r="M375" s="19">
        <f t="shared" si="25"/>
        <v>1890000</v>
      </c>
      <c r="N375" s="9">
        <v>0</v>
      </c>
      <c r="O375" s="19">
        <f t="shared" si="26"/>
        <v>0</v>
      </c>
      <c r="P375" s="19">
        <f t="shared" si="27"/>
        <v>1890000</v>
      </c>
      <c r="Q375" s="19">
        <f t="shared" si="28"/>
        <v>1260000</v>
      </c>
      <c r="R375" s="19">
        <f t="shared" si="29"/>
        <v>630000</v>
      </c>
    </row>
    <row r="376" spans="1:18" x14ac:dyDescent="0.25">
      <c r="A376" t="str">
        <f>_xlfn.XLOOKUP(C376,Raw_Data_Transaksi!$A$1:$A$1001,Raw_Data_Transaksi!$D$1:$D$1001,,0)</f>
        <v>PRD-102</v>
      </c>
      <c r="B376" t="str">
        <f>_xlfn.XLOOKUP(C376,Raw_Data_Transaksi!$A$1:$A$1001,Raw_Data_Transaksi!$C$1:$C$1001,,0)</f>
        <v>SLS-04</v>
      </c>
      <c r="C376" s="6" t="s">
        <v>460</v>
      </c>
      <c r="D376" s="7">
        <v>45875</v>
      </c>
      <c r="E376" s="10" t="str">
        <f>VLOOKUP(B376,Master_Sales!$A$1:$D$9,2,FALSE)</f>
        <v>Dewi Anggraini</v>
      </c>
      <c r="F376" s="10" t="str">
        <f>INDEX(Master_Sales!$D$1:$D$9,MATCH(Lembar_Kerja_Analisis!B376,Master_Sales!$A$1:$A$9,0))</f>
        <v>Barat</v>
      </c>
      <c r="G376" s="10" t="str">
        <f>INDEX(Master_Sales!$C$1:$C$9,MATCH(Lembar_Kerja_Analisis!B376,Master_Sales!$A$1:$A$9,0))</f>
        <v>Medan</v>
      </c>
      <c r="H376" s="10" t="str">
        <f>VLOOKUP(A376,Master_Produk!$A$1:$E$16,2,FALSE)</f>
        <v>Wireless Mouse Ergonomic</v>
      </c>
      <c r="I376" s="10" t="str">
        <f>INDEX(Master_Produk!$C$1:$C$16,MATCH(Lembar_Kerja_Analisis!A376,Master_Produk!$A$1:$A$16,0))</f>
        <v>Elektronik</v>
      </c>
      <c r="J376" s="19">
        <f>_xlfn.XLOOKUP(A376,Master_Produk!$A$1:$A$16,Master_Produk!$D$1:$D$16,,0)</f>
        <v>250000</v>
      </c>
      <c r="K376" s="19">
        <f>INDEX(Master_Produk!$E$1:$E$16,MATCH(Lembar_Kerja_Analisis!A376,Master_Produk!$A$1:$A$16,0))</f>
        <v>160000</v>
      </c>
      <c r="L376" s="8">
        <v>5</v>
      </c>
      <c r="M376" s="19">
        <f t="shared" si="25"/>
        <v>1250000</v>
      </c>
      <c r="N376" s="9">
        <v>0</v>
      </c>
      <c r="O376" s="19">
        <f t="shared" si="26"/>
        <v>0</v>
      </c>
      <c r="P376" s="19">
        <f t="shared" si="27"/>
        <v>1250000</v>
      </c>
      <c r="Q376" s="19">
        <f t="shared" si="28"/>
        <v>800000</v>
      </c>
      <c r="R376" s="19">
        <f t="shared" si="29"/>
        <v>450000</v>
      </c>
    </row>
    <row r="377" spans="1:18" x14ac:dyDescent="0.25">
      <c r="A377" t="str">
        <f>_xlfn.XLOOKUP(C377,Raw_Data_Transaksi!$A$1:$A$1001,Raw_Data_Transaksi!$D$1:$D$1001,,0)</f>
        <v>PRD-108</v>
      </c>
      <c r="B377" t="str">
        <f>_xlfn.XLOOKUP(C377,Raw_Data_Transaksi!$A$1:$A$1001,Raw_Data_Transaksi!$C$1:$C$1001,,0)</f>
        <v>SLS-02</v>
      </c>
      <c r="C377" s="6" t="s">
        <v>461</v>
      </c>
      <c r="D377" s="7">
        <v>45702</v>
      </c>
      <c r="E377" s="10" t="str">
        <f>VLOOKUP(B377,Master_Sales!$A$1:$D$9,2,FALSE)</f>
        <v>Budi Santoso</v>
      </c>
      <c r="F377" s="10" t="str">
        <f>INDEX(Master_Sales!$D$1:$D$9,MATCH(Lembar_Kerja_Analisis!B377,Master_Sales!$A$1:$A$9,0))</f>
        <v>Timur</v>
      </c>
      <c r="G377" s="10" t="str">
        <f>INDEX(Master_Sales!$C$1:$C$9,MATCH(Lembar_Kerja_Analisis!B377,Master_Sales!$A$1:$A$9,0))</f>
        <v>Surabaya</v>
      </c>
      <c r="H377" s="10" t="str">
        <f>VLOOKUP(A377,Master_Produk!$A$1:$E$16,2,FALSE)</f>
        <v>Sepatu Sneakers Pria/Wanita</v>
      </c>
      <c r="I377" s="10" t="str">
        <f>INDEX(Master_Produk!$C$1:$C$16,MATCH(Lembar_Kerja_Analisis!A377,Master_Produk!$A$1:$A$16,0))</f>
        <v>Fashion</v>
      </c>
      <c r="J377" s="19">
        <f>_xlfn.XLOOKUP(A377,Master_Produk!$A$1:$A$16,Master_Produk!$D$1:$D$16,,0)</f>
        <v>450000</v>
      </c>
      <c r="K377" s="19">
        <f>INDEX(Master_Produk!$E$1:$E$16,MATCH(Lembar_Kerja_Analisis!A377,Master_Produk!$A$1:$A$16,0))</f>
        <v>290000</v>
      </c>
      <c r="L377" s="8">
        <v>4</v>
      </c>
      <c r="M377" s="19">
        <f t="shared" si="25"/>
        <v>1800000</v>
      </c>
      <c r="N377" s="9">
        <v>0.05</v>
      </c>
      <c r="O377" s="19">
        <f t="shared" si="26"/>
        <v>90000</v>
      </c>
      <c r="P377" s="19">
        <f t="shared" si="27"/>
        <v>1710000</v>
      </c>
      <c r="Q377" s="19">
        <f t="shared" si="28"/>
        <v>1160000</v>
      </c>
      <c r="R377" s="19">
        <f t="shared" si="29"/>
        <v>550000</v>
      </c>
    </row>
    <row r="378" spans="1:18" x14ac:dyDescent="0.25">
      <c r="A378" t="str">
        <f>_xlfn.XLOOKUP(C378,Raw_Data_Transaksi!$A$1:$A$1001,Raw_Data_Transaksi!$D$1:$D$1001,,0)</f>
        <v>PRD-110</v>
      </c>
      <c r="B378" t="str">
        <f>_xlfn.XLOOKUP(C378,Raw_Data_Transaksi!$A$1:$A$1001,Raw_Data_Transaksi!$C$1:$C$1001,,0)</f>
        <v>SLS-03</v>
      </c>
      <c r="C378" s="6" t="s">
        <v>462</v>
      </c>
      <c r="D378" s="7">
        <v>45742</v>
      </c>
      <c r="E378" s="10" t="str">
        <f>VLOOKUP(B378,Master_Sales!$A$1:$D$9,2,FALSE)</f>
        <v>Citra Lestari</v>
      </c>
      <c r="F378" s="10" t="str">
        <f>INDEX(Master_Sales!$D$1:$D$9,MATCH(Lembar_Kerja_Analisis!B378,Master_Sales!$A$1:$A$9,0))</f>
        <v>Barat</v>
      </c>
      <c r="G378" s="10" t="str">
        <f>INDEX(Master_Sales!$C$1:$C$9,MATCH(Lembar_Kerja_Analisis!B378,Master_Sales!$A$1:$A$9,0))</f>
        <v>Bandung</v>
      </c>
      <c r="H378" s="10" t="str">
        <f>VLOOKUP(A378,Master_Produk!$A$1:$E$16,2,FALSE)</f>
        <v>Minyak Goreng Sawit 2L</v>
      </c>
      <c r="I378" s="10" t="str">
        <f>INDEX(Master_Produk!$C$1:$C$16,MATCH(Lembar_Kerja_Analisis!A378,Master_Produk!$A$1:$A$16,0))</f>
        <v>F&amp;B</v>
      </c>
      <c r="J378" s="19">
        <f>_xlfn.XLOOKUP(A378,Master_Produk!$A$1:$A$16,Master_Produk!$D$1:$D$16,,0)</f>
        <v>36000</v>
      </c>
      <c r="K378" s="19">
        <f>INDEX(Master_Produk!$E$1:$E$16,MATCH(Lembar_Kerja_Analisis!A378,Master_Produk!$A$1:$A$16,0))</f>
        <v>31000</v>
      </c>
      <c r="L378" s="8">
        <v>29</v>
      </c>
      <c r="M378" s="19">
        <f t="shared" si="25"/>
        <v>1044000</v>
      </c>
      <c r="N378" s="9">
        <v>0.05</v>
      </c>
      <c r="O378" s="19">
        <f t="shared" si="26"/>
        <v>52200</v>
      </c>
      <c r="P378" s="19">
        <f t="shared" si="27"/>
        <v>991800</v>
      </c>
      <c r="Q378" s="19">
        <f t="shared" si="28"/>
        <v>899000</v>
      </c>
      <c r="R378" s="19">
        <f t="shared" si="29"/>
        <v>92800</v>
      </c>
    </row>
    <row r="379" spans="1:18" x14ac:dyDescent="0.25">
      <c r="A379" t="str">
        <f>_xlfn.XLOOKUP(C379,Raw_Data_Transaksi!$A$1:$A$1001,Raw_Data_Transaksi!$D$1:$D$1001,,0)</f>
        <v>PRD-105</v>
      </c>
      <c r="B379" t="str">
        <f>_xlfn.XLOOKUP(C379,Raw_Data_Transaksi!$A$1:$A$1001,Raw_Data_Transaksi!$C$1:$C$1001,,0)</f>
        <v>SLS-03</v>
      </c>
      <c r="C379" s="6" t="s">
        <v>463</v>
      </c>
      <c r="D379" s="7">
        <v>45930</v>
      </c>
      <c r="E379" s="10" t="str">
        <f>VLOOKUP(B379,Master_Sales!$A$1:$D$9,2,FALSE)</f>
        <v>Citra Lestari</v>
      </c>
      <c r="F379" s="10" t="str">
        <f>INDEX(Master_Sales!$D$1:$D$9,MATCH(Lembar_Kerja_Analisis!B379,Master_Sales!$A$1:$A$9,0))</f>
        <v>Barat</v>
      </c>
      <c r="G379" s="10" t="str">
        <f>INDEX(Master_Sales!$C$1:$C$9,MATCH(Lembar_Kerja_Analisis!B379,Master_Sales!$A$1:$A$9,0))</f>
        <v>Bandung</v>
      </c>
      <c r="H379" s="10" t="str">
        <f>VLOOKUP(A379,Master_Produk!$A$1:$E$16,2,FALSE)</f>
        <v>Kemeja Batik Katun Premium</v>
      </c>
      <c r="I379" s="10" t="str">
        <f>INDEX(Master_Produk!$C$1:$C$16,MATCH(Lembar_Kerja_Analisis!A379,Master_Produk!$A$1:$A$16,0))</f>
        <v>Fashion</v>
      </c>
      <c r="J379" s="19">
        <f>_xlfn.XLOOKUP(A379,Master_Produk!$A$1:$A$16,Master_Produk!$D$1:$D$16,,0)</f>
        <v>320000</v>
      </c>
      <c r="K379" s="19">
        <f>INDEX(Master_Produk!$E$1:$E$16,MATCH(Lembar_Kerja_Analisis!A379,Master_Produk!$A$1:$A$16,0))</f>
        <v>190000</v>
      </c>
      <c r="L379" s="8">
        <v>6</v>
      </c>
      <c r="M379" s="19">
        <f t="shared" si="25"/>
        <v>1920000</v>
      </c>
      <c r="N379" s="9">
        <v>0.1</v>
      </c>
      <c r="O379" s="19">
        <f t="shared" si="26"/>
        <v>192000</v>
      </c>
      <c r="P379" s="19">
        <f t="shared" si="27"/>
        <v>1728000</v>
      </c>
      <c r="Q379" s="19">
        <f t="shared" si="28"/>
        <v>1140000</v>
      </c>
      <c r="R379" s="19">
        <f t="shared" si="29"/>
        <v>588000</v>
      </c>
    </row>
    <row r="380" spans="1:18" x14ac:dyDescent="0.25">
      <c r="A380" t="str">
        <f>_xlfn.XLOOKUP(C380,Raw_Data_Transaksi!$A$1:$A$1001,Raw_Data_Transaksi!$D$1:$D$1001,,0)</f>
        <v>PRD-115</v>
      </c>
      <c r="B380" t="str">
        <f>_xlfn.XLOOKUP(C380,Raw_Data_Transaksi!$A$1:$A$1001,Raw_Data_Transaksi!$C$1:$C$1001,,0)</f>
        <v>SLS-02</v>
      </c>
      <c r="C380" s="6" t="s">
        <v>464</v>
      </c>
      <c r="D380" s="7">
        <v>45921</v>
      </c>
      <c r="E380" s="10" t="str">
        <f>VLOOKUP(B380,Master_Sales!$A$1:$D$9,2,FALSE)</f>
        <v>Budi Santoso</v>
      </c>
      <c r="F380" s="10" t="str">
        <f>INDEX(Master_Sales!$D$1:$D$9,MATCH(Lembar_Kerja_Analisis!B380,Master_Sales!$A$1:$A$9,0))</f>
        <v>Timur</v>
      </c>
      <c r="G380" s="10" t="str">
        <f>INDEX(Master_Sales!$C$1:$C$9,MATCH(Lembar_Kerja_Analisis!B380,Master_Sales!$A$1:$A$9,0))</f>
        <v>Surabaya</v>
      </c>
      <c r="H380" s="10" t="str">
        <f>VLOOKUP(A380,Master_Produk!$A$1:$E$16,2,FALSE)</f>
        <v>Set Pisau Dapur Stainless</v>
      </c>
      <c r="I380" s="10" t="str">
        <f>INDEX(Master_Produk!$C$1:$C$16,MATCH(Lembar_Kerja_Analisis!A380,Master_Produk!$A$1:$A$16,0))</f>
        <v>Peralatan Rumah</v>
      </c>
      <c r="J380" s="19">
        <f>_xlfn.XLOOKUP(A380,Master_Produk!$A$1:$A$16,Master_Produk!$D$1:$D$16,,0)</f>
        <v>165000</v>
      </c>
      <c r="K380" s="19">
        <f>INDEX(Master_Produk!$E$1:$E$16,MATCH(Lembar_Kerja_Analisis!A380,Master_Produk!$A$1:$A$16,0))</f>
        <v>105000</v>
      </c>
      <c r="L380" s="8">
        <v>3</v>
      </c>
      <c r="M380" s="19">
        <f t="shared" si="25"/>
        <v>495000</v>
      </c>
      <c r="N380" s="9">
        <v>0.15</v>
      </c>
      <c r="O380" s="19">
        <f t="shared" si="26"/>
        <v>74250</v>
      </c>
      <c r="P380" s="19">
        <f t="shared" si="27"/>
        <v>420750</v>
      </c>
      <c r="Q380" s="19">
        <f t="shared" si="28"/>
        <v>315000</v>
      </c>
      <c r="R380" s="19">
        <f t="shared" si="29"/>
        <v>105750</v>
      </c>
    </row>
    <row r="381" spans="1:18" x14ac:dyDescent="0.25">
      <c r="A381" t="str">
        <f>_xlfn.XLOOKUP(C381,Raw_Data_Transaksi!$A$1:$A$1001,Raw_Data_Transaksi!$D$1:$D$1001,,0)</f>
        <v>PRD-114</v>
      </c>
      <c r="B381" t="str">
        <f>_xlfn.XLOOKUP(C381,Raw_Data_Transaksi!$A$1:$A$1001,Raw_Data_Transaksi!$C$1:$C$1001,,0)</f>
        <v>SLS-03</v>
      </c>
      <c r="C381" s="6" t="s">
        <v>465</v>
      </c>
      <c r="D381" s="7">
        <v>46017</v>
      </c>
      <c r="E381" s="10" t="str">
        <f>VLOOKUP(B381,Master_Sales!$A$1:$D$9,2,FALSE)</f>
        <v>Citra Lestari</v>
      </c>
      <c r="F381" s="10" t="str">
        <f>INDEX(Master_Sales!$D$1:$D$9,MATCH(Lembar_Kerja_Analisis!B381,Master_Sales!$A$1:$A$9,0))</f>
        <v>Barat</v>
      </c>
      <c r="G381" s="10" t="str">
        <f>INDEX(Master_Sales!$C$1:$C$9,MATCH(Lembar_Kerja_Analisis!B381,Master_Sales!$A$1:$A$9,0))</f>
        <v>Bandung</v>
      </c>
      <c r="H381" s="10" t="str">
        <f>VLOOKUP(A381,Master_Produk!$A$1:$E$16,2,FALSE)</f>
        <v>Blender Multifungsi 2-in-1</v>
      </c>
      <c r="I381" s="10" t="str">
        <f>INDEX(Master_Produk!$C$1:$C$16,MATCH(Lembar_Kerja_Analisis!A381,Master_Produk!$A$1:$A$16,0))</f>
        <v>Peralatan Rumah</v>
      </c>
      <c r="J381" s="19">
        <f>_xlfn.XLOOKUP(A381,Master_Produk!$A$1:$A$16,Master_Produk!$D$1:$D$16,,0)</f>
        <v>340000</v>
      </c>
      <c r="K381" s="19">
        <f>INDEX(Master_Produk!$E$1:$E$16,MATCH(Lembar_Kerja_Analisis!A381,Master_Produk!$A$1:$A$16,0))</f>
        <v>240000</v>
      </c>
      <c r="L381" s="8">
        <v>4</v>
      </c>
      <c r="M381" s="19">
        <f t="shared" si="25"/>
        <v>1360000</v>
      </c>
      <c r="N381" s="9">
        <v>0.05</v>
      </c>
      <c r="O381" s="19">
        <f t="shared" si="26"/>
        <v>68000</v>
      </c>
      <c r="P381" s="19">
        <f t="shared" si="27"/>
        <v>1292000</v>
      </c>
      <c r="Q381" s="19">
        <f t="shared" si="28"/>
        <v>960000</v>
      </c>
      <c r="R381" s="19">
        <f t="shared" si="29"/>
        <v>332000</v>
      </c>
    </row>
    <row r="382" spans="1:18" x14ac:dyDescent="0.25">
      <c r="A382" t="str">
        <f>_xlfn.XLOOKUP(C382,Raw_Data_Transaksi!$A$1:$A$1001,Raw_Data_Transaksi!$D$1:$D$1001,,0)</f>
        <v>PRD-103</v>
      </c>
      <c r="B382" t="str">
        <f>_xlfn.XLOOKUP(C382,Raw_Data_Transaksi!$A$1:$A$1001,Raw_Data_Transaksi!$C$1:$C$1001,,0)</f>
        <v>SLS-05</v>
      </c>
      <c r="C382" s="6" t="s">
        <v>466</v>
      </c>
      <c r="D382" s="7">
        <v>45908</v>
      </c>
      <c r="E382" s="10" t="str">
        <f>VLOOKUP(B382,Master_Sales!$A$1:$D$9,2,FALSE)</f>
        <v>Eko Prasetyo</v>
      </c>
      <c r="F382" s="10" t="str">
        <f>INDEX(Master_Sales!$D$1:$D$9,MATCH(Lembar_Kerja_Analisis!B382,Master_Sales!$A$1:$A$9,0))</f>
        <v>Tengah</v>
      </c>
      <c r="G382" s="10" t="str">
        <f>INDEX(Master_Sales!$C$1:$C$9,MATCH(Lembar_Kerja_Analisis!B382,Master_Sales!$A$1:$A$9,0))</f>
        <v>Semarang</v>
      </c>
      <c r="H382" s="10" t="str">
        <f>VLOOKUP(A382,Master_Produk!$A$1:$E$16,2,FALSE)</f>
        <v>Mechanical Keyboard RGB</v>
      </c>
      <c r="I382" s="10" t="str">
        <f>INDEX(Master_Produk!$C$1:$C$16,MATCH(Lembar_Kerja_Analisis!A382,Master_Produk!$A$1:$A$16,0))</f>
        <v>Elektronik</v>
      </c>
      <c r="J382" s="19">
        <f>_xlfn.XLOOKUP(A382,Master_Produk!$A$1:$A$16,Master_Produk!$D$1:$D$16,,0)</f>
        <v>750000</v>
      </c>
      <c r="K382" s="19">
        <f>INDEX(Master_Produk!$E$1:$E$16,MATCH(Lembar_Kerja_Analisis!A382,Master_Produk!$A$1:$A$16,0))</f>
        <v>520000</v>
      </c>
      <c r="L382" s="8">
        <v>11</v>
      </c>
      <c r="M382" s="19">
        <f t="shared" si="25"/>
        <v>8250000</v>
      </c>
      <c r="N382" s="9">
        <v>0.15</v>
      </c>
      <c r="O382" s="19">
        <f t="shared" si="26"/>
        <v>1237500</v>
      </c>
      <c r="P382" s="19">
        <f t="shared" si="27"/>
        <v>7012500</v>
      </c>
      <c r="Q382" s="19">
        <f t="shared" si="28"/>
        <v>5720000</v>
      </c>
      <c r="R382" s="19">
        <f t="shared" si="29"/>
        <v>1292500</v>
      </c>
    </row>
    <row r="383" spans="1:18" x14ac:dyDescent="0.25">
      <c r="A383" t="str">
        <f>_xlfn.XLOOKUP(C383,Raw_Data_Transaksi!$A$1:$A$1001,Raw_Data_Transaksi!$D$1:$D$1001,,0)</f>
        <v>PRD-113</v>
      </c>
      <c r="B383" t="str">
        <f>_xlfn.XLOOKUP(C383,Raw_Data_Transaksi!$A$1:$A$1001,Raw_Data_Transaksi!$C$1:$C$1001,,0)</f>
        <v>SLS-02</v>
      </c>
      <c r="C383" s="6" t="s">
        <v>467</v>
      </c>
      <c r="D383" s="7">
        <v>45982</v>
      </c>
      <c r="E383" s="10" t="str">
        <f>VLOOKUP(B383,Master_Sales!$A$1:$D$9,2,FALSE)</f>
        <v>Budi Santoso</v>
      </c>
      <c r="F383" s="10" t="str">
        <f>INDEX(Master_Sales!$D$1:$D$9,MATCH(Lembar_Kerja_Analisis!B383,Master_Sales!$A$1:$A$9,0))</f>
        <v>Timur</v>
      </c>
      <c r="G383" s="10" t="str">
        <f>INDEX(Master_Sales!$C$1:$C$9,MATCH(Lembar_Kerja_Analisis!B383,Master_Sales!$A$1:$A$9,0))</f>
        <v>Surabaya</v>
      </c>
      <c r="H383" s="10" t="str">
        <f>VLOOKUP(A383,Master_Produk!$A$1:$E$16,2,FALSE)</f>
        <v>Wajan Anti Lengket 28cm</v>
      </c>
      <c r="I383" s="10" t="str">
        <f>INDEX(Master_Produk!$C$1:$C$16,MATCH(Lembar_Kerja_Analisis!A383,Master_Produk!$A$1:$A$16,0))</f>
        <v>Peralatan Rumah</v>
      </c>
      <c r="J383" s="19">
        <f>_xlfn.XLOOKUP(A383,Master_Produk!$A$1:$A$16,Master_Produk!$D$1:$D$16,,0)</f>
        <v>210000</v>
      </c>
      <c r="K383" s="19">
        <f>INDEX(Master_Produk!$E$1:$E$16,MATCH(Lembar_Kerja_Analisis!A383,Master_Produk!$A$1:$A$16,0))</f>
        <v>140000</v>
      </c>
      <c r="L383" s="8">
        <v>7</v>
      </c>
      <c r="M383" s="19">
        <f t="shared" si="25"/>
        <v>1470000</v>
      </c>
      <c r="N383" s="9">
        <v>0.2</v>
      </c>
      <c r="O383" s="19">
        <f t="shared" si="26"/>
        <v>294000</v>
      </c>
      <c r="P383" s="19">
        <f t="shared" si="27"/>
        <v>1176000</v>
      </c>
      <c r="Q383" s="19">
        <f t="shared" si="28"/>
        <v>980000</v>
      </c>
      <c r="R383" s="19">
        <f t="shared" si="29"/>
        <v>196000</v>
      </c>
    </row>
    <row r="384" spans="1:18" x14ac:dyDescent="0.25">
      <c r="A384" t="str">
        <f>_xlfn.XLOOKUP(C384,Raw_Data_Transaksi!$A$1:$A$1001,Raw_Data_Transaksi!$D$1:$D$1001,,0)</f>
        <v>PRD-108</v>
      </c>
      <c r="B384" t="str">
        <f>_xlfn.XLOOKUP(C384,Raw_Data_Transaksi!$A$1:$A$1001,Raw_Data_Transaksi!$C$1:$C$1001,,0)</f>
        <v>SLS-06</v>
      </c>
      <c r="C384" s="6" t="s">
        <v>468</v>
      </c>
      <c r="D384" s="7">
        <v>45890</v>
      </c>
      <c r="E384" s="10" t="str">
        <f>VLOOKUP(B384,Master_Sales!$A$1:$D$9,2,FALSE)</f>
        <v>Fajar Nugraha</v>
      </c>
      <c r="F384" s="10" t="str">
        <f>INDEX(Master_Sales!$D$1:$D$9,MATCH(Lembar_Kerja_Analisis!B384,Master_Sales!$A$1:$A$9,0))</f>
        <v>Timur</v>
      </c>
      <c r="G384" s="10" t="str">
        <f>INDEX(Master_Sales!$C$1:$C$9,MATCH(Lembar_Kerja_Analisis!B384,Master_Sales!$A$1:$A$9,0))</f>
        <v>Makassar</v>
      </c>
      <c r="H384" s="10" t="str">
        <f>VLOOKUP(A384,Master_Produk!$A$1:$E$16,2,FALSE)</f>
        <v>Sepatu Sneakers Pria/Wanita</v>
      </c>
      <c r="I384" s="10" t="str">
        <f>INDEX(Master_Produk!$C$1:$C$16,MATCH(Lembar_Kerja_Analisis!A384,Master_Produk!$A$1:$A$16,0))</f>
        <v>Fashion</v>
      </c>
      <c r="J384" s="19">
        <f>_xlfn.XLOOKUP(A384,Master_Produk!$A$1:$A$16,Master_Produk!$D$1:$D$16,,0)</f>
        <v>450000</v>
      </c>
      <c r="K384" s="19">
        <f>INDEX(Master_Produk!$E$1:$E$16,MATCH(Lembar_Kerja_Analisis!A384,Master_Produk!$A$1:$A$16,0))</f>
        <v>290000</v>
      </c>
      <c r="L384" s="8">
        <v>10</v>
      </c>
      <c r="M384" s="19">
        <f t="shared" si="25"/>
        <v>4500000</v>
      </c>
      <c r="N384" s="9">
        <v>0</v>
      </c>
      <c r="O384" s="19">
        <f t="shared" si="26"/>
        <v>0</v>
      </c>
      <c r="P384" s="19">
        <f t="shared" si="27"/>
        <v>4500000</v>
      </c>
      <c r="Q384" s="19">
        <f t="shared" si="28"/>
        <v>2900000</v>
      </c>
      <c r="R384" s="19">
        <f t="shared" si="29"/>
        <v>1600000</v>
      </c>
    </row>
    <row r="385" spans="1:18" x14ac:dyDescent="0.25">
      <c r="A385" t="str">
        <f>_xlfn.XLOOKUP(C385,Raw_Data_Transaksi!$A$1:$A$1001,Raw_Data_Transaksi!$D$1:$D$1001,,0)</f>
        <v>PRD-111</v>
      </c>
      <c r="B385" t="str">
        <f>_xlfn.XLOOKUP(C385,Raw_Data_Transaksi!$A$1:$A$1001,Raw_Data_Transaksi!$C$1:$C$1001,,0)</f>
        <v>SLS-06</v>
      </c>
      <c r="C385" s="6" t="s">
        <v>469</v>
      </c>
      <c r="D385" s="7">
        <v>45983</v>
      </c>
      <c r="E385" s="10" t="str">
        <f>VLOOKUP(B385,Master_Sales!$A$1:$D$9,2,FALSE)</f>
        <v>Fajar Nugraha</v>
      </c>
      <c r="F385" s="10" t="str">
        <f>INDEX(Master_Sales!$D$1:$D$9,MATCH(Lembar_Kerja_Analisis!B385,Master_Sales!$A$1:$A$9,0))</f>
        <v>Timur</v>
      </c>
      <c r="G385" s="10" t="str">
        <f>INDEX(Master_Sales!$C$1:$C$9,MATCH(Lembar_Kerja_Analisis!B385,Master_Sales!$A$1:$A$9,0))</f>
        <v>Makassar</v>
      </c>
      <c r="H385" s="10" t="str">
        <f>VLOOKUP(A385,Master_Produk!$A$1:$E$16,2,FALSE)</f>
        <v>Beras Premium 5kg</v>
      </c>
      <c r="I385" s="10" t="str">
        <f>INDEX(Master_Produk!$C$1:$C$16,MATCH(Lembar_Kerja_Analisis!A385,Master_Produk!$A$1:$A$16,0))</f>
        <v>F&amp;B</v>
      </c>
      <c r="J385" s="19">
        <f>_xlfn.XLOOKUP(A385,Master_Produk!$A$1:$A$16,Master_Produk!$D$1:$D$16,,0)</f>
        <v>74000</v>
      </c>
      <c r="K385" s="19">
        <f>INDEX(Master_Produk!$E$1:$E$16,MATCH(Lembar_Kerja_Analisis!A385,Master_Produk!$A$1:$A$16,0))</f>
        <v>65000</v>
      </c>
      <c r="L385" s="8">
        <v>28</v>
      </c>
      <c r="M385" s="19">
        <f t="shared" si="25"/>
        <v>2072000</v>
      </c>
      <c r="N385" s="9">
        <v>0.2</v>
      </c>
      <c r="O385" s="19">
        <f t="shared" si="26"/>
        <v>414400</v>
      </c>
      <c r="P385" s="19">
        <f t="shared" si="27"/>
        <v>1657600</v>
      </c>
      <c r="Q385" s="19">
        <f t="shared" si="28"/>
        <v>1820000</v>
      </c>
      <c r="R385" s="19">
        <f t="shared" si="29"/>
        <v>-162400</v>
      </c>
    </row>
    <row r="386" spans="1:18" x14ac:dyDescent="0.25">
      <c r="A386" t="str">
        <f>_xlfn.XLOOKUP(C386,Raw_Data_Transaksi!$A$1:$A$1001,Raw_Data_Transaksi!$D$1:$D$1001,,0)</f>
        <v>PRD-108</v>
      </c>
      <c r="B386" t="str">
        <f>_xlfn.XLOOKUP(C386,Raw_Data_Transaksi!$A$1:$A$1001,Raw_Data_Transaksi!$C$1:$C$1001,,0)</f>
        <v>SLS-05</v>
      </c>
      <c r="C386" s="6" t="s">
        <v>470</v>
      </c>
      <c r="D386" s="7">
        <v>45766</v>
      </c>
      <c r="E386" s="10" t="str">
        <f>VLOOKUP(B386,Master_Sales!$A$1:$D$9,2,FALSE)</f>
        <v>Eko Prasetyo</v>
      </c>
      <c r="F386" s="10" t="str">
        <f>INDEX(Master_Sales!$D$1:$D$9,MATCH(Lembar_Kerja_Analisis!B386,Master_Sales!$A$1:$A$9,0))</f>
        <v>Tengah</v>
      </c>
      <c r="G386" s="10" t="str">
        <f>INDEX(Master_Sales!$C$1:$C$9,MATCH(Lembar_Kerja_Analisis!B386,Master_Sales!$A$1:$A$9,0))</f>
        <v>Semarang</v>
      </c>
      <c r="H386" s="10" t="str">
        <f>VLOOKUP(A386,Master_Produk!$A$1:$E$16,2,FALSE)</f>
        <v>Sepatu Sneakers Pria/Wanita</v>
      </c>
      <c r="I386" s="10" t="str">
        <f>INDEX(Master_Produk!$C$1:$C$16,MATCH(Lembar_Kerja_Analisis!A386,Master_Produk!$A$1:$A$16,0))</f>
        <v>Fashion</v>
      </c>
      <c r="J386" s="19">
        <f>_xlfn.XLOOKUP(A386,Master_Produk!$A$1:$A$16,Master_Produk!$D$1:$D$16,,0)</f>
        <v>450000</v>
      </c>
      <c r="K386" s="19">
        <f>INDEX(Master_Produk!$E$1:$E$16,MATCH(Lembar_Kerja_Analisis!A386,Master_Produk!$A$1:$A$16,0))</f>
        <v>290000</v>
      </c>
      <c r="L386" s="8">
        <v>6</v>
      </c>
      <c r="M386" s="19">
        <f t="shared" si="25"/>
        <v>2700000</v>
      </c>
      <c r="N386" s="9">
        <v>0.1</v>
      </c>
      <c r="O386" s="19">
        <f t="shared" si="26"/>
        <v>270000</v>
      </c>
      <c r="P386" s="19">
        <f t="shared" si="27"/>
        <v>2430000</v>
      </c>
      <c r="Q386" s="19">
        <f t="shared" si="28"/>
        <v>1740000</v>
      </c>
      <c r="R386" s="19">
        <f t="shared" si="29"/>
        <v>690000</v>
      </c>
    </row>
    <row r="387" spans="1:18" x14ac:dyDescent="0.25">
      <c r="A387" t="str">
        <f>_xlfn.XLOOKUP(C387,Raw_Data_Transaksi!$A$1:$A$1001,Raw_Data_Transaksi!$D$1:$D$1001,,0)</f>
        <v>PRD-114</v>
      </c>
      <c r="B387" t="str">
        <f>_xlfn.XLOOKUP(C387,Raw_Data_Transaksi!$A$1:$A$1001,Raw_Data_Transaksi!$C$1:$C$1001,,0)</f>
        <v>SLS-08</v>
      </c>
      <c r="C387" s="6" t="s">
        <v>471</v>
      </c>
      <c r="D387" s="7">
        <v>45947</v>
      </c>
      <c r="E387" s="10" t="str">
        <f>VLOOKUP(B387,Master_Sales!$A$1:$D$9,2,FALSE)</f>
        <v>Hendra Wijaya</v>
      </c>
      <c r="F387" s="10" t="str">
        <f>INDEX(Master_Sales!$D$1:$D$9,MATCH(Lembar_Kerja_Analisis!B387,Master_Sales!$A$1:$A$9,0))</f>
        <v>Tengah</v>
      </c>
      <c r="G387" s="10" t="str">
        <f>INDEX(Master_Sales!$C$1:$C$9,MATCH(Lembar_Kerja_Analisis!B387,Master_Sales!$A$1:$A$9,0))</f>
        <v>Yogyakarta</v>
      </c>
      <c r="H387" s="10" t="str">
        <f>VLOOKUP(A387,Master_Produk!$A$1:$E$16,2,FALSE)</f>
        <v>Blender Multifungsi 2-in-1</v>
      </c>
      <c r="I387" s="10" t="str">
        <f>INDEX(Master_Produk!$C$1:$C$16,MATCH(Lembar_Kerja_Analisis!A387,Master_Produk!$A$1:$A$16,0))</f>
        <v>Peralatan Rumah</v>
      </c>
      <c r="J387" s="19">
        <f>_xlfn.XLOOKUP(A387,Master_Produk!$A$1:$A$16,Master_Produk!$D$1:$D$16,,0)</f>
        <v>340000</v>
      </c>
      <c r="K387" s="19">
        <f>INDEX(Master_Produk!$E$1:$E$16,MATCH(Lembar_Kerja_Analisis!A387,Master_Produk!$A$1:$A$16,0))</f>
        <v>240000</v>
      </c>
      <c r="L387" s="8">
        <v>6</v>
      </c>
      <c r="M387" s="19">
        <f t="shared" ref="M387:M450" si="30">L387*J387</f>
        <v>2040000</v>
      </c>
      <c r="N387" s="9">
        <v>0</v>
      </c>
      <c r="O387" s="19">
        <f t="shared" ref="O387:O450" si="31">M387*N387</f>
        <v>0</v>
      </c>
      <c r="P387" s="19">
        <f t="shared" ref="P387:P450" si="32">M387-O387</f>
        <v>2040000</v>
      </c>
      <c r="Q387" s="19">
        <f t="shared" ref="Q387:Q450" si="33">L387*K387</f>
        <v>1440000</v>
      </c>
      <c r="R387" s="19">
        <f t="shared" ref="R387:R450" si="34">P387-Q387</f>
        <v>600000</v>
      </c>
    </row>
    <row r="388" spans="1:18" x14ac:dyDescent="0.25">
      <c r="A388" t="str">
        <f>_xlfn.XLOOKUP(C388,Raw_Data_Transaksi!$A$1:$A$1001,Raw_Data_Transaksi!$D$1:$D$1001,,0)</f>
        <v>PRD-102</v>
      </c>
      <c r="B388" t="str">
        <f>_xlfn.XLOOKUP(C388,Raw_Data_Transaksi!$A$1:$A$1001,Raw_Data_Transaksi!$C$1:$C$1001,,0)</f>
        <v>SLS-03</v>
      </c>
      <c r="C388" s="6" t="s">
        <v>472</v>
      </c>
      <c r="D388" s="7">
        <v>45666</v>
      </c>
      <c r="E388" s="10" t="str">
        <f>VLOOKUP(B388,Master_Sales!$A$1:$D$9,2,FALSE)</f>
        <v>Citra Lestari</v>
      </c>
      <c r="F388" s="10" t="str">
        <f>INDEX(Master_Sales!$D$1:$D$9,MATCH(Lembar_Kerja_Analisis!B388,Master_Sales!$A$1:$A$9,0))</f>
        <v>Barat</v>
      </c>
      <c r="G388" s="10" t="str">
        <f>INDEX(Master_Sales!$C$1:$C$9,MATCH(Lembar_Kerja_Analisis!B388,Master_Sales!$A$1:$A$9,0))</f>
        <v>Bandung</v>
      </c>
      <c r="H388" s="10" t="str">
        <f>VLOOKUP(A388,Master_Produk!$A$1:$E$16,2,FALSE)</f>
        <v>Wireless Mouse Ergonomic</v>
      </c>
      <c r="I388" s="10" t="str">
        <f>INDEX(Master_Produk!$C$1:$C$16,MATCH(Lembar_Kerja_Analisis!A388,Master_Produk!$A$1:$A$16,0))</f>
        <v>Elektronik</v>
      </c>
      <c r="J388" s="19">
        <f>_xlfn.XLOOKUP(A388,Master_Produk!$A$1:$A$16,Master_Produk!$D$1:$D$16,,0)</f>
        <v>250000</v>
      </c>
      <c r="K388" s="19">
        <f>INDEX(Master_Produk!$E$1:$E$16,MATCH(Lembar_Kerja_Analisis!A388,Master_Produk!$A$1:$A$16,0))</f>
        <v>160000</v>
      </c>
      <c r="L388" s="8">
        <v>8</v>
      </c>
      <c r="M388" s="19">
        <f t="shared" si="30"/>
        <v>2000000</v>
      </c>
      <c r="N388" s="9">
        <v>0.15</v>
      </c>
      <c r="O388" s="19">
        <f t="shared" si="31"/>
        <v>300000</v>
      </c>
      <c r="P388" s="19">
        <f t="shared" si="32"/>
        <v>1700000</v>
      </c>
      <c r="Q388" s="19">
        <f t="shared" si="33"/>
        <v>1280000</v>
      </c>
      <c r="R388" s="19">
        <f t="shared" si="34"/>
        <v>420000</v>
      </c>
    </row>
    <row r="389" spans="1:18" x14ac:dyDescent="0.25">
      <c r="A389" t="str">
        <f>_xlfn.XLOOKUP(C389,Raw_Data_Transaksi!$A$1:$A$1001,Raw_Data_Transaksi!$D$1:$D$1001,,0)</f>
        <v>PRD-115</v>
      </c>
      <c r="B389" t="str">
        <f>_xlfn.XLOOKUP(C389,Raw_Data_Transaksi!$A$1:$A$1001,Raw_Data_Transaksi!$C$1:$C$1001,,0)</f>
        <v>SLS-03</v>
      </c>
      <c r="C389" s="6" t="s">
        <v>473</v>
      </c>
      <c r="D389" s="7">
        <v>46010</v>
      </c>
      <c r="E389" s="10" t="str">
        <f>VLOOKUP(B389,Master_Sales!$A$1:$D$9,2,FALSE)</f>
        <v>Citra Lestari</v>
      </c>
      <c r="F389" s="10" t="str">
        <f>INDEX(Master_Sales!$D$1:$D$9,MATCH(Lembar_Kerja_Analisis!B389,Master_Sales!$A$1:$A$9,0))</f>
        <v>Barat</v>
      </c>
      <c r="G389" s="10" t="str">
        <f>INDEX(Master_Sales!$C$1:$C$9,MATCH(Lembar_Kerja_Analisis!B389,Master_Sales!$A$1:$A$9,0))</f>
        <v>Bandung</v>
      </c>
      <c r="H389" s="10" t="str">
        <f>VLOOKUP(A389,Master_Produk!$A$1:$E$16,2,FALSE)</f>
        <v>Set Pisau Dapur Stainless</v>
      </c>
      <c r="I389" s="10" t="str">
        <f>INDEX(Master_Produk!$C$1:$C$16,MATCH(Lembar_Kerja_Analisis!A389,Master_Produk!$A$1:$A$16,0))</f>
        <v>Peralatan Rumah</v>
      </c>
      <c r="J389" s="19">
        <f>_xlfn.XLOOKUP(A389,Master_Produk!$A$1:$A$16,Master_Produk!$D$1:$D$16,,0)</f>
        <v>165000</v>
      </c>
      <c r="K389" s="19">
        <f>INDEX(Master_Produk!$E$1:$E$16,MATCH(Lembar_Kerja_Analisis!A389,Master_Produk!$A$1:$A$16,0))</f>
        <v>105000</v>
      </c>
      <c r="L389" s="8">
        <v>11</v>
      </c>
      <c r="M389" s="19">
        <f t="shared" si="30"/>
        <v>1815000</v>
      </c>
      <c r="N389" s="9">
        <v>0.1</v>
      </c>
      <c r="O389" s="19">
        <f t="shared" si="31"/>
        <v>181500</v>
      </c>
      <c r="P389" s="19">
        <f t="shared" si="32"/>
        <v>1633500</v>
      </c>
      <c r="Q389" s="19">
        <f t="shared" si="33"/>
        <v>1155000</v>
      </c>
      <c r="R389" s="19">
        <f t="shared" si="34"/>
        <v>478500</v>
      </c>
    </row>
    <row r="390" spans="1:18" x14ac:dyDescent="0.25">
      <c r="A390" t="str">
        <f>_xlfn.XLOOKUP(C390,Raw_Data_Transaksi!$A$1:$A$1001,Raw_Data_Transaksi!$D$1:$D$1001,,0)</f>
        <v>PRD-106</v>
      </c>
      <c r="B390" t="str">
        <f>_xlfn.XLOOKUP(C390,Raw_Data_Transaksi!$A$1:$A$1001,Raw_Data_Transaksi!$C$1:$C$1001,,0)</f>
        <v>SLS-05</v>
      </c>
      <c r="C390" s="6" t="s">
        <v>474</v>
      </c>
      <c r="D390" s="7">
        <v>45993</v>
      </c>
      <c r="E390" s="10" t="str">
        <f>VLOOKUP(B390,Master_Sales!$A$1:$D$9,2,FALSE)</f>
        <v>Eko Prasetyo</v>
      </c>
      <c r="F390" s="10" t="str">
        <f>INDEX(Master_Sales!$D$1:$D$9,MATCH(Lembar_Kerja_Analisis!B390,Master_Sales!$A$1:$A$9,0))</f>
        <v>Tengah</v>
      </c>
      <c r="G390" s="10" t="str">
        <f>INDEX(Master_Sales!$C$1:$C$9,MATCH(Lembar_Kerja_Analisis!B390,Master_Sales!$A$1:$A$9,0))</f>
        <v>Semarang</v>
      </c>
      <c r="H390" s="10" t="str">
        <f>VLOOKUP(A390,Master_Produk!$A$1:$E$16,2,FALSE)</f>
        <v>Celana Chino Slim Fit</v>
      </c>
      <c r="I390" s="10" t="str">
        <f>INDEX(Master_Produk!$C$1:$C$16,MATCH(Lembar_Kerja_Analisis!A390,Master_Produk!$A$1:$A$16,0))</f>
        <v>Fashion</v>
      </c>
      <c r="J390" s="19">
        <f>_xlfn.XLOOKUP(A390,Master_Produk!$A$1:$A$16,Master_Produk!$D$1:$D$16,,0)</f>
        <v>280000</v>
      </c>
      <c r="K390" s="19">
        <f>INDEX(Master_Produk!$E$1:$E$16,MATCH(Lembar_Kerja_Analisis!A390,Master_Produk!$A$1:$A$16,0))</f>
        <v>175000</v>
      </c>
      <c r="L390" s="8">
        <v>2</v>
      </c>
      <c r="M390" s="19">
        <f t="shared" si="30"/>
        <v>560000</v>
      </c>
      <c r="N390" s="9">
        <v>0.1</v>
      </c>
      <c r="O390" s="19">
        <f t="shared" si="31"/>
        <v>56000</v>
      </c>
      <c r="P390" s="19">
        <f t="shared" si="32"/>
        <v>504000</v>
      </c>
      <c r="Q390" s="19">
        <f t="shared" si="33"/>
        <v>350000</v>
      </c>
      <c r="R390" s="19">
        <f t="shared" si="34"/>
        <v>154000</v>
      </c>
    </row>
    <row r="391" spans="1:18" x14ac:dyDescent="0.25">
      <c r="A391" t="str">
        <f>_xlfn.XLOOKUP(C391,Raw_Data_Transaksi!$A$1:$A$1001,Raw_Data_Transaksi!$D$1:$D$1001,,0)</f>
        <v>PRD-105</v>
      </c>
      <c r="B391" t="str">
        <f>_xlfn.XLOOKUP(C391,Raw_Data_Transaksi!$A$1:$A$1001,Raw_Data_Transaksi!$C$1:$C$1001,,0)</f>
        <v>SLS-04</v>
      </c>
      <c r="C391" s="6" t="s">
        <v>475</v>
      </c>
      <c r="D391" s="7">
        <v>45978</v>
      </c>
      <c r="E391" s="10" t="str">
        <f>VLOOKUP(B391,Master_Sales!$A$1:$D$9,2,FALSE)</f>
        <v>Dewi Anggraini</v>
      </c>
      <c r="F391" s="10" t="str">
        <f>INDEX(Master_Sales!$D$1:$D$9,MATCH(Lembar_Kerja_Analisis!B391,Master_Sales!$A$1:$A$9,0))</f>
        <v>Barat</v>
      </c>
      <c r="G391" s="10" t="str">
        <f>INDEX(Master_Sales!$C$1:$C$9,MATCH(Lembar_Kerja_Analisis!B391,Master_Sales!$A$1:$A$9,0))</f>
        <v>Medan</v>
      </c>
      <c r="H391" s="10" t="str">
        <f>VLOOKUP(A391,Master_Produk!$A$1:$E$16,2,FALSE)</f>
        <v>Kemeja Batik Katun Premium</v>
      </c>
      <c r="I391" s="10" t="str">
        <f>INDEX(Master_Produk!$C$1:$C$16,MATCH(Lembar_Kerja_Analisis!A391,Master_Produk!$A$1:$A$16,0))</f>
        <v>Fashion</v>
      </c>
      <c r="J391" s="19">
        <f>_xlfn.XLOOKUP(A391,Master_Produk!$A$1:$A$16,Master_Produk!$D$1:$D$16,,0)</f>
        <v>320000</v>
      </c>
      <c r="K391" s="19">
        <f>INDEX(Master_Produk!$E$1:$E$16,MATCH(Lembar_Kerja_Analisis!A391,Master_Produk!$A$1:$A$16,0))</f>
        <v>190000</v>
      </c>
      <c r="L391" s="8">
        <v>7</v>
      </c>
      <c r="M391" s="19">
        <f t="shared" si="30"/>
        <v>2240000</v>
      </c>
      <c r="N391" s="9">
        <v>0</v>
      </c>
      <c r="O391" s="19">
        <f t="shared" si="31"/>
        <v>0</v>
      </c>
      <c r="P391" s="19">
        <f t="shared" si="32"/>
        <v>2240000</v>
      </c>
      <c r="Q391" s="19">
        <f t="shared" si="33"/>
        <v>1330000</v>
      </c>
      <c r="R391" s="19">
        <f t="shared" si="34"/>
        <v>910000</v>
      </c>
    </row>
    <row r="392" spans="1:18" x14ac:dyDescent="0.25">
      <c r="A392" t="str">
        <f>_xlfn.XLOOKUP(C392,Raw_Data_Transaksi!$A$1:$A$1001,Raw_Data_Transaksi!$D$1:$D$1001,,0)</f>
        <v>PRD-102</v>
      </c>
      <c r="B392" t="str">
        <f>_xlfn.XLOOKUP(C392,Raw_Data_Transaksi!$A$1:$A$1001,Raw_Data_Transaksi!$C$1:$C$1001,,0)</f>
        <v>SLS-03</v>
      </c>
      <c r="C392" s="6" t="s">
        <v>476</v>
      </c>
      <c r="D392" s="7">
        <v>45902</v>
      </c>
      <c r="E392" s="10" t="str">
        <f>VLOOKUP(B392,Master_Sales!$A$1:$D$9,2,FALSE)</f>
        <v>Citra Lestari</v>
      </c>
      <c r="F392" s="10" t="str">
        <f>INDEX(Master_Sales!$D$1:$D$9,MATCH(Lembar_Kerja_Analisis!B392,Master_Sales!$A$1:$A$9,0))</f>
        <v>Barat</v>
      </c>
      <c r="G392" s="10" t="str">
        <f>INDEX(Master_Sales!$C$1:$C$9,MATCH(Lembar_Kerja_Analisis!B392,Master_Sales!$A$1:$A$9,0))</f>
        <v>Bandung</v>
      </c>
      <c r="H392" s="10" t="str">
        <f>VLOOKUP(A392,Master_Produk!$A$1:$E$16,2,FALSE)</f>
        <v>Wireless Mouse Ergonomic</v>
      </c>
      <c r="I392" s="10" t="str">
        <f>INDEX(Master_Produk!$C$1:$C$16,MATCH(Lembar_Kerja_Analisis!A392,Master_Produk!$A$1:$A$16,0))</f>
        <v>Elektronik</v>
      </c>
      <c r="J392" s="19">
        <f>_xlfn.XLOOKUP(A392,Master_Produk!$A$1:$A$16,Master_Produk!$D$1:$D$16,,0)</f>
        <v>250000</v>
      </c>
      <c r="K392" s="19">
        <f>INDEX(Master_Produk!$E$1:$E$16,MATCH(Lembar_Kerja_Analisis!A392,Master_Produk!$A$1:$A$16,0))</f>
        <v>160000</v>
      </c>
      <c r="L392" s="8">
        <v>10</v>
      </c>
      <c r="M392" s="19">
        <f t="shared" si="30"/>
        <v>2500000</v>
      </c>
      <c r="N392" s="9">
        <v>0.05</v>
      </c>
      <c r="O392" s="19">
        <f t="shared" si="31"/>
        <v>125000</v>
      </c>
      <c r="P392" s="19">
        <f t="shared" si="32"/>
        <v>2375000</v>
      </c>
      <c r="Q392" s="19">
        <f t="shared" si="33"/>
        <v>1600000</v>
      </c>
      <c r="R392" s="19">
        <f t="shared" si="34"/>
        <v>775000</v>
      </c>
    </row>
    <row r="393" spans="1:18" x14ac:dyDescent="0.25">
      <c r="A393" t="str">
        <f>_xlfn.XLOOKUP(C393,Raw_Data_Transaksi!$A$1:$A$1001,Raw_Data_Transaksi!$D$1:$D$1001,,0)</f>
        <v>PRD-106</v>
      </c>
      <c r="B393" t="str">
        <f>_xlfn.XLOOKUP(C393,Raw_Data_Transaksi!$A$1:$A$1001,Raw_Data_Transaksi!$C$1:$C$1001,,0)</f>
        <v>SLS-02</v>
      </c>
      <c r="C393" s="6" t="s">
        <v>477</v>
      </c>
      <c r="D393" s="7">
        <v>46014</v>
      </c>
      <c r="E393" s="10" t="str">
        <f>VLOOKUP(B393,Master_Sales!$A$1:$D$9,2,FALSE)</f>
        <v>Budi Santoso</v>
      </c>
      <c r="F393" s="10" t="str">
        <f>INDEX(Master_Sales!$D$1:$D$9,MATCH(Lembar_Kerja_Analisis!B393,Master_Sales!$A$1:$A$9,0))</f>
        <v>Timur</v>
      </c>
      <c r="G393" s="10" t="str">
        <f>INDEX(Master_Sales!$C$1:$C$9,MATCH(Lembar_Kerja_Analisis!B393,Master_Sales!$A$1:$A$9,0))</f>
        <v>Surabaya</v>
      </c>
      <c r="H393" s="10" t="str">
        <f>VLOOKUP(A393,Master_Produk!$A$1:$E$16,2,FALSE)</f>
        <v>Celana Chino Slim Fit</v>
      </c>
      <c r="I393" s="10" t="str">
        <f>INDEX(Master_Produk!$C$1:$C$16,MATCH(Lembar_Kerja_Analisis!A393,Master_Produk!$A$1:$A$16,0))</f>
        <v>Fashion</v>
      </c>
      <c r="J393" s="19">
        <f>_xlfn.XLOOKUP(A393,Master_Produk!$A$1:$A$16,Master_Produk!$D$1:$D$16,,0)</f>
        <v>280000</v>
      </c>
      <c r="K393" s="19">
        <f>INDEX(Master_Produk!$E$1:$E$16,MATCH(Lembar_Kerja_Analisis!A393,Master_Produk!$A$1:$A$16,0))</f>
        <v>175000</v>
      </c>
      <c r="L393" s="8">
        <v>7</v>
      </c>
      <c r="M393" s="19">
        <f t="shared" si="30"/>
        <v>1960000</v>
      </c>
      <c r="N393" s="9">
        <v>0.05</v>
      </c>
      <c r="O393" s="19">
        <f t="shared" si="31"/>
        <v>98000</v>
      </c>
      <c r="P393" s="19">
        <f t="shared" si="32"/>
        <v>1862000</v>
      </c>
      <c r="Q393" s="19">
        <f t="shared" si="33"/>
        <v>1225000</v>
      </c>
      <c r="R393" s="19">
        <f t="shared" si="34"/>
        <v>637000</v>
      </c>
    </row>
    <row r="394" spans="1:18" x14ac:dyDescent="0.25">
      <c r="A394" t="str">
        <f>_xlfn.XLOOKUP(C394,Raw_Data_Transaksi!$A$1:$A$1001,Raw_Data_Transaksi!$D$1:$D$1001,,0)</f>
        <v>PRD-102</v>
      </c>
      <c r="B394" t="str">
        <f>_xlfn.XLOOKUP(C394,Raw_Data_Transaksi!$A$1:$A$1001,Raw_Data_Transaksi!$C$1:$C$1001,,0)</f>
        <v>SLS-02</v>
      </c>
      <c r="C394" s="6" t="s">
        <v>478</v>
      </c>
      <c r="D394" s="7">
        <v>45854</v>
      </c>
      <c r="E394" s="10" t="str">
        <f>VLOOKUP(B394,Master_Sales!$A$1:$D$9,2,FALSE)</f>
        <v>Budi Santoso</v>
      </c>
      <c r="F394" s="10" t="str">
        <f>INDEX(Master_Sales!$D$1:$D$9,MATCH(Lembar_Kerja_Analisis!B394,Master_Sales!$A$1:$A$9,0))</f>
        <v>Timur</v>
      </c>
      <c r="G394" s="10" t="str">
        <f>INDEX(Master_Sales!$C$1:$C$9,MATCH(Lembar_Kerja_Analisis!B394,Master_Sales!$A$1:$A$9,0))</f>
        <v>Surabaya</v>
      </c>
      <c r="H394" s="10" t="str">
        <f>VLOOKUP(A394,Master_Produk!$A$1:$E$16,2,FALSE)</f>
        <v>Wireless Mouse Ergonomic</v>
      </c>
      <c r="I394" s="10" t="str">
        <f>INDEX(Master_Produk!$C$1:$C$16,MATCH(Lembar_Kerja_Analisis!A394,Master_Produk!$A$1:$A$16,0))</f>
        <v>Elektronik</v>
      </c>
      <c r="J394" s="19">
        <f>_xlfn.XLOOKUP(A394,Master_Produk!$A$1:$A$16,Master_Produk!$D$1:$D$16,,0)</f>
        <v>250000</v>
      </c>
      <c r="K394" s="19">
        <f>INDEX(Master_Produk!$E$1:$E$16,MATCH(Lembar_Kerja_Analisis!A394,Master_Produk!$A$1:$A$16,0))</f>
        <v>160000</v>
      </c>
      <c r="L394" s="8">
        <v>2</v>
      </c>
      <c r="M394" s="19">
        <f t="shared" si="30"/>
        <v>500000</v>
      </c>
      <c r="N394" s="9">
        <v>0.1</v>
      </c>
      <c r="O394" s="19">
        <f t="shared" si="31"/>
        <v>50000</v>
      </c>
      <c r="P394" s="19">
        <f t="shared" si="32"/>
        <v>450000</v>
      </c>
      <c r="Q394" s="19">
        <f t="shared" si="33"/>
        <v>320000</v>
      </c>
      <c r="R394" s="19">
        <f t="shared" si="34"/>
        <v>130000</v>
      </c>
    </row>
    <row r="395" spans="1:18" x14ac:dyDescent="0.25">
      <c r="A395" t="str">
        <f>_xlfn.XLOOKUP(C395,Raw_Data_Transaksi!$A$1:$A$1001,Raw_Data_Transaksi!$D$1:$D$1001,,0)</f>
        <v>PRD-113</v>
      </c>
      <c r="B395" t="str">
        <f>_xlfn.XLOOKUP(C395,Raw_Data_Transaksi!$A$1:$A$1001,Raw_Data_Transaksi!$C$1:$C$1001,,0)</f>
        <v>SLS-03</v>
      </c>
      <c r="C395" s="6" t="s">
        <v>479</v>
      </c>
      <c r="D395" s="7">
        <v>45853</v>
      </c>
      <c r="E395" s="10" t="str">
        <f>VLOOKUP(B395,Master_Sales!$A$1:$D$9,2,FALSE)</f>
        <v>Citra Lestari</v>
      </c>
      <c r="F395" s="10" t="str">
        <f>INDEX(Master_Sales!$D$1:$D$9,MATCH(Lembar_Kerja_Analisis!B395,Master_Sales!$A$1:$A$9,0))</f>
        <v>Barat</v>
      </c>
      <c r="G395" s="10" t="str">
        <f>INDEX(Master_Sales!$C$1:$C$9,MATCH(Lembar_Kerja_Analisis!B395,Master_Sales!$A$1:$A$9,0))</f>
        <v>Bandung</v>
      </c>
      <c r="H395" s="10" t="str">
        <f>VLOOKUP(A395,Master_Produk!$A$1:$E$16,2,FALSE)</f>
        <v>Wajan Anti Lengket 28cm</v>
      </c>
      <c r="I395" s="10" t="str">
        <f>INDEX(Master_Produk!$C$1:$C$16,MATCH(Lembar_Kerja_Analisis!A395,Master_Produk!$A$1:$A$16,0))</f>
        <v>Peralatan Rumah</v>
      </c>
      <c r="J395" s="19">
        <f>_xlfn.XLOOKUP(A395,Master_Produk!$A$1:$A$16,Master_Produk!$D$1:$D$16,,0)</f>
        <v>210000</v>
      </c>
      <c r="K395" s="19">
        <f>INDEX(Master_Produk!$E$1:$E$16,MATCH(Lembar_Kerja_Analisis!A395,Master_Produk!$A$1:$A$16,0))</f>
        <v>140000</v>
      </c>
      <c r="L395" s="8">
        <v>11</v>
      </c>
      <c r="M395" s="19">
        <f t="shared" si="30"/>
        <v>2310000</v>
      </c>
      <c r="N395" s="9">
        <v>0.05</v>
      </c>
      <c r="O395" s="19">
        <f t="shared" si="31"/>
        <v>115500</v>
      </c>
      <c r="P395" s="19">
        <f t="shared" si="32"/>
        <v>2194500</v>
      </c>
      <c r="Q395" s="19">
        <f t="shared" si="33"/>
        <v>1540000</v>
      </c>
      <c r="R395" s="19">
        <f t="shared" si="34"/>
        <v>654500</v>
      </c>
    </row>
    <row r="396" spans="1:18" x14ac:dyDescent="0.25">
      <c r="A396" t="str">
        <f>_xlfn.XLOOKUP(C396,Raw_Data_Transaksi!$A$1:$A$1001,Raw_Data_Transaksi!$D$1:$D$1001,,0)</f>
        <v>PRD-111</v>
      </c>
      <c r="B396" t="str">
        <f>_xlfn.XLOOKUP(C396,Raw_Data_Transaksi!$A$1:$A$1001,Raw_Data_Transaksi!$C$1:$C$1001,,0)</f>
        <v>SLS-03</v>
      </c>
      <c r="C396" s="6" t="s">
        <v>480</v>
      </c>
      <c r="D396" s="7">
        <v>45970</v>
      </c>
      <c r="E396" s="10" t="str">
        <f>VLOOKUP(B396,Master_Sales!$A$1:$D$9,2,FALSE)</f>
        <v>Citra Lestari</v>
      </c>
      <c r="F396" s="10" t="str">
        <f>INDEX(Master_Sales!$D$1:$D$9,MATCH(Lembar_Kerja_Analisis!B396,Master_Sales!$A$1:$A$9,0))</f>
        <v>Barat</v>
      </c>
      <c r="G396" s="10" t="str">
        <f>INDEX(Master_Sales!$C$1:$C$9,MATCH(Lembar_Kerja_Analisis!B396,Master_Sales!$A$1:$A$9,0))</f>
        <v>Bandung</v>
      </c>
      <c r="H396" s="10" t="str">
        <f>VLOOKUP(A396,Master_Produk!$A$1:$E$16,2,FALSE)</f>
        <v>Beras Premium 5kg</v>
      </c>
      <c r="I396" s="10" t="str">
        <f>INDEX(Master_Produk!$C$1:$C$16,MATCH(Lembar_Kerja_Analisis!A396,Master_Produk!$A$1:$A$16,0))</f>
        <v>F&amp;B</v>
      </c>
      <c r="J396" s="19">
        <f>_xlfn.XLOOKUP(A396,Master_Produk!$A$1:$A$16,Master_Produk!$D$1:$D$16,,0)</f>
        <v>74000</v>
      </c>
      <c r="K396" s="19">
        <f>INDEX(Master_Produk!$E$1:$E$16,MATCH(Lembar_Kerja_Analisis!A396,Master_Produk!$A$1:$A$16,0))</f>
        <v>65000</v>
      </c>
      <c r="L396" s="8">
        <v>14</v>
      </c>
      <c r="M396" s="19">
        <f t="shared" si="30"/>
        <v>1036000</v>
      </c>
      <c r="N396" s="9">
        <v>0.05</v>
      </c>
      <c r="O396" s="19">
        <f t="shared" si="31"/>
        <v>51800</v>
      </c>
      <c r="P396" s="19">
        <f t="shared" si="32"/>
        <v>984200</v>
      </c>
      <c r="Q396" s="19">
        <f t="shared" si="33"/>
        <v>910000</v>
      </c>
      <c r="R396" s="19">
        <f t="shared" si="34"/>
        <v>74200</v>
      </c>
    </row>
    <row r="397" spans="1:18" x14ac:dyDescent="0.25">
      <c r="A397" t="str">
        <f>_xlfn.XLOOKUP(C397,Raw_Data_Transaksi!$A$1:$A$1001,Raw_Data_Transaksi!$D$1:$D$1001,,0)</f>
        <v>PRD-102</v>
      </c>
      <c r="B397" t="str">
        <f>_xlfn.XLOOKUP(C397,Raw_Data_Transaksi!$A$1:$A$1001,Raw_Data_Transaksi!$C$1:$C$1001,,0)</f>
        <v>SLS-02</v>
      </c>
      <c r="C397" s="6" t="s">
        <v>481</v>
      </c>
      <c r="D397" s="7">
        <v>45769</v>
      </c>
      <c r="E397" s="10" t="str">
        <f>VLOOKUP(B397,Master_Sales!$A$1:$D$9,2,FALSE)</f>
        <v>Budi Santoso</v>
      </c>
      <c r="F397" s="10" t="str">
        <f>INDEX(Master_Sales!$D$1:$D$9,MATCH(Lembar_Kerja_Analisis!B397,Master_Sales!$A$1:$A$9,0))</f>
        <v>Timur</v>
      </c>
      <c r="G397" s="10" t="str">
        <f>INDEX(Master_Sales!$C$1:$C$9,MATCH(Lembar_Kerja_Analisis!B397,Master_Sales!$A$1:$A$9,0))</f>
        <v>Surabaya</v>
      </c>
      <c r="H397" s="10" t="str">
        <f>VLOOKUP(A397,Master_Produk!$A$1:$E$16,2,FALSE)</f>
        <v>Wireless Mouse Ergonomic</v>
      </c>
      <c r="I397" s="10" t="str">
        <f>INDEX(Master_Produk!$C$1:$C$16,MATCH(Lembar_Kerja_Analisis!A397,Master_Produk!$A$1:$A$16,0))</f>
        <v>Elektronik</v>
      </c>
      <c r="J397" s="19">
        <f>_xlfn.XLOOKUP(A397,Master_Produk!$A$1:$A$16,Master_Produk!$D$1:$D$16,,0)</f>
        <v>250000</v>
      </c>
      <c r="K397" s="19">
        <f>INDEX(Master_Produk!$E$1:$E$16,MATCH(Lembar_Kerja_Analisis!A397,Master_Produk!$A$1:$A$16,0))</f>
        <v>160000</v>
      </c>
      <c r="L397" s="8">
        <v>3</v>
      </c>
      <c r="M397" s="19">
        <f t="shared" si="30"/>
        <v>750000</v>
      </c>
      <c r="N397" s="9">
        <v>0</v>
      </c>
      <c r="O397" s="19">
        <f t="shared" si="31"/>
        <v>0</v>
      </c>
      <c r="P397" s="19">
        <f t="shared" si="32"/>
        <v>750000</v>
      </c>
      <c r="Q397" s="19">
        <f t="shared" si="33"/>
        <v>480000</v>
      </c>
      <c r="R397" s="19">
        <f t="shared" si="34"/>
        <v>270000</v>
      </c>
    </row>
    <row r="398" spans="1:18" x14ac:dyDescent="0.25">
      <c r="A398" t="str">
        <f>_xlfn.XLOOKUP(C398,Raw_Data_Transaksi!$A$1:$A$1001,Raw_Data_Transaksi!$D$1:$D$1001,,0)</f>
        <v>PRD-113</v>
      </c>
      <c r="B398" t="str">
        <f>_xlfn.XLOOKUP(C398,Raw_Data_Transaksi!$A$1:$A$1001,Raw_Data_Transaksi!$C$1:$C$1001,,0)</f>
        <v>SLS-03</v>
      </c>
      <c r="C398" s="6" t="s">
        <v>482</v>
      </c>
      <c r="D398" s="7">
        <v>45819</v>
      </c>
      <c r="E398" s="10" t="str">
        <f>VLOOKUP(B398,Master_Sales!$A$1:$D$9,2,FALSE)</f>
        <v>Citra Lestari</v>
      </c>
      <c r="F398" s="10" t="str">
        <f>INDEX(Master_Sales!$D$1:$D$9,MATCH(Lembar_Kerja_Analisis!B398,Master_Sales!$A$1:$A$9,0))</f>
        <v>Barat</v>
      </c>
      <c r="G398" s="10" t="str">
        <f>INDEX(Master_Sales!$C$1:$C$9,MATCH(Lembar_Kerja_Analisis!B398,Master_Sales!$A$1:$A$9,0))</f>
        <v>Bandung</v>
      </c>
      <c r="H398" s="10" t="str">
        <f>VLOOKUP(A398,Master_Produk!$A$1:$E$16,2,FALSE)</f>
        <v>Wajan Anti Lengket 28cm</v>
      </c>
      <c r="I398" s="10" t="str">
        <f>INDEX(Master_Produk!$C$1:$C$16,MATCH(Lembar_Kerja_Analisis!A398,Master_Produk!$A$1:$A$16,0))</f>
        <v>Peralatan Rumah</v>
      </c>
      <c r="J398" s="19">
        <f>_xlfn.XLOOKUP(A398,Master_Produk!$A$1:$A$16,Master_Produk!$D$1:$D$16,,0)</f>
        <v>210000</v>
      </c>
      <c r="K398" s="19">
        <f>INDEX(Master_Produk!$E$1:$E$16,MATCH(Lembar_Kerja_Analisis!A398,Master_Produk!$A$1:$A$16,0))</f>
        <v>140000</v>
      </c>
      <c r="L398" s="8">
        <v>4</v>
      </c>
      <c r="M398" s="19">
        <f t="shared" si="30"/>
        <v>840000</v>
      </c>
      <c r="N398" s="9">
        <v>0.1</v>
      </c>
      <c r="O398" s="19">
        <f t="shared" si="31"/>
        <v>84000</v>
      </c>
      <c r="P398" s="19">
        <f t="shared" si="32"/>
        <v>756000</v>
      </c>
      <c r="Q398" s="19">
        <f t="shared" si="33"/>
        <v>560000</v>
      </c>
      <c r="R398" s="19">
        <f t="shared" si="34"/>
        <v>196000</v>
      </c>
    </row>
    <row r="399" spans="1:18" x14ac:dyDescent="0.25">
      <c r="A399" t="str">
        <f>_xlfn.XLOOKUP(C399,Raw_Data_Transaksi!$A$1:$A$1001,Raw_Data_Transaksi!$D$1:$D$1001,,0)</f>
        <v>PRD-101</v>
      </c>
      <c r="B399" t="str">
        <f>_xlfn.XLOOKUP(C399,Raw_Data_Transaksi!$A$1:$A$1001,Raw_Data_Transaksi!$C$1:$C$1001,,0)</f>
        <v>SLS-05</v>
      </c>
      <c r="C399" s="6" t="s">
        <v>483</v>
      </c>
      <c r="D399" s="7">
        <v>46011</v>
      </c>
      <c r="E399" s="10" t="str">
        <f>VLOOKUP(B399,Master_Sales!$A$1:$D$9,2,FALSE)</f>
        <v>Eko Prasetyo</v>
      </c>
      <c r="F399" s="10" t="str">
        <f>INDEX(Master_Sales!$D$1:$D$9,MATCH(Lembar_Kerja_Analisis!B399,Master_Sales!$A$1:$A$9,0))</f>
        <v>Tengah</v>
      </c>
      <c r="G399" s="10" t="str">
        <f>INDEX(Master_Sales!$C$1:$C$9,MATCH(Lembar_Kerja_Analisis!B399,Master_Sales!$A$1:$A$9,0))</f>
        <v>Semarang</v>
      </c>
      <c r="H399" s="10" t="str">
        <f>VLOOKUP(A399,Master_Produk!$A$1:$E$16,2,FALSE)</f>
        <v>Laptop Ultrabook 14"</v>
      </c>
      <c r="I399" s="10" t="str">
        <f>INDEX(Master_Produk!$C$1:$C$16,MATCH(Lembar_Kerja_Analisis!A399,Master_Produk!$A$1:$A$16,0))</f>
        <v>Elektronik</v>
      </c>
      <c r="J399" s="19">
        <f>_xlfn.XLOOKUP(A399,Master_Produk!$A$1:$A$16,Master_Produk!$D$1:$D$16,,0)</f>
        <v>8500000</v>
      </c>
      <c r="K399" s="19">
        <f>INDEX(Master_Produk!$E$1:$E$16,MATCH(Lembar_Kerja_Analisis!A399,Master_Produk!$A$1:$A$16,0))</f>
        <v>7200000</v>
      </c>
      <c r="L399" s="8">
        <v>4</v>
      </c>
      <c r="M399" s="19">
        <f t="shared" si="30"/>
        <v>34000000</v>
      </c>
      <c r="N399" s="9">
        <v>0.2</v>
      </c>
      <c r="O399" s="19">
        <f t="shared" si="31"/>
        <v>6800000</v>
      </c>
      <c r="P399" s="19">
        <f t="shared" si="32"/>
        <v>27200000</v>
      </c>
      <c r="Q399" s="19">
        <f t="shared" si="33"/>
        <v>28800000</v>
      </c>
      <c r="R399" s="19">
        <f t="shared" si="34"/>
        <v>-1600000</v>
      </c>
    </row>
    <row r="400" spans="1:18" x14ac:dyDescent="0.25">
      <c r="A400" t="str">
        <f>_xlfn.XLOOKUP(C400,Raw_Data_Transaksi!$A$1:$A$1001,Raw_Data_Transaksi!$D$1:$D$1001,,0)</f>
        <v>PRD-111</v>
      </c>
      <c r="B400" t="str">
        <f>_xlfn.XLOOKUP(C400,Raw_Data_Transaksi!$A$1:$A$1001,Raw_Data_Transaksi!$C$1:$C$1001,,0)</f>
        <v>SLS-01</v>
      </c>
      <c r="C400" s="6" t="s">
        <v>484</v>
      </c>
      <c r="D400" s="7">
        <v>45809</v>
      </c>
      <c r="E400" s="10" t="str">
        <f>VLOOKUP(B400,Master_Sales!$A$1:$D$9,2,FALSE)</f>
        <v>Andi Pratama</v>
      </c>
      <c r="F400" s="10" t="str">
        <f>INDEX(Master_Sales!$D$1:$D$9,MATCH(Lembar_Kerja_Analisis!B400,Master_Sales!$A$1:$A$9,0))</f>
        <v>Barat</v>
      </c>
      <c r="G400" s="10" t="str">
        <f>INDEX(Master_Sales!$C$1:$C$9,MATCH(Lembar_Kerja_Analisis!B400,Master_Sales!$A$1:$A$9,0))</f>
        <v>Jakarta</v>
      </c>
      <c r="H400" s="10" t="str">
        <f>VLOOKUP(A400,Master_Produk!$A$1:$E$16,2,FALSE)</f>
        <v>Beras Premium 5kg</v>
      </c>
      <c r="I400" s="10" t="str">
        <f>INDEX(Master_Produk!$C$1:$C$16,MATCH(Lembar_Kerja_Analisis!A400,Master_Produk!$A$1:$A$16,0))</f>
        <v>F&amp;B</v>
      </c>
      <c r="J400" s="19">
        <f>_xlfn.XLOOKUP(A400,Master_Produk!$A$1:$A$16,Master_Produk!$D$1:$D$16,,0)</f>
        <v>74000</v>
      </c>
      <c r="K400" s="19">
        <f>INDEX(Master_Produk!$E$1:$E$16,MATCH(Lembar_Kerja_Analisis!A400,Master_Produk!$A$1:$A$16,0))</f>
        <v>65000</v>
      </c>
      <c r="L400" s="8">
        <v>18</v>
      </c>
      <c r="M400" s="19">
        <f t="shared" si="30"/>
        <v>1332000</v>
      </c>
      <c r="N400" s="9">
        <v>0.15</v>
      </c>
      <c r="O400" s="19">
        <f t="shared" si="31"/>
        <v>199800</v>
      </c>
      <c r="P400" s="19">
        <f t="shared" si="32"/>
        <v>1132200</v>
      </c>
      <c r="Q400" s="19">
        <f t="shared" si="33"/>
        <v>1170000</v>
      </c>
      <c r="R400" s="19">
        <f t="shared" si="34"/>
        <v>-37800</v>
      </c>
    </row>
    <row r="401" spans="1:18" x14ac:dyDescent="0.25">
      <c r="A401" t="str">
        <f>_xlfn.XLOOKUP(C401,Raw_Data_Transaksi!$A$1:$A$1001,Raw_Data_Transaksi!$D$1:$D$1001,,0)</f>
        <v>PRD-110</v>
      </c>
      <c r="B401" t="str">
        <f>_xlfn.XLOOKUP(C401,Raw_Data_Transaksi!$A$1:$A$1001,Raw_Data_Transaksi!$C$1:$C$1001,,0)</f>
        <v>SLS-02</v>
      </c>
      <c r="C401" s="6" t="s">
        <v>485</v>
      </c>
      <c r="D401" s="7">
        <v>45984</v>
      </c>
      <c r="E401" s="10" t="str">
        <f>VLOOKUP(B401,Master_Sales!$A$1:$D$9,2,FALSE)</f>
        <v>Budi Santoso</v>
      </c>
      <c r="F401" s="10" t="str">
        <f>INDEX(Master_Sales!$D$1:$D$9,MATCH(Lembar_Kerja_Analisis!B401,Master_Sales!$A$1:$A$9,0))</f>
        <v>Timur</v>
      </c>
      <c r="G401" s="10" t="str">
        <f>INDEX(Master_Sales!$C$1:$C$9,MATCH(Lembar_Kerja_Analisis!B401,Master_Sales!$A$1:$A$9,0))</f>
        <v>Surabaya</v>
      </c>
      <c r="H401" s="10" t="str">
        <f>VLOOKUP(A401,Master_Produk!$A$1:$E$16,2,FALSE)</f>
        <v>Minyak Goreng Sawit 2L</v>
      </c>
      <c r="I401" s="10" t="str">
        <f>INDEX(Master_Produk!$C$1:$C$16,MATCH(Lembar_Kerja_Analisis!A401,Master_Produk!$A$1:$A$16,0))</f>
        <v>F&amp;B</v>
      </c>
      <c r="J401" s="19">
        <f>_xlfn.XLOOKUP(A401,Master_Produk!$A$1:$A$16,Master_Produk!$D$1:$D$16,,0)</f>
        <v>36000</v>
      </c>
      <c r="K401" s="19">
        <f>INDEX(Master_Produk!$E$1:$E$16,MATCH(Lembar_Kerja_Analisis!A401,Master_Produk!$A$1:$A$16,0))</f>
        <v>31000</v>
      </c>
      <c r="L401" s="8">
        <v>3</v>
      </c>
      <c r="M401" s="19">
        <f t="shared" si="30"/>
        <v>108000</v>
      </c>
      <c r="N401" s="9">
        <v>0.1</v>
      </c>
      <c r="O401" s="19">
        <f t="shared" si="31"/>
        <v>10800</v>
      </c>
      <c r="P401" s="19">
        <f t="shared" si="32"/>
        <v>97200</v>
      </c>
      <c r="Q401" s="19">
        <f t="shared" si="33"/>
        <v>93000</v>
      </c>
      <c r="R401" s="19">
        <f t="shared" si="34"/>
        <v>4200</v>
      </c>
    </row>
    <row r="402" spans="1:18" x14ac:dyDescent="0.25">
      <c r="A402" t="str">
        <f>_xlfn.XLOOKUP(C402,Raw_Data_Transaksi!$A$1:$A$1001,Raw_Data_Transaksi!$D$1:$D$1001,,0)</f>
        <v>PRD-107</v>
      </c>
      <c r="B402" t="str">
        <f>_xlfn.XLOOKUP(C402,Raw_Data_Transaksi!$A$1:$A$1001,Raw_Data_Transaksi!$C$1:$C$1001,,0)</f>
        <v>SLS-06</v>
      </c>
      <c r="C402" s="6" t="s">
        <v>486</v>
      </c>
      <c r="D402" s="7">
        <v>45949</v>
      </c>
      <c r="E402" s="10" t="str">
        <f>VLOOKUP(B402,Master_Sales!$A$1:$D$9,2,FALSE)</f>
        <v>Fajar Nugraha</v>
      </c>
      <c r="F402" s="10" t="str">
        <f>INDEX(Master_Sales!$D$1:$D$9,MATCH(Lembar_Kerja_Analisis!B402,Master_Sales!$A$1:$A$9,0))</f>
        <v>Timur</v>
      </c>
      <c r="G402" s="10" t="str">
        <f>INDEX(Master_Sales!$C$1:$C$9,MATCH(Lembar_Kerja_Analisis!B402,Master_Sales!$A$1:$A$9,0))</f>
        <v>Makassar</v>
      </c>
      <c r="H402" s="10" t="str">
        <f>VLOOKUP(A402,Master_Produk!$A$1:$E$16,2,FALSE)</f>
        <v>Jaket Hoodie Casual</v>
      </c>
      <c r="I402" s="10" t="str">
        <f>INDEX(Master_Produk!$C$1:$C$16,MATCH(Lembar_Kerja_Analisis!A402,Master_Produk!$A$1:$A$16,0))</f>
        <v>Fashion</v>
      </c>
      <c r="J402" s="19">
        <f>_xlfn.XLOOKUP(A402,Master_Produk!$A$1:$A$16,Master_Produk!$D$1:$D$16,,0)</f>
        <v>350000</v>
      </c>
      <c r="K402" s="19">
        <f>INDEX(Master_Produk!$E$1:$E$16,MATCH(Lembar_Kerja_Analisis!A402,Master_Produk!$A$1:$A$16,0))</f>
        <v>220000</v>
      </c>
      <c r="L402" s="8">
        <v>9</v>
      </c>
      <c r="M402" s="19">
        <f t="shared" si="30"/>
        <v>3150000</v>
      </c>
      <c r="N402" s="9">
        <v>0.05</v>
      </c>
      <c r="O402" s="19">
        <f t="shared" si="31"/>
        <v>157500</v>
      </c>
      <c r="P402" s="19">
        <f t="shared" si="32"/>
        <v>2992500</v>
      </c>
      <c r="Q402" s="19">
        <f t="shared" si="33"/>
        <v>1980000</v>
      </c>
      <c r="R402" s="19">
        <f t="shared" si="34"/>
        <v>1012500</v>
      </c>
    </row>
    <row r="403" spans="1:18" x14ac:dyDescent="0.25">
      <c r="A403" t="str">
        <f>_xlfn.XLOOKUP(C403,Raw_Data_Transaksi!$A$1:$A$1001,Raw_Data_Transaksi!$D$1:$D$1001,,0)</f>
        <v>PRD-102</v>
      </c>
      <c r="B403" t="str">
        <f>_xlfn.XLOOKUP(C403,Raw_Data_Transaksi!$A$1:$A$1001,Raw_Data_Transaksi!$C$1:$C$1001,,0)</f>
        <v>SLS-01</v>
      </c>
      <c r="C403" s="6" t="s">
        <v>487</v>
      </c>
      <c r="D403" s="7">
        <v>45958</v>
      </c>
      <c r="E403" s="10" t="str">
        <f>VLOOKUP(B403,Master_Sales!$A$1:$D$9,2,FALSE)</f>
        <v>Andi Pratama</v>
      </c>
      <c r="F403" s="10" t="str">
        <f>INDEX(Master_Sales!$D$1:$D$9,MATCH(Lembar_Kerja_Analisis!B403,Master_Sales!$A$1:$A$9,0))</f>
        <v>Barat</v>
      </c>
      <c r="G403" s="10" t="str">
        <f>INDEX(Master_Sales!$C$1:$C$9,MATCH(Lembar_Kerja_Analisis!B403,Master_Sales!$A$1:$A$9,0))</f>
        <v>Jakarta</v>
      </c>
      <c r="H403" s="10" t="str">
        <f>VLOOKUP(A403,Master_Produk!$A$1:$E$16,2,FALSE)</f>
        <v>Wireless Mouse Ergonomic</v>
      </c>
      <c r="I403" s="10" t="str">
        <f>INDEX(Master_Produk!$C$1:$C$16,MATCH(Lembar_Kerja_Analisis!A403,Master_Produk!$A$1:$A$16,0))</f>
        <v>Elektronik</v>
      </c>
      <c r="J403" s="19">
        <f>_xlfn.XLOOKUP(A403,Master_Produk!$A$1:$A$16,Master_Produk!$D$1:$D$16,,0)</f>
        <v>250000</v>
      </c>
      <c r="K403" s="19">
        <f>INDEX(Master_Produk!$E$1:$E$16,MATCH(Lembar_Kerja_Analisis!A403,Master_Produk!$A$1:$A$16,0))</f>
        <v>160000</v>
      </c>
      <c r="L403" s="8">
        <v>5</v>
      </c>
      <c r="M403" s="19">
        <f t="shared" si="30"/>
        <v>1250000</v>
      </c>
      <c r="N403" s="9">
        <v>0.05</v>
      </c>
      <c r="O403" s="19">
        <f t="shared" si="31"/>
        <v>62500</v>
      </c>
      <c r="P403" s="19">
        <f t="shared" si="32"/>
        <v>1187500</v>
      </c>
      <c r="Q403" s="19">
        <f t="shared" si="33"/>
        <v>800000</v>
      </c>
      <c r="R403" s="19">
        <f t="shared" si="34"/>
        <v>387500</v>
      </c>
    </row>
    <row r="404" spans="1:18" x14ac:dyDescent="0.25">
      <c r="A404" t="str">
        <f>_xlfn.XLOOKUP(C404,Raw_Data_Transaksi!$A$1:$A$1001,Raw_Data_Transaksi!$D$1:$D$1001,,0)</f>
        <v>PRD-105</v>
      </c>
      <c r="B404" t="str">
        <f>_xlfn.XLOOKUP(C404,Raw_Data_Transaksi!$A$1:$A$1001,Raw_Data_Transaksi!$C$1:$C$1001,,0)</f>
        <v>SLS-07</v>
      </c>
      <c r="C404" s="6" t="s">
        <v>488</v>
      </c>
      <c r="D404" s="7">
        <v>45917</v>
      </c>
      <c r="E404" s="10" t="str">
        <f>VLOOKUP(B404,Master_Sales!$A$1:$D$9,2,FALSE)</f>
        <v>Gita Permata</v>
      </c>
      <c r="F404" s="10" t="str">
        <f>INDEX(Master_Sales!$D$1:$D$9,MATCH(Lembar_Kerja_Analisis!B404,Master_Sales!$A$1:$A$9,0))</f>
        <v>Tengah</v>
      </c>
      <c r="G404" s="10" t="str">
        <f>INDEX(Master_Sales!$C$1:$C$9,MATCH(Lembar_Kerja_Analisis!B404,Master_Sales!$A$1:$A$9,0))</f>
        <v>Denpasar</v>
      </c>
      <c r="H404" s="10" t="str">
        <f>VLOOKUP(A404,Master_Produk!$A$1:$E$16,2,FALSE)</f>
        <v>Kemeja Batik Katun Premium</v>
      </c>
      <c r="I404" s="10" t="str">
        <f>INDEX(Master_Produk!$C$1:$C$16,MATCH(Lembar_Kerja_Analisis!A404,Master_Produk!$A$1:$A$16,0))</f>
        <v>Fashion</v>
      </c>
      <c r="J404" s="19">
        <f>_xlfn.XLOOKUP(A404,Master_Produk!$A$1:$A$16,Master_Produk!$D$1:$D$16,,0)</f>
        <v>320000</v>
      </c>
      <c r="K404" s="19">
        <f>INDEX(Master_Produk!$E$1:$E$16,MATCH(Lembar_Kerja_Analisis!A404,Master_Produk!$A$1:$A$16,0))</f>
        <v>190000</v>
      </c>
      <c r="L404" s="8">
        <v>7</v>
      </c>
      <c r="M404" s="19">
        <f t="shared" si="30"/>
        <v>2240000</v>
      </c>
      <c r="N404" s="9">
        <v>0.15</v>
      </c>
      <c r="O404" s="19">
        <f t="shared" si="31"/>
        <v>336000</v>
      </c>
      <c r="P404" s="19">
        <f t="shared" si="32"/>
        <v>1904000</v>
      </c>
      <c r="Q404" s="19">
        <f t="shared" si="33"/>
        <v>1330000</v>
      </c>
      <c r="R404" s="19">
        <f t="shared" si="34"/>
        <v>574000</v>
      </c>
    </row>
    <row r="405" spans="1:18" x14ac:dyDescent="0.25">
      <c r="A405" t="str">
        <f>_xlfn.XLOOKUP(C405,Raw_Data_Transaksi!$A$1:$A$1001,Raw_Data_Transaksi!$D$1:$D$1001,,0)</f>
        <v>PRD-102</v>
      </c>
      <c r="B405" t="str">
        <f>_xlfn.XLOOKUP(C405,Raw_Data_Transaksi!$A$1:$A$1001,Raw_Data_Transaksi!$C$1:$C$1001,,0)</f>
        <v>SLS-05</v>
      </c>
      <c r="C405" s="6" t="s">
        <v>489</v>
      </c>
      <c r="D405" s="7">
        <v>45800</v>
      </c>
      <c r="E405" s="10" t="str">
        <f>VLOOKUP(B405,Master_Sales!$A$1:$D$9,2,FALSE)</f>
        <v>Eko Prasetyo</v>
      </c>
      <c r="F405" s="10" t="str">
        <f>INDEX(Master_Sales!$D$1:$D$9,MATCH(Lembar_Kerja_Analisis!B405,Master_Sales!$A$1:$A$9,0))</f>
        <v>Tengah</v>
      </c>
      <c r="G405" s="10" t="str">
        <f>INDEX(Master_Sales!$C$1:$C$9,MATCH(Lembar_Kerja_Analisis!B405,Master_Sales!$A$1:$A$9,0))</f>
        <v>Semarang</v>
      </c>
      <c r="H405" s="10" t="str">
        <f>VLOOKUP(A405,Master_Produk!$A$1:$E$16,2,FALSE)</f>
        <v>Wireless Mouse Ergonomic</v>
      </c>
      <c r="I405" s="10" t="str">
        <f>INDEX(Master_Produk!$C$1:$C$16,MATCH(Lembar_Kerja_Analisis!A405,Master_Produk!$A$1:$A$16,0))</f>
        <v>Elektronik</v>
      </c>
      <c r="J405" s="19">
        <f>_xlfn.XLOOKUP(A405,Master_Produk!$A$1:$A$16,Master_Produk!$D$1:$D$16,,0)</f>
        <v>250000</v>
      </c>
      <c r="K405" s="19">
        <f>INDEX(Master_Produk!$E$1:$E$16,MATCH(Lembar_Kerja_Analisis!A405,Master_Produk!$A$1:$A$16,0))</f>
        <v>160000</v>
      </c>
      <c r="L405" s="8">
        <v>2</v>
      </c>
      <c r="M405" s="19">
        <f t="shared" si="30"/>
        <v>500000</v>
      </c>
      <c r="N405" s="9">
        <v>0.2</v>
      </c>
      <c r="O405" s="19">
        <f t="shared" si="31"/>
        <v>100000</v>
      </c>
      <c r="P405" s="19">
        <f t="shared" si="32"/>
        <v>400000</v>
      </c>
      <c r="Q405" s="19">
        <f t="shared" si="33"/>
        <v>320000</v>
      </c>
      <c r="R405" s="19">
        <f t="shared" si="34"/>
        <v>80000</v>
      </c>
    </row>
    <row r="406" spans="1:18" x14ac:dyDescent="0.25">
      <c r="A406" t="str">
        <f>_xlfn.XLOOKUP(C406,Raw_Data_Transaksi!$A$1:$A$1001,Raw_Data_Transaksi!$D$1:$D$1001,,0)</f>
        <v>PRD-110</v>
      </c>
      <c r="B406" t="str">
        <f>_xlfn.XLOOKUP(C406,Raw_Data_Transaksi!$A$1:$A$1001,Raw_Data_Transaksi!$C$1:$C$1001,,0)</f>
        <v>SLS-02</v>
      </c>
      <c r="C406" s="6" t="s">
        <v>490</v>
      </c>
      <c r="D406" s="7">
        <v>45858</v>
      </c>
      <c r="E406" s="10" t="str">
        <f>VLOOKUP(B406,Master_Sales!$A$1:$D$9,2,FALSE)</f>
        <v>Budi Santoso</v>
      </c>
      <c r="F406" s="10" t="str">
        <f>INDEX(Master_Sales!$D$1:$D$9,MATCH(Lembar_Kerja_Analisis!B406,Master_Sales!$A$1:$A$9,0))</f>
        <v>Timur</v>
      </c>
      <c r="G406" s="10" t="str">
        <f>INDEX(Master_Sales!$C$1:$C$9,MATCH(Lembar_Kerja_Analisis!B406,Master_Sales!$A$1:$A$9,0))</f>
        <v>Surabaya</v>
      </c>
      <c r="H406" s="10" t="str">
        <f>VLOOKUP(A406,Master_Produk!$A$1:$E$16,2,FALSE)</f>
        <v>Minyak Goreng Sawit 2L</v>
      </c>
      <c r="I406" s="10" t="str">
        <f>INDEX(Master_Produk!$C$1:$C$16,MATCH(Lembar_Kerja_Analisis!A406,Master_Produk!$A$1:$A$16,0))</f>
        <v>F&amp;B</v>
      </c>
      <c r="J406" s="19">
        <f>_xlfn.XLOOKUP(A406,Master_Produk!$A$1:$A$16,Master_Produk!$D$1:$D$16,,0)</f>
        <v>36000</v>
      </c>
      <c r="K406" s="19">
        <f>INDEX(Master_Produk!$E$1:$E$16,MATCH(Lembar_Kerja_Analisis!A406,Master_Produk!$A$1:$A$16,0))</f>
        <v>31000</v>
      </c>
      <c r="L406" s="8">
        <v>25</v>
      </c>
      <c r="M406" s="19">
        <f t="shared" si="30"/>
        <v>900000</v>
      </c>
      <c r="N406" s="9">
        <v>0.15</v>
      </c>
      <c r="O406" s="19">
        <f t="shared" si="31"/>
        <v>135000</v>
      </c>
      <c r="P406" s="19">
        <f t="shared" si="32"/>
        <v>765000</v>
      </c>
      <c r="Q406" s="19">
        <f t="shared" si="33"/>
        <v>775000</v>
      </c>
      <c r="R406" s="19">
        <f t="shared" si="34"/>
        <v>-10000</v>
      </c>
    </row>
    <row r="407" spans="1:18" x14ac:dyDescent="0.25">
      <c r="A407" t="str">
        <f>_xlfn.XLOOKUP(C407,Raw_Data_Transaksi!$A$1:$A$1001,Raw_Data_Transaksi!$D$1:$D$1001,,0)</f>
        <v>PRD-115</v>
      </c>
      <c r="B407" t="str">
        <f>_xlfn.XLOOKUP(C407,Raw_Data_Transaksi!$A$1:$A$1001,Raw_Data_Transaksi!$C$1:$C$1001,,0)</f>
        <v>SLS-07</v>
      </c>
      <c r="C407" s="6" t="s">
        <v>491</v>
      </c>
      <c r="D407" s="7">
        <v>45702</v>
      </c>
      <c r="E407" s="10" t="str">
        <f>VLOOKUP(B407,Master_Sales!$A$1:$D$9,2,FALSE)</f>
        <v>Gita Permata</v>
      </c>
      <c r="F407" s="10" t="str">
        <f>INDEX(Master_Sales!$D$1:$D$9,MATCH(Lembar_Kerja_Analisis!B407,Master_Sales!$A$1:$A$9,0))</f>
        <v>Tengah</v>
      </c>
      <c r="G407" s="10" t="str">
        <f>INDEX(Master_Sales!$C$1:$C$9,MATCH(Lembar_Kerja_Analisis!B407,Master_Sales!$A$1:$A$9,0))</f>
        <v>Denpasar</v>
      </c>
      <c r="H407" s="10" t="str">
        <f>VLOOKUP(A407,Master_Produk!$A$1:$E$16,2,FALSE)</f>
        <v>Set Pisau Dapur Stainless</v>
      </c>
      <c r="I407" s="10" t="str">
        <f>INDEX(Master_Produk!$C$1:$C$16,MATCH(Lembar_Kerja_Analisis!A407,Master_Produk!$A$1:$A$16,0))</f>
        <v>Peralatan Rumah</v>
      </c>
      <c r="J407" s="19">
        <f>_xlfn.XLOOKUP(A407,Master_Produk!$A$1:$A$16,Master_Produk!$D$1:$D$16,,0)</f>
        <v>165000</v>
      </c>
      <c r="K407" s="19">
        <f>INDEX(Master_Produk!$E$1:$E$16,MATCH(Lembar_Kerja_Analisis!A407,Master_Produk!$A$1:$A$16,0))</f>
        <v>105000</v>
      </c>
      <c r="L407" s="8">
        <v>2</v>
      </c>
      <c r="M407" s="19">
        <f t="shared" si="30"/>
        <v>330000</v>
      </c>
      <c r="N407" s="9">
        <v>0.15</v>
      </c>
      <c r="O407" s="19">
        <f t="shared" si="31"/>
        <v>49500</v>
      </c>
      <c r="P407" s="19">
        <f t="shared" si="32"/>
        <v>280500</v>
      </c>
      <c r="Q407" s="19">
        <f t="shared" si="33"/>
        <v>210000</v>
      </c>
      <c r="R407" s="19">
        <f t="shared" si="34"/>
        <v>70500</v>
      </c>
    </row>
    <row r="408" spans="1:18" x14ac:dyDescent="0.25">
      <c r="A408" t="str">
        <f>_xlfn.XLOOKUP(C408,Raw_Data_Transaksi!$A$1:$A$1001,Raw_Data_Transaksi!$D$1:$D$1001,,0)</f>
        <v>PRD-101</v>
      </c>
      <c r="B408" t="str">
        <f>_xlfn.XLOOKUP(C408,Raw_Data_Transaksi!$A$1:$A$1001,Raw_Data_Transaksi!$C$1:$C$1001,,0)</f>
        <v>SLS-03</v>
      </c>
      <c r="C408" s="6" t="s">
        <v>492</v>
      </c>
      <c r="D408" s="7">
        <v>45719</v>
      </c>
      <c r="E408" s="10" t="str">
        <f>VLOOKUP(B408,Master_Sales!$A$1:$D$9,2,FALSE)</f>
        <v>Citra Lestari</v>
      </c>
      <c r="F408" s="10" t="str">
        <f>INDEX(Master_Sales!$D$1:$D$9,MATCH(Lembar_Kerja_Analisis!B408,Master_Sales!$A$1:$A$9,0))</f>
        <v>Barat</v>
      </c>
      <c r="G408" s="10" t="str">
        <f>INDEX(Master_Sales!$C$1:$C$9,MATCH(Lembar_Kerja_Analisis!B408,Master_Sales!$A$1:$A$9,0))</f>
        <v>Bandung</v>
      </c>
      <c r="H408" s="10" t="str">
        <f>VLOOKUP(A408,Master_Produk!$A$1:$E$16,2,FALSE)</f>
        <v>Laptop Ultrabook 14"</v>
      </c>
      <c r="I408" s="10" t="str">
        <f>INDEX(Master_Produk!$C$1:$C$16,MATCH(Lembar_Kerja_Analisis!A408,Master_Produk!$A$1:$A$16,0))</f>
        <v>Elektronik</v>
      </c>
      <c r="J408" s="19">
        <f>_xlfn.XLOOKUP(A408,Master_Produk!$A$1:$A$16,Master_Produk!$D$1:$D$16,,0)</f>
        <v>8500000</v>
      </c>
      <c r="K408" s="19">
        <f>INDEX(Master_Produk!$E$1:$E$16,MATCH(Lembar_Kerja_Analisis!A408,Master_Produk!$A$1:$A$16,0))</f>
        <v>7200000</v>
      </c>
      <c r="L408" s="8">
        <v>12</v>
      </c>
      <c r="M408" s="19">
        <f t="shared" si="30"/>
        <v>102000000</v>
      </c>
      <c r="N408" s="9">
        <v>0</v>
      </c>
      <c r="O408" s="19">
        <f t="shared" si="31"/>
        <v>0</v>
      </c>
      <c r="P408" s="19">
        <f t="shared" si="32"/>
        <v>102000000</v>
      </c>
      <c r="Q408" s="19">
        <f t="shared" si="33"/>
        <v>86400000</v>
      </c>
      <c r="R408" s="19">
        <f t="shared" si="34"/>
        <v>15600000</v>
      </c>
    </row>
    <row r="409" spans="1:18" x14ac:dyDescent="0.25">
      <c r="A409" t="str">
        <f>_xlfn.XLOOKUP(C409,Raw_Data_Transaksi!$A$1:$A$1001,Raw_Data_Transaksi!$D$1:$D$1001,,0)</f>
        <v>PRD-109</v>
      </c>
      <c r="B409" t="str">
        <f>_xlfn.XLOOKUP(C409,Raw_Data_Transaksi!$A$1:$A$1001,Raw_Data_Transaksi!$C$1:$C$1001,,0)</f>
        <v>SLS-05</v>
      </c>
      <c r="C409" s="6" t="s">
        <v>493</v>
      </c>
      <c r="D409" s="7">
        <v>45925</v>
      </c>
      <c r="E409" s="10" t="str">
        <f>VLOOKUP(B409,Master_Sales!$A$1:$D$9,2,FALSE)</f>
        <v>Eko Prasetyo</v>
      </c>
      <c r="F409" s="10" t="str">
        <f>INDEX(Master_Sales!$D$1:$D$9,MATCH(Lembar_Kerja_Analisis!B409,Master_Sales!$A$1:$A$9,0))</f>
        <v>Tengah</v>
      </c>
      <c r="G409" s="10" t="str">
        <f>INDEX(Master_Sales!$C$1:$C$9,MATCH(Lembar_Kerja_Analisis!B409,Master_Sales!$A$1:$A$9,0))</f>
        <v>Semarang</v>
      </c>
      <c r="H409" s="10" t="str">
        <f>VLOOKUP(A409,Master_Produk!$A$1:$E$16,2,FALSE)</f>
        <v>Kopi Arabika Gayo 250g</v>
      </c>
      <c r="I409" s="10" t="str">
        <f>INDEX(Master_Produk!$C$1:$C$16,MATCH(Lembar_Kerja_Analisis!A409,Master_Produk!$A$1:$A$16,0))</f>
        <v>F&amp;B</v>
      </c>
      <c r="J409" s="19">
        <f>_xlfn.XLOOKUP(A409,Master_Produk!$A$1:$A$16,Master_Produk!$D$1:$D$16,,0)</f>
        <v>85000</v>
      </c>
      <c r="K409" s="19">
        <f>INDEX(Master_Produk!$E$1:$E$16,MATCH(Lembar_Kerja_Analisis!A409,Master_Produk!$A$1:$A$16,0))</f>
        <v>55000</v>
      </c>
      <c r="L409" s="8">
        <v>14</v>
      </c>
      <c r="M409" s="19">
        <f t="shared" si="30"/>
        <v>1190000</v>
      </c>
      <c r="N409" s="9">
        <v>0.05</v>
      </c>
      <c r="O409" s="19">
        <f t="shared" si="31"/>
        <v>59500</v>
      </c>
      <c r="P409" s="19">
        <f t="shared" si="32"/>
        <v>1130500</v>
      </c>
      <c r="Q409" s="19">
        <f t="shared" si="33"/>
        <v>770000</v>
      </c>
      <c r="R409" s="19">
        <f t="shared" si="34"/>
        <v>360500</v>
      </c>
    </row>
    <row r="410" spans="1:18" x14ac:dyDescent="0.25">
      <c r="A410" t="str">
        <f>_xlfn.XLOOKUP(C410,Raw_Data_Transaksi!$A$1:$A$1001,Raw_Data_Transaksi!$D$1:$D$1001,,0)</f>
        <v>PRD-106</v>
      </c>
      <c r="B410" t="str">
        <f>_xlfn.XLOOKUP(C410,Raw_Data_Transaksi!$A$1:$A$1001,Raw_Data_Transaksi!$C$1:$C$1001,,0)</f>
        <v>SLS-07</v>
      </c>
      <c r="C410" s="6" t="s">
        <v>494</v>
      </c>
      <c r="D410" s="7">
        <v>45673</v>
      </c>
      <c r="E410" s="10" t="str">
        <f>VLOOKUP(B410,Master_Sales!$A$1:$D$9,2,FALSE)</f>
        <v>Gita Permata</v>
      </c>
      <c r="F410" s="10" t="str">
        <f>INDEX(Master_Sales!$D$1:$D$9,MATCH(Lembar_Kerja_Analisis!B410,Master_Sales!$A$1:$A$9,0))</f>
        <v>Tengah</v>
      </c>
      <c r="G410" s="10" t="str">
        <f>INDEX(Master_Sales!$C$1:$C$9,MATCH(Lembar_Kerja_Analisis!B410,Master_Sales!$A$1:$A$9,0))</f>
        <v>Denpasar</v>
      </c>
      <c r="H410" s="10" t="str">
        <f>VLOOKUP(A410,Master_Produk!$A$1:$E$16,2,FALSE)</f>
        <v>Celana Chino Slim Fit</v>
      </c>
      <c r="I410" s="10" t="str">
        <f>INDEX(Master_Produk!$C$1:$C$16,MATCH(Lembar_Kerja_Analisis!A410,Master_Produk!$A$1:$A$16,0))</f>
        <v>Fashion</v>
      </c>
      <c r="J410" s="19">
        <f>_xlfn.XLOOKUP(A410,Master_Produk!$A$1:$A$16,Master_Produk!$D$1:$D$16,,0)</f>
        <v>280000</v>
      </c>
      <c r="K410" s="19">
        <f>INDEX(Master_Produk!$E$1:$E$16,MATCH(Lembar_Kerja_Analisis!A410,Master_Produk!$A$1:$A$16,0))</f>
        <v>175000</v>
      </c>
      <c r="L410" s="8">
        <v>5</v>
      </c>
      <c r="M410" s="19">
        <f t="shared" si="30"/>
        <v>1400000</v>
      </c>
      <c r="N410" s="9">
        <v>0.2</v>
      </c>
      <c r="O410" s="19">
        <f t="shared" si="31"/>
        <v>280000</v>
      </c>
      <c r="P410" s="19">
        <f t="shared" si="32"/>
        <v>1120000</v>
      </c>
      <c r="Q410" s="19">
        <f t="shared" si="33"/>
        <v>875000</v>
      </c>
      <c r="R410" s="19">
        <f t="shared" si="34"/>
        <v>245000</v>
      </c>
    </row>
    <row r="411" spans="1:18" x14ac:dyDescent="0.25">
      <c r="A411" t="str">
        <f>_xlfn.XLOOKUP(C411,Raw_Data_Transaksi!$A$1:$A$1001,Raw_Data_Transaksi!$D$1:$D$1001,,0)</f>
        <v>PRD-108</v>
      </c>
      <c r="B411" t="str">
        <f>_xlfn.XLOOKUP(C411,Raw_Data_Transaksi!$A$1:$A$1001,Raw_Data_Transaksi!$C$1:$C$1001,,0)</f>
        <v>SLS-06</v>
      </c>
      <c r="C411" s="6" t="s">
        <v>495</v>
      </c>
      <c r="D411" s="7">
        <v>45912</v>
      </c>
      <c r="E411" s="10" t="str">
        <f>VLOOKUP(B411,Master_Sales!$A$1:$D$9,2,FALSE)</f>
        <v>Fajar Nugraha</v>
      </c>
      <c r="F411" s="10" t="str">
        <f>INDEX(Master_Sales!$D$1:$D$9,MATCH(Lembar_Kerja_Analisis!B411,Master_Sales!$A$1:$A$9,0))</f>
        <v>Timur</v>
      </c>
      <c r="G411" s="10" t="str">
        <f>INDEX(Master_Sales!$C$1:$C$9,MATCH(Lembar_Kerja_Analisis!B411,Master_Sales!$A$1:$A$9,0))</f>
        <v>Makassar</v>
      </c>
      <c r="H411" s="10" t="str">
        <f>VLOOKUP(A411,Master_Produk!$A$1:$E$16,2,FALSE)</f>
        <v>Sepatu Sneakers Pria/Wanita</v>
      </c>
      <c r="I411" s="10" t="str">
        <f>INDEX(Master_Produk!$C$1:$C$16,MATCH(Lembar_Kerja_Analisis!A411,Master_Produk!$A$1:$A$16,0))</f>
        <v>Fashion</v>
      </c>
      <c r="J411" s="19">
        <f>_xlfn.XLOOKUP(A411,Master_Produk!$A$1:$A$16,Master_Produk!$D$1:$D$16,,0)</f>
        <v>450000</v>
      </c>
      <c r="K411" s="19">
        <f>INDEX(Master_Produk!$E$1:$E$16,MATCH(Lembar_Kerja_Analisis!A411,Master_Produk!$A$1:$A$16,0))</f>
        <v>290000</v>
      </c>
      <c r="L411" s="8">
        <v>1</v>
      </c>
      <c r="M411" s="19">
        <f t="shared" si="30"/>
        <v>450000</v>
      </c>
      <c r="N411" s="9">
        <v>0.15</v>
      </c>
      <c r="O411" s="19">
        <f t="shared" si="31"/>
        <v>67500</v>
      </c>
      <c r="P411" s="19">
        <f t="shared" si="32"/>
        <v>382500</v>
      </c>
      <c r="Q411" s="19">
        <f t="shared" si="33"/>
        <v>290000</v>
      </c>
      <c r="R411" s="19">
        <f t="shared" si="34"/>
        <v>92500</v>
      </c>
    </row>
    <row r="412" spans="1:18" x14ac:dyDescent="0.25">
      <c r="A412" t="str">
        <f>_xlfn.XLOOKUP(C412,Raw_Data_Transaksi!$A$1:$A$1001,Raw_Data_Transaksi!$D$1:$D$1001,,0)</f>
        <v>PRD-113</v>
      </c>
      <c r="B412" t="str">
        <f>_xlfn.XLOOKUP(C412,Raw_Data_Transaksi!$A$1:$A$1001,Raw_Data_Transaksi!$C$1:$C$1001,,0)</f>
        <v>SLS-02</v>
      </c>
      <c r="C412" s="6" t="s">
        <v>496</v>
      </c>
      <c r="D412" s="7">
        <v>45788</v>
      </c>
      <c r="E412" s="10" t="str">
        <f>VLOOKUP(B412,Master_Sales!$A$1:$D$9,2,FALSE)</f>
        <v>Budi Santoso</v>
      </c>
      <c r="F412" s="10" t="str">
        <f>INDEX(Master_Sales!$D$1:$D$9,MATCH(Lembar_Kerja_Analisis!B412,Master_Sales!$A$1:$A$9,0))</f>
        <v>Timur</v>
      </c>
      <c r="G412" s="10" t="str">
        <f>INDEX(Master_Sales!$C$1:$C$9,MATCH(Lembar_Kerja_Analisis!B412,Master_Sales!$A$1:$A$9,0))</f>
        <v>Surabaya</v>
      </c>
      <c r="H412" s="10" t="str">
        <f>VLOOKUP(A412,Master_Produk!$A$1:$E$16,2,FALSE)</f>
        <v>Wajan Anti Lengket 28cm</v>
      </c>
      <c r="I412" s="10" t="str">
        <f>INDEX(Master_Produk!$C$1:$C$16,MATCH(Lembar_Kerja_Analisis!A412,Master_Produk!$A$1:$A$16,0))</f>
        <v>Peralatan Rumah</v>
      </c>
      <c r="J412" s="19">
        <f>_xlfn.XLOOKUP(A412,Master_Produk!$A$1:$A$16,Master_Produk!$D$1:$D$16,,0)</f>
        <v>210000</v>
      </c>
      <c r="K412" s="19">
        <f>INDEX(Master_Produk!$E$1:$E$16,MATCH(Lembar_Kerja_Analisis!A412,Master_Produk!$A$1:$A$16,0))</f>
        <v>140000</v>
      </c>
      <c r="L412" s="8">
        <v>10</v>
      </c>
      <c r="M412" s="19">
        <f t="shared" si="30"/>
        <v>2100000</v>
      </c>
      <c r="N412" s="9">
        <v>0</v>
      </c>
      <c r="O412" s="19">
        <f t="shared" si="31"/>
        <v>0</v>
      </c>
      <c r="P412" s="19">
        <f t="shared" si="32"/>
        <v>2100000</v>
      </c>
      <c r="Q412" s="19">
        <f t="shared" si="33"/>
        <v>1400000</v>
      </c>
      <c r="R412" s="19">
        <f t="shared" si="34"/>
        <v>700000</v>
      </c>
    </row>
    <row r="413" spans="1:18" x14ac:dyDescent="0.25">
      <c r="A413" t="str">
        <f>_xlfn.XLOOKUP(C413,Raw_Data_Transaksi!$A$1:$A$1001,Raw_Data_Transaksi!$D$1:$D$1001,,0)</f>
        <v>PRD-114</v>
      </c>
      <c r="B413" t="str">
        <f>_xlfn.XLOOKUP(C413,Raw_Data_Transaksi!$A$1:$A$1001,Raw_Data_Transaksi!$C$1:$C$1001,,0)</f>
        <v>SLS-01</v>
      </c>
      <c r="C413" s="6" t="s">
        <v>497</v>
      </c>
      <c r="D413" s="7">
        <v>45680</v>
      </c>
      <c r="E413" s="10" t="str">
        <f>VLOOKUP(B413,Master_Sales!$A$1:$D$9,2,FALSE)</f>
        <v>Andi Pratama</v>
      </c>
      <c r="F413" s="10" t="str">
        <f>INDEX(Master_Sales!$D$1:$D$9,MATCH(Lembar_Kerja_Analisis!B413,Master_Sales!$A$1:$A$9,0))</f>
        <v>Barat</v>
      </c>
      <c r="G413" s="10" t="str">
        <f>INDEX(Master_Sales!$C$1:$C$9,MATCH(Lembar_Kerja_Analisis!B413,Master_Sales!$A$1:$A$9,0))</f>
        <v>Jakarta</v>
      </c>
      <c r="H413" s="10" t="str">
        <f>VLOOKUP(A413,Master_Produk!$A$1:$E$16,2,FALSE)</f>
        <v>Blender Multifungsi 2-in-1</v>
      </c>
      <c r="I413" s="10" t="str">
        <f>INDEX(Master_Produk!$C$1:$C$16,MATCH(Lembar_Kerja_Analisis!A413,Master_Produk!$A$1:$A$16,0))</f>
        <v>Peralatan Rumah</v>
      </c>
      <c r="J413" s="19">
        <f>_xlfn.XLOOKUP(A413,Master_Produk!$A$1:$A$16,Master_Produk!$D$1:$D$16,,0)</f>
        <v>340000</v>
      </c>
      <c r="K413" s="19">
        <f>INDEX(Master_Produk!$E$1:$E$16,MATCH(Lembar_Kerja_Analisis!A413,Master_Produk!$A$1:$A$16,0))</f>
        <v>240000</v>
      </c>
      <c r="L413" s="8">
        <v>4</v>
      </c>
      <c r="M413" s="19">
        <f t="shared" si="30"/>
        <v>1360000</v>
      </c>
      <c r="N413" s="9">
        <v>0</v>
      </c>
      <c r="O413" s="19">
        <f t="shared" si="31"/>
        <v>0</v>
      </c>
      <c r="P413" s="19">
        <f t="shared" si="32"/>
        <v>1360000</v>
      </c>
      <c r="Q413" s="19">
        <f t="shared" si="33"/>
        <v>960000</v>
      </c>
      <c r="R413" s="19">
        <f t="shared" si="34"/>
        <v>400000</v>
      </c>
    </row>
    <row r="414" spans="1:18" x14ac:dyDescent="0.25">
      <c r="A414" t="str">
        <f>_xlfn.XLOOKUP(C414,Raw_Data_Transaksi!$A$1:$A$1001,Raw_Data_Transaksi!$D$1:$D$1001,,0)</f>
        <v>PRD-103</v>
      </c>
      <c r="B414" t="str">
        <f>_xlfn.XLOOKUP(C414,Raw_Data_Transaksi!$A$1:$A$1001,Raw_Data_Transaksi!$C$1:$C$1001,,0)</f>
        <v>SLS-01</v>
      </c>
      <c r="C414" s="6" t="s">
        <v>498</v>
      </c>
      <c r="D414" s="7">
        <v>45734</v>
      </c>
      <c r="E414" s="10" t="str">
        <f>VLOOKUP(B414,Master_Sales!$A$1:$D$9,2,FALSE)</f>
        <v>Andi Pratama</v>
      </c>
      <c r="F414" s="10" t="str">
        <f>INDEX(Master_Sales!$D$1:$D$9,MATCH(Lembar_Kerja_Analisis!B414,Master_Sales!$A$1:$A$9,0))</f>
        <v>Barat</v>
      </c>
      <c r="G414" s="10" t="str">
        <f>INDEX(Master_Sales!$C$1:$C$9,MATCH(Lembar_Kerja_Analisis!B414,Master_Sales!$A$1:$A$9,0))</f>
        <v>Jakarta</v>
      </c>
      <c r="H414" s="10" t="str">
        <f>VLOOKUP(A414,Master_Produk!$A$1:$E$16,2,FALSE)</f>
        <v>Mechanical Keyboard RGB</v>
      </c>
      <c r="I414" s="10" t="str">
        <f>INDEX(Master_Produk!$C$1:$C$16,MATCH(Lembar_Kerja_Analisis!A414,Master_Produk!$A$1:$A$16,0))</f>
        <v>Elektronik</v>
      </c>
      <c r="J414" s="19">
        <f>_xlfn.XLOOKUP(A414,Master_Produk!$A$1:$A$16,Master_Produk!$D$1:$D$16,,0)</f>
        <v>750000</v>
      </c>
      <c r="K414" s="19">
        <f>INDEX(Master_Produk!$E$1:$E$16,MATCH(Lembar_Kerja_Analisis!A414,Master_Produk!$A$1:$A$16,0))</f>
        <v>520000</v>
      </c>
      <c r="L414" s="8">
        <v>9</v>
      </c>
      <c r="M414" s="19">
        <f t="shared" si="30"/>
        <v>6750000</v>
      </c>
      <c r="N414" s="9">
        <v>0.15</v>
      </c>
      <c r="O414" s="19">
        <f t="shared" si="31"/>
        <v>1012500</v>
      </c>
      <c r="P414" s="19">
        <f t="shared" si="32"/>
        <v>5737500</v>
      </c>
      <c r="Q414" s="19">
        <f t="shared" si="33"/>
        <v>4680000</v>
      </c>
      <c r="R414" s="19">
        <f t="shared" si="34"/>
        <v>1057500</v>
      </c>
    </row>
    <row r="415" spans="1:18" x14ac:dyDescent="0.25">
      <c r="A415" t="str">
        <f>_xlfn.XLOOKUP(C415,Raw_Data_Transaksi!$A$1:$A$1001,Raw_Data_Transaksi!$D$1:$D$1001,,0)</f>
        <v>PRD-115</v>
      </c>
      <c r="B415" t="str">
        <f>_xlfn.XLOOKUP(C415,Raw_Data_Transaksi!$A$1:$A$1001,Raw_Data_Transaksi!$C$1:$C$1001,,0)</f>
        <v>SLS-06</v>
      </c>
      <c r="C415" s="6" t="s">
        <v>499</v>
      </c>
      <c r="D415" s="7">
        <v>45871</v>
      </c>
      <c r="E415" s="10" t="str">
        <f>VLOOKUP(B415,Master_Sales!$A$1:$D$9,2,FALSE)</f>
        <v>Fajar Nugraha</v>
      </c>
      <c r="F415" s="10" t="str">
        <f>INDEX(Master_Sales!$D$1:$D$9,MATCH(Lembar_Kerja_Analisis!B415,Master_Sales!$A$1:$A$9,0))</f>
        <v>Timur</v>
      </c>
      <c r="G415" s="10" t="str">
        <f>INDEX(Master_Sales!$C$1:$C$9,MATCH(Lembar_Kerja_Analisis!B415,Master_Sales!$A$1:$A$9,0))</f>
        <v>Makassar</v>
      </c>
      <c r="H415" s="10" t="str">
        <f>VLOOKUP(A415,Master_Produk!$A$1:$E$16,2,FALSE)</f>
        <v>Set Pisau Dapur Stainless</v>
      </c>
      <c r="I415" s="10" t="str">
        <f>INDEX(Master_Produk!$C$1:$C$16,MATCH(Lembar_Kerja_Analisis!A415,Master_Produk!$A$1:$A$16,0))</f>
        <v>Peralatan Rumah</v>
      </c>
      <c r="J415" s="19">
        <f>_xlfn.XLOOKUP(A415,Master_Produk!$A$1:$A$16,Master_Produk!$D$1:$D$16,,0)</f>
        <v>165000</v>
      </c>
      <c r="K415" s="19">
        <f>INDEX(Master_Produk!$E$1:$E$16,MATCH(Lembar_Kerja_Analisis!A415,Master_Produk!$A$1:$A$16,0))</f>
        <v>105000</v>
      </c>
      <c r="L415" s="8">
        <v>5</v>
      </c>
      <c r="M415" s="19">
        <f t="shared" si="30"/>
        <v>825000</v>
      </c>
      <c r="N415" s="9">
        <v>0</v>
      </c>
      <c r="O415" s="19">
        <f t="shared" si="31"/>
        <v>0</v>
      </c>
      <c r="P415" s="19">
        <f t="shared" si="32"/>
        <v>825000</v>
      </c>
      <c r="Q415" s="19">
        <f t="shared" si="33"/>
        <v>525000</v>
      </c>
      <c r="R415" s="19">
        <f t="shared" si="34"/>
        <v>300000</v>
      </c>
    </row>
    <row r="416" spans="1:18" x14ac:dyDescent="0.25">
      <c r="A416" t="str">
        <f>_xlfn.XLOOKUP(C416,Raw_Data_Transaksi!$A$1:$A$1001,Raw_Data_Transaksi!$D$1:$D$1001,,0)</f>
        <v>PRD-104</v>
      </c>
      <c r="B416" t="str">
        <f>_xlfn.XLOOKUP(C416,Raw_Data_Transaksi!$A$1:$A$1001,Raw_Data_Transaksi!$C$1:$C$1001,,0)</f>
        <v>SLS-01</v>
      </c>
      <c r="C416" s="6" t="s">
        <v>500</v>
      </c>
      <c r="D416" s="7">
        <v>45749</v>
      </c>
      <c r="E416" s="10" t="str">
        <f>VLOOKUP(B416,Master_Sales!$A$1:$D$9,2,FALSE)</f>
        <v>Andi Pratama</v>
      </c>
      <c r="F416" s="10" t="str">
        <f>INDEX(Master_Sales!$D$1:$D$9,MATCH(Lembar_Kerja_Analisis!B416,Master_Sales!$A$1:$A$9,0))</f>
        <v>Barat</v>
      </c>
      <c r="G416" s="10" t="str">
        <f>INDEX(Master_Sales!$C$1:$C$9,MATCH(Lembar_Kerja_Analisis!B416,Master_Sales!$A$1:$A$9,0))</f>
        <v>Jakarta</v>
      </c>
      <c r="H416" s="10" t="str">
        <f>VLOOKUP(A416,Master_Produk!$A$1:$E$16,2,FALSE)</f>
        <v>Monitor 24" FHD 144Hz</v>
      </c>
      <c r="I416" s="10" t="str">
        <f>INDEX(Master_Produk!$C$1:$C$16,MATCH(Lembar_Kerja_Analisis!A416,Master_Produk!$A$1:$A$16,0))</f>
        <v>Elektronik</v>
      </c>
      <c r="J416" s="19">
        <f>_xlfn.XLOOKUP(A416,Master_Produk!$A$1:$A$16,Master_Produk!$D$1:$D$16,,0)</f>
        <v>1950000</v>
      </c>
      <c r="K416" s="19">
        <f>INDEX(Master_Produk!$E$1:$E$16,MATCH(Lembar_Kerja_Analisis!A416,Master_Produk!$A$1:$A$16,0))</f>
        <v>1500000</v>
      </c>
      <c r="L416" s="8">
        <v>7</v>
      </c>
      <c r="M416" s="19">
        <f t="shared" si="30"/>
        <v>13650000</v>
      </c>
      <c r="N416" s="9">
        <v>0</v>
      </c>
      <c r="O416" s="19">
        <f t="shared" si="31"/>
        <v>0</v>
      </c>
      <c r="P416" s="19">
        <f t="shared" si="32"/>
        <v>13650000</v>
      </c>
      <c r="Q416" s="19">
        <f t="shared" si="33"/>
        <v>10500000</v>
      </c>
      <c r="R416" s="19">
        <f t="shared" si="34"/>
        <v>3150000</v>
      </c>
    </row>
    <row r="417" spans="1:18" x14ac:dyDescent="0.25">
      <c r="A417" t="str">
        <f>_xlfn.XLOOKUP(C417,Raw_Data_Transaksi!$A$1:$A$1001,Raw_Data_Transaksi!$D$1:$D$1001,,0)</f>
        <v>PRD-102</v>
      </c>
      <c r="B417" t="str">
        <f>_xlfn.XLOOKUP(C417,Raw_Data_Transaksi!$A$1:$A$1001,Raw_Data_Transaksi!$C$1:$C$1001,,0)</f>
        <v>SLS-08</v>
      </c>
      <c r="C417" s="6" t="s">
        <v>501</v>
      </c>
      <c r="D417" s="7">
        <v>45825</v>
      </c>
      <c r="E417" s="10" t="str">
        <f>VLOOKUP(B417,Master_Sales!$A$1:$D$9,2,FALSE)</f>
        <v>Hendra Wijaya</v>
      </c>
      <c r="F417" s="10" t="str">
        <f>INDEX(Master_Sales!$D$1:$D$9,MATCH(Lembar_Kerja_Analisis!B417,Master_Sales!$A$1:$A$9,0))</f>
        <v>Tengah</v>
      </c>
      <c r="G417" s="10" t="str">
        <f>INDEX(Master_Sales!$C$1:$C$9,MATCH(Lembar_Kerja_Analisis!B417,Master_Sales!$A$1:$A$9,0))</f>
        <v>Yogyakarta</v>
      </c>
      <c r="H417" s="10" t="str">
        <f>VLOOKUP(A417,Master_Produk!$A$1:$E$16,2,FALSE)</f>
        <v>Wireless Mouse Ergonomic</v>
      </c>
      <c r="I417" s="10" t="str">
        <f>INDEX(Master_Produk!$C$1:$C$16,MATCH(Lembar_Kerja_Analisis!A417,Master_Produk!$A$1:$A$16,0))</f>
        <v>Elektronik</v>
      </c>
      <c r="J417" s="19">
        <f>_xlfn.XLOOKUP(A417,Master_Produk!$A$1:$A$16,Master_Produk!$D$1:$D$16,,0)</f>
        <v>250000</v>
      </c>
      <c r="K417" s="19">
        <f>INDEX(Master_Produk!$E$1:$E$16,MATCH(Lembar_Kerja_Analisis!A417,Master_Produk!$A$1:$A$16,0))</f>
        <v>160000</v>
      </c>
      <c r="L417" s="8">
        <v>1</v>
      </c>
      <c r="M417" s="19">
        <f t="shared" si="30"/>
        <v>250000</v>
      </c>
      <c r="N417" s="9">
        <v>0.1</v>
      </c>
      <c r="O417" s="19">
        <f t="shared" si="31"/>
        <v>25000</v>
      </c>
      <c r="P417" s="19">
        <f t="shared" si="32"/>
        <v>225000</v>
      </c>
      <c r="Q417" s="19">
        <f t="shared" si="33"/>
        <v>160000</v>
      </c>
      <c r="R417" s="19">
        <f t="shared" si="34"/>
        <v>65000</v>
      </c>
    </row>
    <row r="418" spans="1:18" x14ac:dyDescent="0.25">
      <c r="A418" t="str">
        <f>_xlfn.XLOOKUP(C418,Raw_Data_Transaksi!$A$1:$A$1001,Raw_Data_Transaksi!$D$1:$D$1001,,0)</f>
        <v>PRD-104</v>
      </c>
      <c r="B418" t="str">
        <f>_xlfn.XLOOKUP(C418,Raw_Data_Transaksi!$A$1:$A$1001,Raw_Data_Transaksi!$C$1:$C$1001,,0)</f>
        <v>SLS-08</v>
      </c>
      <c r="C418" s="6" t="s">
        <v>502</v>
      </c>
      <c r="D418" s="7">
        <v>45976</v>
      </c>
      <c r="E418" s="10" t="str">
        <f>VLOOKUP(B418,Master_Sales!$A$1:$D$9,2,FALSE)</f>
        <v>Hendra Wijaya</v>
      </c>
      <c r="F418" s="10" t="str">
        <f>INDEX(Master_Sales!$D$1:$D$9,MATCH(Lembar_Kerja_Analisis!B418,Master_Sales!$A$1:$A$9,0))</f>
        <v>Tengah</v>
      </c>
      <c r="G418" s="10" t="str">
        <f>INDEX(Master_Sales!$C$1:$C$9,MATCH(Lembar_Kerja_Analisis!B418,Master_Sales!$A$1:$A$9,0))</f>
        <v>Yogyakarta</v>
      </c>
      <c r="H418" s="10" t="str">
        <f>VLOOKUP(A418,Master_Produk!$A$1:$E$16,2,FALSE)</f>
        <v>Monitor 24" FHD 144Hz</v>
      </c>
      <c r="I418" s="10" t="str">
        <f>INDEX(Master_Produk!$C$1:$C$16,MATCH(Lembar_Kerja_Analisis!A418,Master_Produk!$A$1:$A$16,0))</f>
        <v>Elektronik</v>
      </c>
      <c r="J418" s="19">
        <f>_xlfn.XLOOKUP(A418,Master_Produk!$A$1:$A$16,Master_Produk!$D$1:$D$16,,0)</f>
        <v>1950000</v>
      </c>
      <c r="K418" s="19">
        <f>INDEX(Master_Produk!$E$1:$E$16,MATCH(Lembar_Kerja_Analisis!A418,Master_Produk!$A$1:$A$16,0))</f>
        <v>1500000</v>
      </c>
      <c r="L418" s="8">
        <v>6</v>
      </c>
      <c r="M418" s="19">
        <f t="shared" si="30"/>
        <v>11700000</v>
      </c>
      <c r="N418" s="9">
        <v>0.2</v>
      </c>
      <c r="O418" s="19">
        <f t="shared" si="31"/>
        <v>2340000</v>
      </c>
      <c r="P418" s="19">
        <f t="shared" si="32"/>
        <v>9360000</v>
      </c>
      <c r="Q418" s="19">
        <f t="shared" si="33"/>
        <v>9000000</v>
      </c>
      <c r="R418" s="19">
        <f t="shared" si="34"/>
        <v>360000</v>
      </c>
    </row>
    <row r="419" spans="1:18" x14ac:dyDescent="0.25">
      <c r="A419" t="str">
        <f>_xlfn.XLOOKUP(C419,Raw_Data_Transaksi!$A$1:$A$1001,Raw_Data_Transaksi!$D$1:$D$1001,,0)</f>
        <v>PRD-101</v>
      </c>
      <c r="B419" t="str">
        <f>_xlfn.XLOOKUP(C419,Raw_Data_Transaksi!$A$1:$A$1001,Raw_Data_Transaksi!$C$1:$C$1001,,0)</f>
        <v>SLS-07</v>
      </c>
      <c r="C419" s="6" t="s">
        <v>503</v>
      </c>
      <c r="D419" s="7">
        <v>45735</v>
      </c>
      <c r="E419" s="10" t="str">
        <f>VLOOKUP(B419,Master_Sales!$A$1:$D$9,2,FALSE)</f>
        <v>Gita Permata</v>
      </c>
      <c r="F419" s="10" t="str">
        <f>INDEX(Master_Sales!$D$1:$D$9,MATCH(Lembar_Kerja_Analisis!B419,Master_Sales!$A$1:$A$9,0))</f>
        <v>Tengah</v>
      </c>
      <c r="G419" s="10" t="str">
        <f>INDEX(Master_Sales!$C$1:$C$9,MATCH(Lembar_Kerja_Analisis!B419,Master_Sales!$A$1:$A$9,0))</f>
        <v>Denpasar</v>
      </c>
      <c r="H419" s="10" t="str">
        <f>VLOOKUP(A419,Master_Produk!$A$1:$E$16,2,FALSE)</f>
        <v>Laptop Ultrabook 14"</v>
      </c>
      <c r="I419" s="10" t="str">
        <f>INDEX(Master_Produk!$C$1:$C$16,MATCH(Lembar_Kerja_Analisis!A419,Master_Produk!$A$1:$A$16,0))</f>
        <v>Elektronik</v>
      </c>
      <c r="J419" s="19">
        <f>_xlfn.XLOOKUP(A419,Master_Produk!$A$1:$A$16,Master_Produk!$D$1:$D$16,,0)</f>
        <v>8500000</v>
      </c>
      <c r="K419" s="19">
        <f>INDEX(Master_Produk!$E$1:$E$16,MATCH(Lembar_Kerja_Analisis!A419,Master_Produk!$A$1:$A$16,0))</f>
        <v>7200000</v>
      </c>
      <c r="L419" s="8">
        <v>1</v>
      </c>
      <c r="M419" s="19">
        <f t="shared" si="30"/>
        <v>8500000</v>
      </c>
      <c r="N419" s="9">
        <v>0.05</v>
      </c>
      <c r="O419" s="19">
        <f t="shared" si="31"/>
        <v>425000</v>
      </c>
      <c r="P419" s="19">
        <f t="shared" si="32"/>
        <v>8075000</v>
      </c>
      <c r="Q419" s="19">
        <f t="shared" si="33"/>
        <v>7200000</v>
      </c>
      <c r="R419" s="19">
        <f t="shared" si="34"/>
        <v>875000</v>
      </c>
    </row>
    <row r="420" spans="1:18" x14ac:dyDescent="0.25">
      <c r="A420" t="str">
        <f>_xlfn.XLOOKUP(C420,Raw_Data_Transaksi!$A$1:$A$1001,Raw_Data_Transaksi!$D$1:$D$1001,,0)</f>
        <v>PRD-101</v>
      </c>
      <c r="B420" t="str">
        <f>_xlfn.XLOOKUP(C420,Raw_Data_Transaksi!$A$1:$A$1001,Raw_Data_Transaksi!$C$1:$C$1001,,0)</f>
        <v>SLS-07</v>
      </c>
      <c r="C420" s="6" t="s">
        <v>504</v>
      </c>
      <c r="D420" s="7">
        <v>45829</v>
      </c>
      <c r="E420" s="10" t="str">
        <f>VLOOKUP(B420,Master_Sales!$A$1:$D$9,2,FALSE)</f>
        <v>Gita Permata</v>
      </c>
      <c r="F420" s="10" t="str">
        <f>INDEX(Master_Sales!$D$1:$D$9,MATCH(Lembar_Kerja_Analisis!B420,Master_Sales!$A$1:$A$9,0))</f>
        <v>Tengah</v>
      </c>
      <c r="G420" s="10" t="str">
        <f>INDEX(Master_Sales!$C$1:$C$9,MATCH(Lembar_Kerja_Analisis!B420,Master_Sales!$A$1:$A$9,0))</f>
        <v>Denpasar</v>
      </c>
      <c r="H420" s="10" t="str">
        <f>VLOOKUP(A420,Master_Produk!$A$1:$E$16,2,FALSE)</f>
        <v>Laptop Ultrabook 14"</v>
      </c>
      <c r="I420" s="10" t="str">
        <f>INDEX(Master_Produk!$C$1:$C$16,MATCH(Lembar_Kerja_Analisis!A420,Master_Produk!$A$1:$A$16,0))</f>
        <v>Elektronik</v>
      </c>
      <c r="J420" s="19">
        <f>_xlfn.XLOOKUP(A420,Master_Produk!$A$1:$A$16,Master_Produk!$D$1:$D$16,,0)</f>
        <v>8500000</v>
      </c>
      <c r="K420" s="19">
        <f>INDEX(Master_Produk!$E$1:$E$16,MATCH(Lembar_Kerja_Analisis!A420,Master_Produk!$A$1:$A$16,0))</f>
        <v>7200000</v>
      </c>
      <c r="L420" s="8">
        <v>12</v>
      </c>
      <c r="M420" s="19">
        <f t="shared" si="30"/>
        <v>102000000</v>
      </c>
      <c r="N420" s="9">
        <v>0.1</v>
      </c>
      <c r="O420" s="19">
        <f t="shared" si="31"/>
        <v>10200000</v>
      </c>
      <c r="P420" s="19">
        <f t="shared" si="32"/>
        <v>91800000</v>
      </c>
      <c r="Q420" s="19">
        <f t="shared" si="33"/>
        <v>86400000</v>
      </c>
      <c r="R420" s="19">
        <f t="shared" si="34"/>
        <v>5400000</v>
      </c>
    </row>
    <row r="421" spans="1:18" x14ac:dyDescent="0.25">
      <c r="A421" t="str">
        <f>_xlfn.XLOOKUP(C421,Raw_Data_Transaksi!$A$1:$A$1001,Raw_Data_Transaksi!$D$1:$D$1001,,0)</f>
        <v>PRD-108</v>
      </c>
      <c r="B421" t="str">
        <f>_xlfn.XLOOKUP(C421,Raw_Data_Transaksi!$A$1:$A$1001,Raw_Data_Transaksi!$C$1:$C$1001,,0)</f>
        <v>SLS-01</v>
      </c>
      <c r="C421" s="6" t="s">
        <v>505</v>
      </c>
      <c r="D421" s="7">
        <v>45872</v>
      </c>
      <c r="E421" s="10" t="str">
        <f>VLOOKUP(B421,Master_Sales!$A$1:$D$9,2,FALSE)</f>
        <v>Andi Pratama</v>
      </c>
      <c r="F421" s="10" t="str">
        <f>INDEX(Master_Sales!$D$1:$D$9,MATCH(Lembar_Kerja_Analisis!B421,Master_Sales!$A$1:$A$9,0))</f>
        <v>Barat</v>
      </c>
      <c r="G421" s="10" t="str">
        <f>INDEX(Master_Sales!$C$1:$C$9,MATCH(Lembar_Kerja_Analisis!B421,Master_Sales!$A$1:$A$9,0))</f>
        <v>Jakarta</v>
      </c>
      <c r="H421" s="10" t="str">
        <f>VLOOKUP(A421,Master_Produk!$A$1:$E$16,2,FALSE)</f>
        <v>Sepatu Sneakers Pria/Wanita</v>
      </c>
      <c r="I421" s="10" t="str">
        <f>INDEX(Master_Produk!$C$1:$C$16,MATCH(Lembar_Kerja_Analisis!A421,Master_Produk!$A$1:$A$16,0))</f>
        <v>Fashion</v>
      </c>
      <c r="J421" s="19">
        <f>_xlfn.XLOOKUP(A421,Master_Produk!$A$1:$A$16,Master_Produk!$D$1:$D$16,,0)</f>
        <v>450000</v>
      </c>
      <c r="K421" s="19">
        <f>INDEX(Master_Produk!$E$1:$E$16,MATCH(Lembar_Kerja_Analisis!A421,Master_Produk!$A$1:$A$16,0))</f>
        <v>290000</v>
      </c>
      <c r="L421" s="8">
        <v>3</v>
      </c>
      <c r="M421" s="19">
        <f t="shared" si="30"/>
        <v>1350000</v>
      </c>
      <c r="N421" s="9">
        <v>0.1</v>
      </c>
      <c r="O421" s="19">
        <f t="shared" si="31"/>
        <v>135000</v>
      </c>
      <c r="P421" s="19">
        <f t="shared" si="32"/>
        <v>1215000</v>
      </c>
      <c r="Q421" s="19">
        <f t="shared" si="33"/>
        <v>870000</v>
      </c>
      <c r="R421" s="19">
        <f t="shared" si="34"/>
        <v>345000</v>
      </c>
    </row>
    <row r="422" spans="1:18" x14ac:dyDescent="0.25">
      <c r="A422" t="str">
        <f>_xlfn.XLOOKUP(C422,Raw_Data_Transaksi!$A$1:$A$1001,Raw_Data_Transaksi!$D$1:$D$1001,,0)</f>
        <v>PRD-107</v>
      </c>
      <c r="B422" t="str">
        <f>_xlfn.XLOOKUP(C422,Raw_Data_Transaksi!$A$1:$A$1001,Raw_Data_Transaksi!$C$1:$C$1001,,0)</f>
        <v>SLS-06</v>
      </c>
      <c r="C422" s="6" t="s">
        <v>506</v>
      </c>
      <c r="D422" s="7">
        <v>45924</v>
      </c>
      <c r="E422" s="10" t="str">
        <f>VLOOKUP(B422,Master_Sales!$A$1:$D$9,2,FALSE)</f>
        <v>Fajar Nugraha</v>
      </c>
      <c r="F422" s="10" t="str">
        <f>INDEX(Master_Sales!$D$1:$D$9,MATCH(Lembar_Kerja_Analisis!B422,Master_Sales!$A$1:$A$9,0))</f>
        <v>Timur</v>
      </c>
      <c r="G422" s="10" t="str">
        <f>INDEX(Master_Sales!$C$1:$C$9,MATCH(Lembar_Kerja_Analisis!B422,Master_Sales!$A$1:$A$9,0))</f>
        <v>Makassar</v>
      </c>
      <c r="H422" s="10" t="str">
        <f>VLOOKUP(A422,Master_Produk!$A$1:$E$16,2,FALSE)</f>
        <v>Jaket Hoodie Casual</v>
      </c>
      <c r="I422" s="10" t="str">
        <f>INDEX(Master_Produk!$C$1:$C$16,MATCH(Lembar_Kerja_Analisis!A422,Master_Produk!$A$1:$A$16,0))</f>
        <v>Fashion</v>
      </c>
      <c r="J422" s="19">
        <f>_xlfn.XLOOKUP(A422,Master_Produk!$A$1:$A$16,Master_Produk!$D$1:$D$16,,0)</f>
        <v>350000</v>
      </c>
      <c r="K422" s="19">
        <f>INDEX(Master_Produk!$E$1:$E$16,MATCH(Lembar_Kerja_Analisis!A422,Master_Produk!$A$1:$A$16,0))</f>
        <v>220000</v>
      </c>
      <c r="L422" s="8">
        <v>8</v>
      </c>
      <c r="M422" s="19">
        <f t="shared" si="30"/>
        <v>2800000</v>
      </c>
      <c r="N422" s="9">
        <v>0</v>
      </c>
      <c r="O422" s="19">
        <f t="shared" si="31"/>
        <v>0</v>
      </c>
      <c r="P422" s="19">
        <f t="shared" si="32"/>
        <v>2800000</v>
      </c>
      <c r="Q422" s="19">
        <f t="shared" si="33"/>
        <v>1760000</v>
      </c>
      <c r="R422" s="19">
        <f t="shared" si="34"/>
        <v>1040000</v>
      </c>
    </row>
    <row r="423" spans="1:18" x14ac:dyDescent="0.25">
      <c r="A423" t="str">
        <f>_xlfn.XLOOKUP(C423,Raw_Data_Transaksi!$A$1:$A$1001,Raw_Data_Transaksi!$D$1:$D$1001,,0)</f>
        <v>PRD-114</v>
      </c>
      <c r="B423" t="str">
        <f>_xlfn.XLOOKUP(C423,Raw_Data_Transaksi!$A$1:$A$1001,Raw_Data_Transaksi!$C$1:$C$1001,,0)</f>
        <v>SLS-07</v>
      </c>
      <c r="C423" s="6" t="s">
        <v>507</v>
      </c>
      <c r="D423" s="7">
        <v>45984</v>
      </c>
      <c r="E423" s="10" t="str">
        <f>VLOOKUP(B423,Master_Sales!$A$1:$D$9,2,FALSE)</f>
        <v>Gita Permata</v>
      </c>
      <c r="F423" s="10" t="str">
        <f>INDEX(Master_Sales!$D$1:$D$9,MATCH(Lembar_Kerja_Analisis!B423,Master_Sales!$A$1:$A$9,0))</f>
        <v>Tengah</v>
      </c>
      <c r="G423" s="10" t="str">
        <f>INDEX(Master_Sales!$C$1:$C$9,MATCH(Lembar_Kerja_Analisis!B423,Master_Sales!$A$1:$A$9,0))</f>
        <v>Denpasar</v>
      </c>
      <c r="H423" s="10" t="str">
        <f>VLOOKUP(A423,Master_Produk!$A$1:$E$16,2,FALSE)</f>
        <v>Blender Multifungsi 2-in-1</v>
      </c>
      <c r="I423" s="10" t="str">
        <f>INDEX(Master_Produk!$C$1:$C$16,MATCH(Lembar_Kerja_Analisis!A423,Master_Produk!$A$1:$A$16,0))</f>
        <v>Peralatan Rumah</v>
      </c>
      <c r="J423" s="19">
        <f>_xlfn.XLOOKUP(A423,Master_Produk!$A$1:$A$16,Master_Produk!$D$1:$D$16,,0)</f>
        <v>340000</v>
      </c>
      <c r="K423" s="19">
        <f>INDEX(Master_Produk!$E$1:$E$16,MATCH(Lembar_Kerja_Analisis!A423,Master_Produk!$A$1:$A$16,0))</f>
        <v>240000</v>
      </c>
      <c r="L423" s="8">
        <v>2</v>
      </c>
      <c r="M423" s="19">
        <f t="shared" si="30"/>
        <v>680000</v>
      </c>
      <c r="N423" s="9">
        <v>0.2</v>
      </c>
      <c r="O423" s="19">
        <f t="shared" si="31"/>
        <v>136000</v>
      </c>
      <c r="P423" s="19">
        <f t="shared" si="32"/>
        <v>544000</v>
      </c>
      <c r="Q423" s="19">
        <f t="shared" si="33"/>
        <v>480000</v>
      </c>
      <c r="R423" s="19">
        <f t="shared" si="34"/>
        <v>64000</v>
      </c>
    </row>
    <row r="424" spans="1:18" x14ac:dyDescent="0.25">
      <c r="A424" t="str">
        <f>_xlfn.XLOOKUP(C424,Raw_Data_Transaksi!$A$1:$A$1001,Raw_Data_Transaksi!$D$1:$D$1001,,0)</f>
        <v>PRD-105</v>
      </c>
      <c r="B424" t="str">
        <f>_xlfn.XLOOKUP(C424,Raw_Data_Transaksi!$A$1:$A$1001,Raw_Data_Transaksi!$C$1:$C$1001,,0)</f>
        <v>SLS-05</v>
      </c>
      <c r="C424" s="6" t="s">
        <v>508</v>
      </c>
      <c r="D424" s="7">
        <v>45779</v>
      </c>
      <c r="E424" s="10" t="str">
        <f>VLOOKUP(B424,Master_Sales!$A$1:$D$9,2,FALSE)</f>
        <v>Eko Prasetyo</v>
      </c>
      <c r="F424" s="10" t="str">
        <f>INDEX(Master_Sales!$D$1:$D$9,MATCH(Lembar_Kerja_Analisis!B424,Master_Sales!$A$1:$A$9,0))</f>
        <v>Tengah</v>
      </c>
      <c r="G424" s="10" t="str">
        <f>INDEX(Master_Sales!$C$1:$C$9,MATCH(Lembar_Kerja_Analisis!B424,Master_Sales!$A$1:$A$9,0))</f>
        <v>Semarang</v>
      </c>
      <c r="H424" s="10" t="str">
        <f>VLOOKUP(A424,Master_Produk!$A$1:$E$16,2,FALSE)</f>
        <v>Kemeja Batik Katun Premium</v>
      </c>
      <c r="I424" s="10" t="str">
        <f>INDEX(Master_Produk!$C$1:$C$16,MATCH(Lembar_Kerja_Analisis!A424,Master_Produk!$A$1:$A$16,0))</f>
        <v>Fashion</v>
      </c>
      <c r="J424" s="19">
        <f>_xlfn.XLOOKUP(A424,Master_Produk!$A$1:$A$16,Master_Produk!$D$1:$D$16,,0)</f>
        <v>320000</v>
      </c>
      <c r="K424" s="19">
        <f>INDEX(Master_Produk!$E$1:$E$16,MATCH(Lembar_Kerja_Analisis!A424,Master_Produk!$A$1:$A$16,0))</f>
        <v>190000</v>
      </c>
      <c r="L424" s="8">
        <v>6</v>
      </c>
      <c r="M424" s="19">
        <f t="shared" si="30"/>
        <v>1920000</v>
      </c>
      <c r="N424" s="9">
        <v>0.15</v>
      </c>
      <c r="O424" s="19">
        <f t="shared" si="31"/>
        <v>288000</v>
      </c>
      <c r="P424" s="19">
        <f t="shared" si="32"/>
        <v>1632000</v>
      </c>
      <c r="Q424" s="19">
        <f t="shared" si="33"/>
        <v>1140000</v>
      </c>
      <c r="R424" s="19">
        <f t="shared" si="34"/>
        <v>492000</v>
      </c>
    </row>
    <row r="425" spans="1:18" x14ac:dyDescent="0.25">
      <c r="A425" t="str">
        <f>_xlfn.XLOOKUP(C425,Raw_Data_Transaksi!$A$1:$A$1001,Raw_Data_Transaksi!$D$1:$D$1001,,0)</f>
        <v>PRD-104</v>
      </c>
      <c r="B425" t="str">
        <f>_xlfn.XLOOKUP(C425,Raw_Data_Transaksi!$A$1:$A$1001,Raw_Data_Transaksi!$C$1:$C$1001,,0)</f>
        <v>SLS-02</v>
      </c>
      <c r="C425" s="6" t="s">
        <v>509</v>
      </c>
      <c r="D425" s="7">
        <v>45797</v>
      </c>
      <c r="E425" s="10" t="str">
        <f>VLOOKUP(B425,Master_Sales!$A$1:$D$9,2,FALSE)</f>
        <v>Budi Santoso</v>
      </c>
      <c r="F425" s="10" t="str">
        <f>INDEX(Master_Sales!$D$1:$D$9,MATCH(Lembar_Kerja_Analisis!B425,Master_Sales!$A$1:$A$9,0))</f>
        <v>Timur</v>
      </c>
      <c r="G425" s="10" t="str">
        <f>INDEX(Master_Sales!$C$1:$C$9,MATCH(Lembar_Kerja_Analisis!B425,Master_Sales!$A$1:$A$9,0))</f>
        <v>Surabaya</v>
      </c>
      <c r="H425" s="10" t="str">
        <f>VLOOKUP(A425,Master_Produk!$A$1:$E$16,2,FALSE)</f>
        <v>Monitor 24" FHD 144Hz</v>
      </c>
      <c r="I425" s="10" t="str">
        <f>INDEX(Master_Produk!$C$1:$C$16,MATCH(Lembar_Kerja_Analisis!A425,Master_Produk!$A$1:$A$16,0))</f>
        <v>Elektronik</v>
      </c>
      <c r="J425" s="19">
        <f>_xlfn.XLOOKUP(A425,Master_Produk!$A$1:$A$16,Master_Produk!$D$1:$D$16,,0)</f>
        <v>1950000</v>
      </c>
      <c r="K425" s="19">
        <f>INDEX(Master_Produk!$E$1:$E$16,MATCH(Lembar_Kerja_Analisis!A425,Master_Produk!$A$1:$A$16,0))</f>
        <v>1500000</v>
      </c>
      <c r="L425" s="8">
        <v>4</v>
      </c>
      <c r="M425" s="19">
        <f t="shared" si="30"/>
        <v>7800000</v>
      </c>
      <c r="N425" s="9">
        <v>0.05</v>
      </c>
      <c r="O425" s="19">
        <f t="shared" si="31"/>
        <v>390000</v>
      </c>
      <c r="P425" s="19">
        <f t="shared" si="32"/>
        <v>7410000</v>
      </c>
      <c r="Q425" s="19">
        <f t="shared" si="33"/>
        <v>6000000</v>
      </c>
      <c r="R425" s="19">
        <f t="shared" si="34"/>
        <v>1410000</v>
      </c>
    </row>
    <row r="426" spans="1:18" x14ac:dyDescent="0.25">
      <c r="A426" t="str">
        <f>_xlfn.XLOOKUP(C426,Raw_Data_Transaksi!$A$1:$A$1001,Raw_Data_Transaksi!$D$1:$D$1001,,0)</f>
        <v>PRD-108</v>
      </c>
      <c r="B426" t="str">
        <f>_xlfn.XLOOKUP(C426,Raw_Data_Transaksi!$A$1:$A$1001,Raw_Data_Transaksi!$C$1:$C$1001,,0)</f>
        <v>SLS-08</v>
      </c>
      <c r="C426" s="6" t="s">
        <v>510</v>
      </c>
      <c r="D426" s="7">
        <v>45742</v>
      </c>
      <c r="E426" s="10" t="str">
        <f>VLOOKUP(B426,Master_Sales!$A$1:$D$9,2,FALSE)</f>
        <v>Hendra Wijaya</v>
      </c>
      <c r="F426" s="10" t="str">
        <f>INDEX(Master_Sales!$D$1:$D$9,MATCH(Lembar_Kerja_Analisis!B426,Master_Sales!$A$1:$A$9,0))</f>
        <v>Tengah</v>
      </c>
      <c r="G426" s="10" t="str">
        <f>INDEX(Master_Sales!$C$1:$C$9,MATCH(Lembar_Kerja_Analisis!B426,Master_Sales!$A$1:$A$9,0))</f>
        <v>Yogyakarta</v>
      </c>
      <c r="H426" s="10" t="str">
        <f>VLOOKUP(A426,Master_Produk!$A$1:$E$16,2,FALSE)</f>
        <v>Sepatu Sneakers Pria/Wanita</v>
      </c>
      <c r="I426" s="10" t="str">
        <f>INDEX(Master_Produk!$C$1:$C$16,MATCH(Lembar_Kerja_Analisis!A426,Master_Produk!$A$1:$A$16,0))</f>
        <v>Fashion</v>
      </c>
      <c r="J426" s="19">
        <f>_xlfn.XLOOKUP(A426,Master_Produk!$A$1:$A$16,Master_Produk!$D$1:$D$16,,0)</f>
        <v>450000</v>
      </c>
      <c r="K426" s="19">
        <f>INDEX(Master_Produk!$E$1:$E$16,MATCH(Lembar_Kerja_Analisis!A426,Master_Produk!$A$1:$A$16,0))</f>
        <v>290000</v>
      </c>
      <c r="L426" s="8">
        <v>6</v>
      </c>
      <c r="M426" s="19">
        <f t="shared" si="30"/>
        <v>2700000</v>
      </c>
      <c r="N426" s="9">
        <v>0.15</v>
      </c>
      <c r="O426" s="19">
        <f t="shared" si="31"/>
        <v>405000</v>
      </c>
      <c r="P426" s="19">
        <f t="shared" si="32"/>
        <v>2295000</v>
      </c>
      <c r="Q426" s="19">
        <f t="shared" si="33"/>
        <v>1740000</v>
      </c>
      <c r="R426" s="19">
        <f t="shared" si="34"/>
        <v>555000</v>
      </c>
    </row>
    <row r="427" spans="1:18" x14ac:dyDescent="0.25">
      <c r="A427" t="str">
        <f>_xlfn.XLOOKUP(C427,Raw_Data_Transaksi!$A$1:$A$1001,Raw_Data_Transaksi!$D$1:$D$1001,,0)</f>
        <v>PRD-108</v>
      </c>
      <c r="B427" t="str">
        <f>_xlfn.XLOOKUP(C427,Raw_Data_Transaksi!$A$1:$A$1001,Raw_Data_Transaksi!$C$1:$C$1001,,0)</f>
        <v>SLS-05</v>
      </c>
      <c r="C427" s="6" t="s">
        <v>511</v>
      </c>
      <c r="D427" s="7">
        <v>45764</v>
      </c>
      <c r="E427" s="10" t="str">
        <f>VLOOKUP(B427,Master_Sales!$A$1:$D$9,2,FALSE)</f>
        <v>Eko Prasetyo</v>
      </c>
      <c r="F427" s="10" t="str">
        <f>INDEX(Master_Sales!$D$1:$D$9,MATCH(Lembar_Kerja_Analisis!B427,Master_Sales!$A$1:$A$9,0))</f>
        <v>Tengah</v>
      </c>
      <c r="G427" s="10" t="str">
        <f>INDEX(Master_Sales!$C$1:$C$9,MATCH(Lembar_Kerja_Analisis!B427,Master_Sales!$A$1:$A$9,0))</f>
        <v>Semarang</v>
      </c>
      <c r="H427" s="10" t="str">
        <f>VLOOKUP(A427,Master_Produk!$A$1:$E$16,2,FALSE)</f>
        <v>Sepatu Sneakers Pria/Wanita</v>
      </c>
      <c r="I427" s="10" t="str">
        <f>INDEX(Master_Produk!$C$1:$C$16,MATCH(Lembar_Kerja_Analisis!A427,Master_Produk!$A$1:$A$16,0))</f>
        <v>Fashion</v>
      </c>
      <c r="J427" s="19">
        <f>_xlfn.XLOOKUP(A427,Master_Produk!$A$1:$A$16,Master_Produk!$D$1:$D$16,,0)</f>
        <v>450000</v>
      </c>
      <c r="K427" s="19">
        <f>INDEX(Master_Produk!$E$1:$E$16,MATCH(Lembar_Kerja_Analisis!A427,Master_Produk!$A$1:$A$16,0))</f>
        <v>290000</v>
      </c>
      <c r="L427" s="8">
        <v>8</v>
      </c>
      <c r="M427" s="19">
        <f t="shared" si="30"/>
        <v>3600000</v>
      </c>
      <c r="N427" s="9">
        <v>0.1</v>
      </c>
      <c r="O427" s="19">
        <f t="shared" si="31"/>
        <v>360000</v>
      </c>
      <c r="P427" s="19">
        <f t="shared" si="32"/>
        <v>3240000</v>
      </c>
      <c r="Q427" s="19">
        <f t="shared" si="33"/>
        <v>2320000</v>
      </c>
      <c r="R427" s="19">
        <f t="shared" si="34"/>
        <v>920000</v>
      </c>
    </row>
    <row r="428" spans="1:18" x14ac:dyDescent="0.25">
      <c r="A428" t="str">
        <f>_xlfn.XLOOKUP(C428,Raw_Data_Transaksi!$A$1:$A$1001,Raw_Data_Transaksi!$D$1:$D$1001,,0)</f>
        <v>PRD-105</v>
      </c>
      <c r="B428" t="str">
        <f>_xlfn.XLOOKUP(C428,Raw_Data_Transaksi!$A$1:$A$1001,Raw_Data_Transaksi!$C$1:$C$1001,,0)</f>
        <v>SLS-01</v>
      </c>
      <c r="C428" s="6" t="s">
        <v>512</v>
      </c>
      <c r="D428" s="7">
        <v>46009</v>
      </c>
      <c r="E428" s="10" t="str">
        <f>VLOOKUP(B428,Master_Sales!$A$1:$D$9,2,FALSE)</f>
        <v>Andi Pratama</v>
      </c>
      <c r="F428" s="10" t="str">
        <f>INDEX(Master_Sales!$D$1:$D$9,MATCH(Lembar_Kerja_Analisis!B428,Master_Sales!$A$1:$A$9,0))</f>
        <v>Barat</v>
      </c>
      <c r="G428" s="10" t="str">
        <f>INDEX(Master_Sales!$C$1:$C$9,MATCH(Lembar_Kerja_Analisis!B428,Master_Sales!$A$1:$A$9,0))</f>
        <v>Jakarta</v>
      </c>
      <c r="H428" s="10" t="str">
        <f>VLOOKUP(A428,Master_Produk!$A$1:$E$16,2,FALSE)</f>
        <v>Kemeja Batik Katun Premium</v>
      </c>
      <c r="I428" s="10" t="str">
        <f>INDEX(Master_Produk!$C$1:$C$16,MATCH(Lembar_Kerja_Analisis!A428,Master_Produk!$A$1:$A$16,0))</f>
        <v>Fashion</v>
      </c>
      <c r="J428" s="19">
        <f>_xlfn.XLOOKUP(A428,Master_Produk!$A$1:$A$16,Master_Produk!$D$1:$D$16,,0)</f>
        <v>320000</v>
      </c>
      <c r="K428" s="19">
        <f>INDEX(Master_Produk!$E$1:$E$16,MATCH(Lembar_Kerja_Analisis!A428,Master_Produk!$A$1:$A$16,0))</f>
        <v>190000</v>
      </c>
      <c r="L428" s="8">
        <v>4</v>
      </c>
      <c r="M428" s="19">
        <f t="shared" si="30"/>
        <v>1280000</v>
      </c>
      <c r="N428" s="9">
        <v>0.1</v>
      </c>
      <c r="O428" s="19">
        <f t="shared" si="31"/>
        <v>128000</v>
      </c>
      <c r="P428" s="19">
        <f t="shared" si="32"/>
        <v>1152000</v>
      </c>
      <c r="Q428" s="19">
        <f t="shared" si="33"/>
        <v>760000</v>
      </c>
      <c r="R428" s="19">
        <f t="shared" si="34"/>
        <v>392000</v>
      </c>
    </row>
    <row r="429" spans="1:18" x14ac:dyDescent="0.25">
      <c r="A429" t="str">
        <f>_xlfn.XLOOKUP(C429,Raw_Data_Transaksi!$A$1:$A$1001,Raw_Data_Transaksi!$D$1:$D$1001,,0)</f>
        <v>PRD-107</v>
      </c>
      <c r="B429" t="str">
        <f>_xlfn.XLOOKUP(C429,Raw_Data_Transaksi!$A$1:$A$1001,Raw_Data_Transaksi!$C$1:$C$1001,,0)</f>
        <v>SLS-01</v>
      </c>
      <c r="C429" s="6" t="s">
        <v>513</v>
      </c>
      <c r="D429" s="7">
        <v>45840</v>
      </c>
      <c r="E429" s="10" t="str">
        <f>VLOOKUP(B429,Master_Sales!$A$1:$D$9,2,FALSE)</f>
        <v>Andi Pratama</v>
      </c>
      <c r="F429" s="10" t="str">
        <f>INDEX(Master_Sales!$D$1:$D$9,MATCH(Lembar_Kerja_Analisis!B429,Master_Sales!$A$1:$A$9,0))</f>
        <v>Barat</v>
      </c>
      <c r="G429" s="10" t="str">
        <f>INDEX(Master_Sales!$C$1:$C$9,MATCH(Lembar_Kerja_Analisis!B429,Master_Sales!$A$1:$A$9,0))</f>
        <v>Jakarta</v>
      </c>
      <c r="H429" s="10" t="str">
        <f>VLOOKUP(A429,Master_Produk!$A$1:$E$16,2,FALSE)</f>
        <v>Jaket Hoodie Casual</v>
      </c>
      <c r="I429" s="10" t="str">
        <f>INDEX(Master_Produk!$C$1:$C$16,MATCH(Lembar_Kerja_Analisis!A429,Master_Produk!$A$1:$A$16,0))</f>
        <v>Fashion</v>
      </c>
      <c r="J429" s="19">
        <f>_xlfn.XLOOKUP(A429,Master_Produk!$A$1:$A$16,Master_Produk!$D$1:$D$16,,0)</f>
        <v>350000</v>
      </c>
      <c r="K429" s="19">
        <f>INDEX(Master_Produk!$E$1:$E$16,MATCH(Lembar_Kerja_Analisis!A429,Master_Produk!$A$1:$A$16,0))</f>
        <v>220000</v>
      </c>
      <c r="L429" s="8">
        <v>11</v>
      </c>
      <c r="M429" s="19">
        <f t="shared" si="30"/>
        <v>3850000</v>
      </c>
      <c r="N429" s="9">
        <v>0.1</v>
      </c>
      <c r="O429" s="19">
        <f t="shared" si="31"/>
        <v>385000</v>
      </c>
      <c r="P429" s="19">
        <f t="shared" si="32"/>
        <v>3465000</v>
      </c>
      <c r="Q429" s="19">
        <f t="shared" si="33"/>
        <v>2420000</v>
      </c>
      <c r="R429" s="19">
        <f t="shared" si="34"/>
        <v>1045000</v>
      </c>
    </row>
    <row r="430" spans="1:18" x14ac:dyDescent="0.25">
      <c r="A430" t="str">
        <f>_xlfn.XLOOKUP(C430,Raw_Data_Transaksi!$A$1:$A$1001,Raw_Data_Transaksi!$D$1:$D$1001,,0)</f>
        <v>PRD-114</v>
      </c>
      <c r="B430" t="str">
        <f>_xlfn.XLOOKUP(C430,Raw_Data_Transaksi!$A$1:$A$1001,Raw_Data_Transaksi!$C$1:$C$1001,,0)</f>
        <v>SLS-08</v>
      </c>
      <c r="C430" s="6" t="s">
        <v>514</v>
      </c>
      <c r="D430" s="7">
        <v>45865</v>
      </c>
      <c r="E430" s="10" t="str">
        <f>VLOOKUP(B430,Master_Sales!$A$1:$D$9,2,FALSE)</f>
        <v>Hendra Wijaya</v>
      </c>
      <c r="F430" s="10" t="str">
        <f>INDEX(Master_Sales!$D$1:$D$9,MATCH(Lembar_Kerja_Analisis!B430,Master_Sales!$A$1:$A$9,0))</f>
        <v>Tengah</v>
      </c>
      <c r="G430" s="10" t="str">
        <f>INDEX(Master_Sales!$C$1:$C$9,MATCH(Lembar_Kerja_Analisis!B430,Master_Sales!$A$1:$A$9,0))</f>
        <v>Yogyakarta</v>
      </c>
      <c r="H430" s="10" t="str">
        <f>VLOOKUP(A430,Master_Produk!$A$1:$E$16,2,FALSE)</f>
        <v>Blender Multifungsi 2-in-1</v>
      </c>
      <c r="I430" s="10" t="str">
        <f>INDEX(Master_Produk!$C$1:$C$16,MATCH(Lembar_Kerja_Analisis!A430,Master_Produk!$A$1:$A$16,0))</f>
        <v>Peralatan Rumah</v>
      </c>
      <c r="J430" s="19">
        <f>_xlfn.XLOOKUP(A430,Master_Produk!$A$1:$A$16,Master_Produk!$D$1:$D$16,,0)</f>
        <v>340000</v>
      </c>
      <c r="K430" s="19">
        <f>INDEX(Master_Produk!$E$1:$E$16,MATCH(Lembar_Kerja_Analisis!A430,Master_Produk!$A$1:$A$16,0))</f>
        <v>240000</v>
      </c>
      <c r="L430" s="8">
        <v>9</v>
      </c>
      <c r="M430" s="19">
        <f t="shared" si="30"/>
        <v>3060000</v>
      </c>
      <c r="N430" s="9">
        <v>0.2</v>
      </c>
      <c r="O430" s="19">
        <f t="shared" si="31"/>
        <v>612000</v>
      </c>
      <c r="P430" s="19">
        <f t="shared" si="32"/>
        <v>2448000</v>
      </c>
      <c r="Q430" s="19">
        <f t="shared" si="33"/>
        <v>2160000</v>
      </c>
      <c r="R430" s="19">
        <f t="shared" si="34"/>
        <v>288000</v>
      </c>
    </row>
    <row r="431" spans="1:18" x14ac:dyDescent="0.25">
      <c r="A431" t="str">
        <f>_xlfn.XLOOKUP(C431,Raw_Data_Transaksi!$A$1:$A$1001,Raw_Data_Transaksi!$D$1:$D$1001,,0)</f>
        <v>PRD-113</v>
      </c>
      <c r="B431" t="str">
        <f>_xlfn.XLOOKUP(C431,Raw_Data_Transaksi!$A$1:$A$1001,Raw_Data_Transaksi!$C$1:$C$1001,,0)</f>
        <v>SLS-03</v>
      </c>
      <c r="C431" s="6" t="s">
        <v>515</v>
      </c>
      <c r="D431" s="7">
        <v>45710</v>
      </c>
      <c r="E431" s="10" t="str">
        <f>VLOOKUP(B431,Master_Sales!$A$1:$D$9,2,FALSE)</f>
        <v>Citra Lestari</v>
      </c>
      <c r="F431" s="10" t="str">
        <f>INDEX(Master_Sales!$D$1:$D$9,MATCH(Lembar_Kerja_Analisis!B431,Master_Sales!$A$1:$A$9,0))</f>
        <v>Barat</v>
      </c>
      <c r="G431" s="10" t="str">
        <f>INDEX(Master_Sales!$C$1:$C$9,MATCH(Lembar_Kerja_Analisis!B431,Master_Sales!$A$1:$A$9,0))</f>
        <v>Bandung</v>
      </c>
      <c r="H431" s="10" t="str">
        <f>VLOOKUP(A431,Master_Produk!$A$1:$E$16,2,FALSE)</f>
        <v>Wajan Anti Lengket 28cm</v>
      </c>
      <c r="I431" s="10" t="str">
        <f>INDEX(Master_Produk!$C$1:$C$16,MATCH(Lembar_Kerja_Analisis!A431,Master_Produk!$A$1:$A$16,0))</f>
        <v>Peralatan Rumah</v>
      </c>
      <c r="J431" s="19">
        <f>_xlfn.XLOOKUP(A431,Master_Produk!$A$1:$A$16,Master_Produk!$D$1:$D$16,,0)</f>
        <v>210000</v>
      </c>
      <c r="K431" s="19">
        <f>INDEX(Master_Produk!$E$1:$E$16,MATCH(Lembar_Kerja_Analisis!A431,Master_Produk!$A$1:$A$16,0))</f>
        <v>140000</v>
      </c>
      <c r="L431" s="8">
        <v>2</v>
      </c>
      <c r="M431" s="19">
        <f t="shared" si="30"/>
        <v>420000</v>
      </c>
      <c r="N431" s="9">
        <v>0</v>
      </c>
      <c r="O431" s="19">
        <f t="shared" si="31"/>
        <v>0</v>
      </c>
      <c r="P431" s="19">
        <f t="shared" si="32"/>
        <v>420000</v>
      </c>
      <c r="Q431" s="19">
        <f t="shared" si="33"/>
        <v>280000</v>
      </c>
      <c r="R431" s="19">
        <f t="shared" si="34"/>
        <v>140000</v>
      </c>
    </row>
    <row r="432" spans="1:18" x14ac:dyDescent="0.25">
      <c r="A432" t="str">
        <f>_xlfn.XLOOKUP(C432,Raw_Data_Transaksi!$A$1:$A$1001,Raw_Data_Transaksi!$D$1:$D$1001,,0)</f>
        <v>PRD-114</v>
      </c>
      <c r="B432" t="str">
        <f>_xlfn.XLOOKUP(C432,Raw_Data_Transaksi!$A$1:$A$1001,Raw_Data_Transaksi!$C$1:$C$1001,,0)</f>
        <v>SLS-07</v>
      </c>
      <c r="C432" s="6" t="s">
        <v>516</v>
      </c>
      <c r="D432" s="7">
        <v>45759</v>
      </c>
      <c r="E432" s="10" t="str">
        <f>VLOOKUP(B432,Master_Sales!$A$1:$D$9,2,FALSE)</f>
        <v>Gita Permata</v>
      </c>
      <c r="F432" s="10" t="str">
        <f>INDEX(Master_Sales!$D$1:$D$9,MATCH(Lembar_Kerja_Analisis!B432,Master_Sales!$A$1:$A$9,0))</f>
        <v>Tengah</v>
      </c>
      <c r="G432" s="10" t="str">
        <f>INDEX(Master_Sales!$C$1:$C$9,MATCH(Lembar_Kerja_Analisis!B432,Master_Sales!$A$1:$A$9,0))</f>
        <v>Denpasar</v>
      </c>
      <c r="H432" s="10" t="str">
        <f>VLOOKUP(A432,Master_Produk!$A$1:$E$16,2,FALSE)</f>
        <v>Blender Multifungsi 2-in-1</v>
      </c>
      <c r="I432" s="10" t="str">
        <f>INDEX(Master_Produk!$C$1:$C$16,MATCH(Lembar_Kerja_Analisis!A432,Master_Produk!$A$1:$A$16,0))</f>
        <v>Peralatan Rumah</v>
      </c>
      <c r="J432" s="19">
        <f>_xlfn.XLOOKUP(A432,Master_Produk!$A$1:$A$16,Master_Produk!$D$1:$D$16,,0)</f>
        <v>340000</v>
      </c>
      <c r="K432" s="19">
        <f>INDEX(Master_Produk!$E$1:$E$16,MATCH(Lembar_Kerja_Analisis!A432,Master_Produk!$A$1:$A$16,0))</f>
        <v>240000</v>
      </c>
      <c r="L432" s="8">
        <v>6</v>
      </c>
      <c r="M432" s="19">
        <f t="shared" si="30"/>
        <v>2040000</v>
      </c>
      <c r="N432" s="9">
        <v>0</v>
      </c>
      <c r="O432" s="19">
        <f t="shared" si="31"/>
        <v>0</v>
      </c>
      <c r="P432" s="19">
        <f t="shared" si="32"/>
        <v>2040000</v>
      </c>
      <c r="Q432" s="19">
        <f t="shared" si="33"/>
        <v>1440000</v>
      </c>
      <c r="R432" s="19">
        <f t="shared" si="34"/>
        <v>600000</v>
      </c>
    </row>
    <row r="433" spans="1:18" x14ac:dyDescent="0.25">
      <c r="A433" t="str">
        <f>_xlfn.XLOOKUP(C433,Raw_Data_Transaksi!$A$1:$A$1001,Raw_Data_Transaksi!$D$1:$D$1001,,0)</f>
        <v>PRD-104</v>
      </c>
      <c r="B433" t="str">
        <f>_xlfn.XLOOKUP(C433,Raw_Data_Transaksi!$A$1:$A$1001,Raw_Data_Transaksi!$C$1:$C$1001,,0)</f>
        <v>SLS-08</v>
      </c>
      <c r="C433" s="6" t="s">
        <v>517</v>
      </c>
      <c r="D433" s="7">
        <v>45691</v>
      </c>
      <c r="E433" s="10" t="str">
        <f>VLOOKUP(B433,Master_Sales!$A$1:$D$9,2,FALSE)</f>
        <v>Hendra Wijaya</v>
      </c>
      <c r="F433" s="10" t="str">
        <f>INDEX(Master_Sales!$D$1:$D$9,MATCH(Lembar_Kerja_Analisis!B433,Master_Sales!$A$1:$A$9,0))</f>
        <v>Tengah</v>
      </c>
      <c r="G433" s="10" t="str">
        <f>INDEX(Master_Sales!$C$1:$C$9,MATCH(Lembar_Kerja_Analisis!B433,Master_Sales!$A$1:$A$9,0))</f>
        <v>Yogyakarta</v>
      </c>
      <c r="H433" s="10" t="str">
        <f>VLOOKUP(A433,Master_Produk!$A$1:$E$16,2,FALSE)</f>
        <v>Monitor 24" FHD 144Hz</v>
      </c>
      <c r="I433" s="10" t="str">
        <f>INDEX(Master_Produk!$C$1:$C$16,MATCH(Lembar_Kerja_Analisis!A433,Master_Produk!$A$1:$A$16,0))</f>
        <v>Elektronik</v>
      </c>
      <c r="J433" s="19">
        <f>_xlfn.XLOOKUP(A433,Master_Produk!$A$1:$A$16,Master_Produk!$D$1:$D$16,,0)</f>
        <v>1950000</v>
      </c>
      <c r="K433" s="19">
        <f>INDEX(Master_Produk!$E$1:$E$16,MATCH(Lembar_Kerja_Analisis!A433,Master_Produk!$A$1:$A$16,0))</f>
        <v>1500000</v>
      </c>
      <c r="L433" s="8">
        <v>3</v>
      </c>
      <c r="M433" s="19">
        <f t="shared" si="30"/>
        <v>5850000</v>
      </c>
      <c r="N433" s="9">
        <v>0</v>
      </c>
      <c r="O433" s="19">
        <f t="shared" si="31"/>
        <v>0</v>
      </c>
      <c r="P433" s="19">
        <f t="shared" si="32"/>
        <v>5850000</v>
      </c>
      <c r="Q433" s="19">
        <f t="shared" si="33"/>
        <v>4500000</v>
      </c>
      <c r="R433" s="19">
        <f t="shared" si="34"/>
        <v>1350000</v>
      </c>
    </row>
    <row r="434" spans="1:18" x14ac:dyDescent="0.25">
      <c r="A434" t="str">
        <f>_xlfn.XLOOKUP(C434,Raw_Data_Transaksi!$A$1:$A$1001,Raw_Data_Transaksi!$D$1:$D$1001,,0)</f>
        <v>PRD-101</v>
      </c>
      <c r="B434" t="str">
        <f>_xlfn.XLOOKUP(C434,Raw_Data_Transaksi!$A$1:$A$1001,Raw_Data_Transaksi!$C$1:$C$1001,,0)</f>
        <v>SLS-03</v>
      </c>
      <c r="C434" s="6" t="s">
        <v>518</v>
      </c>
      <c r="D434" s="7">
        <v>45894</v>
      </c>
      <c r="E434" s="10" t="str">
        <f>VLOOKUP(B434,Master_Sales!$A$1:$D$9,2,FALSE)</f>
        <v>Citra Lestari</v>
      </c>
      <c r="F434" s="10" t="str">
        <f>INDEX(Master_Sales!$D$1:$D$9,MATCH(Lembar_Kerja_Analisis!B434,Master_Sales!$A$1:$A$9,0))</f>
        <v>Barat</v>
      </c>
      <c r="G434" s="10" t="str">
        <f>INDEX(Master_Sales!$C$1:$C$9,MATCH(Lembar_Kerja_Analisis!B434,Master_Sales!$A$1:$A$9,0))</f>
        <v>Bandung</v>
      </c>
      <c r="H434" s="10" t="str">
        <f>VLOOKUP(A434,Master_Produk!$A$1:$E$16,2,FALSE)</f>
        <v>Laptop Ultrabook 14"</v>
      </c>
      <c r="I434" s="10" t="str">
        <f>INDEX(Master_Produk!$C$1:$C$16,MATCH(Lembar_Kerja_Analisis!A434,Master_Produk!$A$1:$A$16,0))</f>
        <v>Elektronik</v>
      </c>
      <c r="J434" s="19">
        <f>_xlfn.XLOOKUP(A434,Master_Produk!$A$1:$A$16,Master_Produk!$D$1:$D$16,,0)</f>
        <v>8500000</v>
      </c>
      <c r="K434" s="19">
        <f>INDEX(Master_Produk!$E$1:$E$16,MATCH(Lembar_Kerja_Analisis!A434,Master_Produk!$A$1:$A$16,0))</f>
        <v>7200000</v>
      </c>
      <c r="L434" s="8">
        <v>10</v>
      </c>
      <c r="M434" s="19">
        <f t="shared" si="30"/>
        <v>85000000</v>
      </c>
      <c r="N434" s="9">
        <v>0.15</v>
      </c>
      <c r="O434" s="19">
        <f t="shared" si="31"/>
        <v>12750000</v>
      </c>
      <c r="P434" s="19">
        <f t="shared" si="32"/>
        <v>72250000</v>
      </c>
      <c r="Q434" s="19">
        <f t="shared" si="33"/>
        <v>72000000</v>
      </c>
      <c r="R434" s="19">
        <f t="shared" si="34"/>
        <v>250000</v>
      </c>
    </row>
    <row r="435" spans="1:18" x14ac:dyDescent="0.25">
      <c r="A435" t="str">
        <f>_xlfn.XLOOKUP(C435,Raw_Data_Transaksi!$A$1:$A$1001,Raw_Data_Transaksi!$D$1:$D$1001,,0)</f>
        <v>PRD-111</v>
      </c>
      <c r="B435" t="str">
        <f>_xlfn.XLOOKUP(C435,Raw_Data_Transaksi!$A$1:$A$1001,Raw_Data_Transaksi!$C$1:$C$1001,,0)</f>
        <v>SLS-07</v>
      </c>
      <c r="C435" s="6" t="s">
        <v>519</v>
      </c>
      <c r="D435" s="7">
        <v>45853</v>
      </c>
      <c r="E435" s="10" t="str">
        <f>VLOOKUP(B435,Master_Sales!$A$1:$D$9,2,FALSE)</f>
        <v>Gita Permata</v>
      </c>
      <c r="F435" s="10" t="str">
        <f>INDEX(Master_Sales!$D$1:$D$9,MATCH(Lembar_Kerja_Analisis!B435,Master_Sales!$A$1:$A$9,0))</f>
        <v>Tengah</v>
      </c>
      <c r="G435" s="10" t="str">
        <f>INDEX(Master_Sales!$C$1:$C$9,MATCH(Lembar_Kerja_Analisis!B435,Master_Sales!$A$1:$A$9,0))</f>
        <v>Denpasar</v>
      </c>
      <c r="H435" s="10" t="str">
        <f>VLOOKUP(A435,Master_Produk!$A$1:$E$16,2,FALSE)</f>
        <v>Beras Premium 5kg</v>
      </c>
      <c r="I435" s="10" t="str">
        <f>INDEX(Master_Produk!$C$1:$C$16,MATCH(Lembar_Kerja_Analisis!A435,Master_Produk!$A$1:$A$16,0))</f>
        <v>F&amp;B</v>
      </c>
      <c r="J435" s="19">
        <f>_xlfn.XLOOKUP(A435,Master_Produk!$A$1:$A$16,Master_Produk!$D$1:$D$16,,0)</f>
        <v>74000</v>
      </c>
      <c r="K435" s="19">
        <f>INDEX(Master_Produk!$E$1:$E$16,MATCH(Lembar_Kerja_Analisis!A435,Master_Produk!$A$1:$A$16,0))</f>
        <v>65000</v>
      </c>
      <c r="L435" s="8">
        <v>14</v>
      </c>
      <c r="M435" s="19">
        <f t="shared" si="30"/>
        <v>1036000</v>
      </c>
      <c r="N435" s="9">
        <v>0.05</v>
      </c>
      <c r="O435" s="19">
        <f t="shared" si="31"/>
        <v>51800</v>
      </c>
      <c r="P435" s="19">
        <f t="shared" si="32"/>
        <v>984200</v>
      </c>
      <c r="Q435" s="19">
        <f t="shared" si="33"/>
        <v>910000</v>
      </c>
      <c r="R435" s="19">
        <f t="shared" si="34"/>
        <v>74200</v>
      </c>
    </row>
    <row r="436" spans="1:18" x14ac:dyDescent="0.25">
      <c r="A436" t="str">
        <f>_xlfn.XLOOKUP(C436,Raw_Data_Transaksi!$A$1:$A$1001,Raw_Data_Transaksi!$D$1:$D$1001,,0)</f>
        <v>PRD-115</v>
      </c>
      <c r="B436" t="str">
        <f>_xlfn.XLOOKUP(C436,Raw_Data_Transaksi!$A$1:$A$1001,Raw_Data_Transaksi!$C$1:$C$1001,,0)</f>
        <v>SLS-03</v>
      </c>
      <c r="C436" s="6" t="s">
        <v>520</v>
      </c>
      <c r="D436" s="7">
        <v>45886</v>
      </c>
      <c r="E436" s="10" t="str">
        <f>VLOOKUP(B436,Master_Sales!$A$1:$D$9,2,FALSE)</f>
        <v>Citra Lestari</v>
      </c>
      <c r="F436" s="10" t="str">
        <f>INDEX(Master_Sales!$D$1:$D$9,MATCH(Lembar_Kerja_Analisis!B436,Master_Sales!$A$1:$A$9,0))</f>
        <v>Barat</v>
      </c>
      <c r="G436" s="10" t="str">
        <f>INDEX(Master_Sales!$C$1:$C$9,MATCH(Lembar_Kerja_Analisis!B436,Master_Sales!$A$1:$A$9,0))</f>
        <v>Bandung</v>
      </c>
      <c r="H436" s="10" t="str">
        <f>VLOOKUP(A436,Master_Produk!$A$1:$E$16,2,FALSE)</f>
        <v>Set Pisau Dapur Stainless</v>
      </c>
      <c r="I436" s="10" t="str">
        <f>INDEX(Master_Produk!$C$1:$C$16,MATCH(Lembar_Kerja_Analisis!A436,Master_Produk!$A$1:$A$16,0))</f>
        <v>Peralatan Rumah</v>
      </c>
      <c r="J436" s="19">
        <f>_xlfn.XLOOKUP(A436,Master_Produk!$A$1:$A$16,Master_Produk!$D$1:$D$16,,0)</f>
        <v>165000</v>
      </c>
      <c r="K436" s="19">
        <f>INDEX(Master_Produk!$E$1:$E$16,MATCH(Lembar_Kerja_Analisis!A436,Master_Produk!$A$1:$A$16,0))</f>
        <v>105000</v>
      </c>
      <c r="L436" s="8">
        <v>1</v>
      </c>
      <c r="M436" s="19">
        <f t="shared" si="30"/>
        <v>165000</v>
      </c>
      <c r="N436" s="9">
        <v>0.2</v>
      </c>
      <c r="O436" s="19">
        <f t="shared" si="31"/>
        <v>33000</v>
      </c>
      <c r="P436" s="19">
        <f t="shared" si="32"/>
        <v>132000</v>
      </c>
      <c r="Q436" s="19">
        <f t="shared" si="33"/>
        <v>105000</v>
      </c>
      <c r="R436" s="19">
        <f t="shared" si="34"/>
        <v>27000</v>
      </c>
    </row>
    <row r="437" spans="1:18" x14ac:dyDescent="0.25">
      <c r="A437" t="str">
        <f>_xlfn.XLOOKUP(C437,Raw_Data_Transaksi!$A$1:$A$1001,Raw_Data_Transaksi!$D$1:$D$1001,,0)</f>
        <v>PRD-107</v>
      </c>
      <c r="B437" t="str">
        <f>_xlfn.XLOOKUP(C437,Raw_Data_Transaksi!$A$1:$A$1001,Raw_Data_Transaksi!$C$1:$C$1001,,0)</f>
        <v>SLS-08</v>
      </c>
      <c r="C437" s="6" t="s">
        <v>521</v>
      </c>
      <c r="D437" s="7">
        <v>45913</v>
      </c>
      <c r="E437" s="10" t="str">
        <f>VLOOKUP(B437,Master_Sales!$A$1:$D$9,2,FALSE)</f>
        <v>Hendra Wijaya</v>
      </c>
      <c r="F437" s="10" t="str">
        <f>INDEX(Master_Sales!$D$1:$D$9,MATCH(Lembar_Kerja_Analisis!B437,Master_Sales!$A$1:$A$9,0))</f>
        <v>Tengah</v>
      </c>
      <c r="G437" s="10" t="str">
        <f>INDEX(Master_Sales!$C$1:$C$9,MATCH(Lembar_Kerja_Analisis!B437,Master_Sales!$A$1:$A$9,0))</f>
        <v>Yogyakarta</v>
      </c>
      <c r="H437" s="10" t="str">
        <f>VLOOKUP(A437,Master_Produk!$A$1:$E$16,2,FALSE)</f>
        <v>Jaket Hoodie Casual</v>
      </c>
      <c r="I437" s="10" t="str">
        <f>INDEX(Master_Produk!$C$1:$C$16,MATCH(Lembar_Kerja_Analisis!A437,Master_Produk!$A$1:$A$16,0))</f>
        <v>Fashion</v>
      </c>
      <c r="J437" s="19">
        <f>_xlfn.XLOOKUP(A437,Master_Produk!$A$1:$A$16,Master_Produk!$D$1:$D$16,,0)</f>
        <v>350000</v>
      </c>
      <c r="K437" s="19">
        <f>INDEX(Master_Produk!$E$1:$E$16,MATCH(Lembar_Kerja_Analisis!A437,Master_Produk!$A$1:$A$16,0))</f>
        <v>220000</v>
      </c>
      <c r="L437" s="8">
        <v>1</v>
      </c>
      <c r="M437" s="19">
        <f t="shared" si="30"/>
        <v>350000</v>
      </c>
      <c r="N437" s="9">
        <v>0</v>
      </c>
      <c r="O437" s="19">
        <f t="shared" si="31"/>
        <v>0</v>
      </c>
      <c r="P437" s="19">
        <f t="shared" si="32"/>
        <v>350000</v>
      </c>
      <c r="Q437" s="19">
        <f t="shared" si="33"/>
        <v>220000</v>
      </c>
      <c r="R437" s="19">
        <f t="shared" si="34"/>
        <v>130000</v>
      </c>
    </row>
    <row r="438" spans="1:18" x14ac:dyDescent="0.25">
      <c r="A438" t="str">
        <f>_xlfn.XLOOKUP(C438,Raw_Data_Transaksi!$A$1:$A$1001,Raw_Data_Transaksi!$D$1:$D$1001,,0)</f>
        <v>PRD-104</v>
      </c>
      <c r="B438" t="str">
        <f>_xlfn.XLOOKUP(C438,Raw_Data_Transaksi!$A$1:$A$1001,Raw_Data_Transaksi!$C$1:$C$1001,,0)</f>
        <v>SLS-04</v>
      </c>
      <c r="C438" s="6" t="s">
        <v>522</v>
      </c>
      <c r="D438" s="7">
        <v>45872</v>
      </c>
      <c r="E438" s="10" t="str">
        <f>VLOOKUP(B438,Master_Sales!$A$1:$D$9,2,FALSE)</f>
        <v>Dewi Anggraini</v>
      </c>
      <c r="F438" s="10" t="str">
        <f>INDEX(Master_Sales!$D$1:$D$9,MATCH(Lembar_Kerja_Analisis!B438,Master_Sales!$A$1:$A$9,0))</f>
        <v>Barat</v>
      </c>
      <c r="G438" s="10" t="str">
        <f>INDEX(Master_Sales!$C$1:$C$9,MATCH(Lembar_Kerja_Analisis!B438,Master_Sales!$A$1:$A$9,0))</f>
        <v>Medan</v>
      </c>
      <c r="H438" s="10" t="str">
        <f>VLOOKUP(A438,Master_Produk!$A$1:$E$16,2,FALSE)</f>
        <v>Monitor 24" FHD 144Hz</v>
      </c>
      <c r="I438" s="10" t="str">
        <f>INDEX(Master_Produk!$C$1:$C$16,MATCH(Lembar_Kerja_Analisis!A438,Master_Produk!$A$1:$A$16,0))</f>
        <v>Elektronik</v>
      </c>
      <c r="J438" s="19">
        <f>_xlfn.XLOOKUP(A438,Master_Produk!$A$1:$A$16,Master_Produk!$D$1:$D$16,,0)</f>
        <v>1950000</v>
      </c>
      <c r="K438" s="19">
        <f>INDEX(Master_Produk!$E$1:$E$16,MATCH(Lembar_Kerja_Analisis!A438,Master_Produk!$A$1:$A$16,0))</f>
        <v>1500000</v>
      </c>
      <c r="L438" s="8">
        <v>11</v>
      </c>
      <c r="M438" s="19">
        <f t="shared" si="30"/>
        <v>21450000</v>
      </c>
      <c r="N438" s="9">
        <v>0.2</v>
      </c>
      <c r="O438" s="19">
        <f t="shared" si="31"/>
        <v>4290000</v>
      </c>
      <c r="P438" s="19">
        <f t="shared" si="32"/>
        <v>17160000</v>
      </c>
      <c r="Q438" s="19">
        <f t="shared" si="33"/>
        <v>16500000</v>
      </c>
      <c r="R438" s="19">
        <f t="shared" si="34"/>
        <v>660000</v>
      </c>
    </row>
    <row r="439" spans="1:18" x14ac:dyDescent="0.25">
      <c r="A439" t="str">
        <f>_xlfn.XLOOKUP(C439,Raw_Data_Transaksi!$A$1:$A$1001,Raw_Data_Transaksi!$D$1:$D$1001,,0)</f>
        <v>PRD-109</v>
      </c>
      <c r="B439" t="str">
        <f>_xlfn.XLOOKUP(C439,Raw_Data_Transaksi!$A$1:$A$1001,Raw_Data_Transaksi!$C$1:$C$1001,,0)</f>
        <v>SLS-08</v>
      </c>
      <c r="C439" s="6" t="s">
        <v>523</v>
      </c>
      <c r="D439" s="7">
        <v>45903</v>
      </c>
      <c r="E439" s="10" t="str">
        <f>VLOOKUP(B439,Master_Sales!$A$1:$D$9,2,FALSE)</f>
        <v>Hendra Wijaya</v>
      </c>
      <c r="F439" s="10" t="str">
        <f>INDEX(Master_Sales!$D$1:$D$9,MATCH(Lembar_Kerja_Analisis!B439,Master_Sales!$A$1:$A$9,0))</f>
        <v>Tengah</v>
      </c>
      <c r="G439" s="10" t="str">
        <f>INDEX(Master_Sales!$C$1:$C$9,MATCH(Lembar_Kerja_Analisis!B439,Master_Sales!$A$1:$A$9,0))</f>
        <v>Yogyakarta</v>
      </c>
      <c r="H439" s="10" t="str">
        <f>VLOOKUP(A439,Master_Produk!$A$1:$E$16,2,FALSE)</f>
        <v>Kopi Arabika Gayo 250g</v>
      </c>
      <c r="I439" s="10" t="str">
        <f>INDEX(Master_Produk!$C$1:$C$16,MATCH(Lembar_Kerja_Analisis!A439,Master_Produk!$A$1:$A$16,0))</f>
        <v>F&amp;B</v>
      </c>
      <c r="J439" s="19">
        <f>_xlfn.XLOOKUP(A439,Master_Produk!$A$1:$A$16,Master_Produk!$D$1:$D$16,,0)</f>
        <v>85000</v>
      </c>
      <c r="K439" s="19">
        <f>INDEX(Master_Produk!$E$1:$E$16,MATCH(Lembar_Kerja_Analisis!A439,Master_Produk!$A$1:$A$16,0))</f>
        <v>55000</v>
      </c>
      <c r="L439" s="8">
        <v>21</v>
      </c>
      <c r="M439" s="19">
        <f t="shared" si="30"/>
        <v>1785000</v>
      </c>
      <c r="N439" s="9">
        <v>0.2</v>
      </c>
      <c r="O439" s="19">
        <f t="shared" si="31"/>
        <v>357000</v>
      </c>
      <c r="P439" s="19">
        <f t="shared" si="32"/>
        <v>1428000</v>
      </c>
      <c r="Q439" s="19">
        <f t="shared" si="33"/>
        <v>1155000</v>
      </c>
      <c r="R439" s="19">
        <f t="shared" si="34"/>
        <v>273000</v>
      </c>
    </row>
    <row r="440" spans="1:18" x14ac:dyDescent="0.25">
      <c r="A440" t="str">
        <f>_xlfn.XLOOKUP(C440,Raw_Data_Transaksi!$A$1:$A$1001,Raw_Data_Transaksi!$D$1:$D$1001,,0)</f>
        <v>PRD-101</v>
      </c>
      <c r="B440" t="str">
        <f>_xlfn.XLOOKUP(C440,Raw_Data_Transaksi!$A$1:$A$1001,Raw_Data_Transaksi!$C$1:$C$1001,,0)</f>
        <v>SLS-06</v>
      </c>
      <c r="C440" s="6" t="s">
        <v>524</v>
      </c>
      <c r="D440" s="7">
        <v>45750</v>
      </c>
      <c r="E440" s="10" t="str">
        <f>VLOOKUP(B440,Master_Sales!$A$1:$D$9,2,FALSE)</f>
        <v>Fajar Nugraha</v>
      </c>
      <c r="F440" s="10" t="str">
        <f>INDEX(Master_Sales!$D$1:$D$9,MATCH(Lembar_Kerja_Analisis!B440,Master_Sales!$A$1:$A$9,0))</f>
        <v>Timur</v>
      </c>
      <c r="G440" s="10" t="str">
        <f>INDEX(Master_Sales!$C$1:$C$9,MATCH(Lembar_Kerja_Analisis!B440,Master_Sales!$A$1:$A$9,0))</f>
        <v>Makassar</v>
      </c>
      <c r="H440" s="10" t="str">
        <f>VLOOKUP(A440,Master_Produk!$A$1:$E$16,2,FALSE)</f>
        <v>Laptop Ultrabook 14"</v>
      </c>
      <c r="I440" s="10" t="str">
        <f>INDEX(Master_Produk!$C$1:$C$16,MATCH(Lembar_Kerja_Analisis!A440,Master_Produk!$A$1:$A$16,0))</f>
        <v>Elektronik</v>
      </c>
      <c r="J440" s="19">
        <f>_xlfn.XLOOKUP(A440,Master_Produk!$A$1:$A$16,Master_Produk!$D$1:$D$16,,0)</f>
        <v>8500000</v>
      </c>
      <c r="K440" s="19">
        <f>INDEX(Master_Produk!$E$1:$E$16,MATCH(Lembar_Kerja_Analisis!A440,Master_Produk!$A$1:$A$16,0))</f>
        <v>7200000</v>
      </c>
      <c r="L440" s="8">
        <v>10</v>
      </c>
      <c r="M440" s="19">
        <f t="shared" si="30"/>
        <v>85000000</v>
      </c>
      <c r="N440" s="9">
        <v>0.05</v>
      </c>
      <c r="O440" s="19">
        <f t="shared" si="31"/>
        <v>4250000</v>
      </c>
      <c r="P440" s="19">
        <f t="shared" si="32"/>
        <v>80750000</v>
      </c>
      <c r="Q440" s="19">
        <f t="shared" si="33"/>
        <v>72000000</v>
      </c>
      <c r="R440" s="19">
        <f t="shared" si="34"/>
        <v>8750000</v>
      </c>
    </row>
    <row r="441" spans="1:18" x14ac:dyDescent="0.25">
      <c r="A441" t="str">
        <f>_xlfn.XLOOKUP(C441,Raw_Data_Transaksi!$A$1:$A$1001,Raw_Data_Transaksi!$D$1:$D$1001,,0)</f>
        <v>PRD-109</v>
      </c>
      <c r="B441" t="str">
        <f>_xlfn.XLOOKUP(C441,Raw_Data_Transaksi!$A$1:$A$1001,Raw_Data_Transaksi!$C$1:$C$1001,,0)</f>
        <v>SLS-06</v>
      </c>
      <c r="C441" s="6" t="s">
        <v>525</v>
      </c>
      <c r="D441" s="7">
        <v>45899</v>
      </c>
      <c r="E441" s="10" t="str">
        <f>VLOOKUP(B441,Master_Sales!$A$1:$D$9,2,FALSE)</f>
        <v>Fajar Nugraha</v>
      </c>
      <c r="F441" s="10" t="str">
        <f>INDEX(Master_Sales!$D$1:$D$9,MATCH(Lembar_Kerja_Analisis!B441,Master_Sales!$A$1:$A$9,0))</f>
        <v>Timur</v>
      </c>
      <c r="G441" s="10" t="str">
        <f>INDEX(Master_Sales!$C$1:$C$9,MATCH(Lembar_Kerja_Analisis!B441,Master_Sales!$A$1:$A$9,0))</f>
        <v>Makassar</v>
      </c>
      <c r="H441" s="10" t="str">
        <f>VLOOKUP(A441,Master_Produk!$A$1:$E$16,2,FALSE)</f>
        <v>Kopi Arabika Gayo 250g</v>
      </c>
      <c r="I441" s="10" t="str">
        <f>INDEX(Master_Produk!$C$1:$C$16,MATCH(Lembar_Kerja_Analisis!A441,Master_Produk!$A$1:$A$16,0))</f>
        <v>F&amp;B</v>
      </c>
      <c r="J441" s="19">
        <f>_xlfn.XLOOKUP(A441,Master_Produk!$A$1:$A$16,Master_Produk!$D$1:$D$16,,0)</f>
        <v>85000</v>
      </c>
      <c r="K441" s="19">
        <f>INDEX(Master_Produk!$E$1:$E$16,MATCH(Lembar_Kerja_Analisis!A441,Master_Produk!$A$1:$A$16,0))</f>
        <v>55000</v>
      </c>
      <c r="L441" s="8">
        <v>10</v>
      </c>
      <c r="M441" s="19">
        <f t="shared" si="30"/>
        <v>850000</v>
      </c>
      <c r="N441" s="9">
        <v>0.05</v>
      </c>
      <c r="O441" s="19">
        <f t="shared" si="31"/>
        <v>42500</v>
      </c>
      <c r="P441" s="19">
        <f t="shared" si="32"/>
        <v>807500</v>
      </c>
      <c r="Q441" s="19">
        <f t="shared" si="33"/>
        <v>550000</v>
      </c>
      <c r="R441" s="19">
        <f t="shared" si="34"/>
        <v>257500</v>
      </c>
    </row>
    <row r="442" spans="1:18" x14ac:dyDescent="0.25">
      <c r="A442" t="str">
        <f>_xlfn.XLOOKUP(C442,Raw_Data_Transaksi!$A$1:$A$1001,Raw_Data_Transaksi!$D$1:$D$1001,,0)</f>
        <v>PRD-109</v>
      </c>
      <c r="B442" t="str">
        <f>_xlfn.XLOOKUP(C442,Raw_Data_Transaksi!$A$1:$A$1001,Raw_Data_Transaksi!$C$1:$C$1001,,0)</f>
        <v>SLS-01</v>
      </c>
      <c r="C442" s="6" t="s">
        <v>526</v>
      </c>
      <c r="D442" s="7">
        <v>45794</v>
      </c>
      <c r="E442" s="10" t="str">
        <f>VLOOKUP(B442,Master_Sales!$A$1:$D$9,2,FALSE)</f>
        <v>Andi Pratama</v>
      </c>
      <c r="F442" s="10" t="str">
        <f>INDEX(Master_Sales!$D$1:$D$9,MATCH(Lembar_Kerja_Analisis!B442,Master_Sales!$A$1:$A$9,0))</f>
        <v>Barat</v>
      </c>
      <c r="G442" s="10" t="str">
        <f>INDEX(Master_Sales!$C$1:$C$9,MATCH(Lembar_Kerja_Analisis!B442,Master_Sales!$A$1:$A$9,0))</f>
        <v>Jakarta</v>
      </c>
      <c r="H442" s="10" t="str">
        <f>VLOOKUP(A442,Master_Produk!$A$1:$E$16,2,FALSE)</f>
        <v>Kopi Arabika Gayo 250g</v>
      </c>
      <c r="I442" s="10" t="str">
        <f>INDEX(Master_Produk!$C$1:$C$16,MATCH(Lembar_Kerja_Analisis!A442,Master_Produk!$A$1:$A$16,0))</f>
        <v>F&amp;B</v>
      </c>
      <c r="J442" s="19">
        <f>_xlfn.XLOOKUP(A442,Master_Produk!$A$1:$A$16,Master_Produk!$D$1:$D$16,,0)</f>
        <v>85000</v>
      </c>
      <c r="K442" s="19">
        <f>INDEX(Master_Produk!$E$1:$E$16,MATCH(Lembar_Kerja_Analisis!A442,Master_Produk!$A$1:$A$16,0))</f>
        <v>55000</v>
      </c>
      <c r="L442" s="8">
        <v>21</v>
      </c>
      <c r="M442" s="19">
        <f t="shared" si="30"/>
        <v>1785000</v>
      </c>
      <c r="N442" s="9">
        <v>0.15</v>
      </c>
      <c r="O442" s="19">
        <f t="shared" si="31"/>
        <v>267750</v>
      </c>
      <c r="P442" s="19">
        <f t="shared" si="32"/>
        <v>1517250</v>
      </c>
      <c r="Q442" s="19">
        <f t="shared" si="33"/>
        <v>1155000</v>
      </c>
      <c r="R442" s="19">
        <f t="shared" si="34"/>
        <v>362250</v>
      </c>
    </row>
    <row r="443" spans="1:18" x14ac:dyDescent="0.25">
      <c r="A443" t="str">
        <f>_xlfn.XLOOKUP(C443,Raw_Data_Transaksi!$A$1:$A$1001,Raw_Data_Transaksi!$D$1:$D$1001,,0)</f>
        <v>PRD-110</v>
      </c>
      <c r="B443" t="str">
        <f>_xlfn.XLOOKUP(C443,Raw_Data_Transaksi!$A$1:$A$1001,Raw_Data_Transaksi!$C$1:$C$1001,,0)</f>
        <v>SLS-06</v>
      </c>
      <c r="C443" s="6" t="s">
        <v>527</v>
      </c>
      <c r="D443" s="7">
        <v>45779</v>
      </c>
      <c r="E443" s="10" t="str">
        <f>VLOOKUP(B443,Master_Sales!$A$1:$D$9,2,FALSE)</f>
        <v>Fajar Nugraha</v>
      </c>
      <c r="F443" s="10" t="str">
        <f>INDEX(Master_Sales!$D$1:$D$9,MATCH(Lembar_Kerja_Analisis!B443,Master_Sales!$A$1:$A$9,0))</f>
        <v>Timur</v>
      </c>
      <c r="G443" s="10" t="str">
        <f>INDEX(Master_Sales!$C$1:$C$9,MATCH(Lembar_Kerja_Analisis!B443,Master_Sales!$A$1:$A$9,0))</f>
        <v>Makassar</v>
      </c>
      <c r="H443" s="10" t="str">
        <f>VLOOKUP(A443,Master_Produk!$A$1:$E$16,2,FALSE)</f>
        <v>Minyak Goreng Sawit 2L</v>
      </c>
      <c r="I443" s="10" t="str">
        <f>INDEX(Master_Produk!$C$1:$C$16,MATCH(Lembar_Kerja_Analisis!A443,Master_Produk!$A$1:$A$16,0))</f>
        <v>F&amp;B</v>
      </c>
      <c r="J443" s="19">
        <f>_xlfn.XLOOKUP(A443,Master_Produk!$A$1:$A$16,Master_Produk!$D$1:$D$16,,0)</f>
        <v>36000</v>
      </c>
      <c r="K443" s="19">
        <f>INDEX(Master_Produk!$E$1:$E$16,MATCH(Lembar_Kerja_Analisis!A443,Master_Produk!$A$1:$A$16,0))</f>
        <v>31000</v>
      </c>
      <c r="L443" s="8">
        <v>25</v>
      </c>
      <c r="M443" s="19">
        <f t="shared" si="30"/>
        <v>900000</v>
      </c>
      <c r="N443" s="9">
        <v>0.1</v>
      </c>
      <c r="O443" s="19">
        <f t="shared" si="31"/>
        <v>90000</v>
      </c>
      <c r="P443" s="19">
        <f t="shared" si="32"/>
        <v>810000</v>
      </c>
      <c r="Q443" s="19">
        <f t="shared" si="33"/>
        <v>775000</v>
      </c>
      <c r="R443" s="19">
        <f t="shared" si="34"/>
        <v>35000</v>
      </c>
    </row>
    <row r="444" spans="1:18" x14ac:dyDescent="0.25">
      <c r="A444" t="str">
        <f>_xlfn.XLOOKUP(C444,Raw_Data_Transaksi!$A$1:$A$1001,Raw_Data_Transaksi!$D$1:$D$1001,,0)</f>
        <v>PRD-110</v>
      </c>
      <c r="B444" t="str">
        <f>_xlfn.XLOOKUP(C444,Raw_Data_Transaksi!$A$1:$A$1001,Raw_Data_Transaksi!$C$1:$C$1001,,0)</f>
        <v>SLS-03</v>
      </c>
      <c r="C444" s="6" t="s">
        <v>528</v>
      </c>
      <c r="D444" s="7">
        <v>45948</v>
      </c>
      <c r="E444" s="10" t="str">
        <f>VLOOKUP(B444,Master_Sales!$A$1:$D$9,2,FALSE)</f>
        <v>Citra Lestari</v>
      </c>
      <c r="F444" s="10" t="str">
        <f>INDEX(Master_Sales!$D$1:$D$9,MATCH(Lembar_Kerja_Analisis!B444,Master_Sales!$A$1:$A$9,0))</f>
        <v>Barat</v>
      </c>
      <c r="G444" s="10" t="str">
        <f>INDEX(Master_Sales!$C$1:$C$9,MATCH(Lembar_Kerja_Analisis!B444,Master_Sales!$A$1:$A$9,0))</f>
        <v>Bandung</v>
      </c>
      <c r="H444" s="10" t="str">
        <f>VLOOKUP(A444,Master_Produk!$A$1:$E$16,2,FALSE)</f>
        <v>Minyak Goreng Sawit 2L</v>
      </c>
      <c r="I444" s="10" t="str">
        <f>INDEX(Master_Produk!$C$1:$C$16,MATCH(Lembar_Kerja_Analisis!A444,Master_Produk!$A$1:$A$16,0))</f>
        <v>F&amp;B</v>
      </c>
      <c r="J444" s="19">
        <f>_xlfn.XLOOKUP(A444,Master_Produk!$A$1:$A$16,Master_Produk!$D$1:$D$16,,0)</f>
        <v>36000</v>
      </c>
      <c r="K444" s="19">
        <f>INDEX(Master_Produk!$E$1:$E$16,MATCH(Lembar_Kerja_Analisis!A444,Master_Produk!$A$1:$A$16,0))</f>
        <v>31000</v>
      </c>
      <c r="L444" s="8">
        <v>9</v>
      </c>
      <c r="M444" s="19">
        <f t="shared" si="30"/>
        <v>324000</v>
      </c>
      <c r="N444" s="9">
        <v>0.15</v>
      </c>
      <c r="O444" s="19">
        <f t="shared" si="31"/>
        <v>48600</v>
      </c>
      <c r="P444" s="19">
        <f t="shared" si="32"/>
        <v>275400</v>
      </c>
      <c r="Q444" s="19">
        <f t="shared" si="33"/>
        <v>279000</v>
      </c>
      <c r="R444" s="19">
        <f t="shared" si="34"/>
        <v>-3600</v>
      </c>
    </row>
    <row r="445" spans="1:18" x14ac:dyDescent="0.25">
      <c r="A445" t="str">
        <f>_xlfn.XLOOKUP(C445,Raw_Data_Transaksi!$A$1:$A$1001,Raw_Data_Transaksi!$D$1:$D$1001,,0)</f>
        <v>PRD-102</v>
      </c>
      <c r="B445" t="str">
        <f>_xlfn.XLOOKUP(C445,Raw_Data_Transaksi!$A$1:$A$1001,Raw_Data_Transaksi!$C$1:$C$1001,,0)</f>
        <v>SLS-01</v>
      </c>
      <c r="C445" s="6" t="s">
        <v>529</v>
      </c>
      <c r="D445" s="7">
        <v>45677</v>
      </c>
      <c r="E445" s="10" t="str">
        <f>VLOOKUP(B445,Master_Sales!$A$1:$D$9,2,FALSE)</f>
        <v>Andi Pratama</v>
      </c>
      <c r="F445" s="10" t="str">
        <f>INDEX(Master_Sales!$D$1:$D$9,MATCH(Lembar_Kerja_Analisis!B445,Master_Sales!$A$1:$A$9,0))</f>
        <v>Barat</v>
      </c>
      <c r="G445" s="10" t="str">
        <f>INDEX(Master_Sales!$C$1:$C$9,MATCH(Lembar_Kerja_Analisis!B445,Master_Sales!$A$1:$A$9,0))</f>
        <v>Jakarta</v>
      </c>
      <c r="H445" s="10" t="str">
        <f>VLOOKUP(A445,Master_Produk!$A$1:$E$16,2,FALSE)</f>
        <v>Wireless Mouse Ergonomic</v>
      </c>
      <c r="I445" s="10" t="str">
        <f>INDEX(Master_Produk!$C$1:$C$16,MATCH(Lembar_Kerja_Analisis!A445,Master_Produk!$A$1:$A$16,0))</f>
        <v>Elektronik</v>
      </c>
      <c r="J445" s="19">
        <f>_xlfn.XLOOKUP(A445,Master_Produk!$A$1:$A$16,Master_Produk!$D$1:$D$16,,0)</f>
        <v>250000</v>
      </c>
      <c r="K445" s="19">
        <f>INDEX(Master_Produk!$E$1:$E$16,MATCH(Lembar_Kerja_Analisis!A445,Master_Produk!$A$1:$A$16,0))</f>
        <v>160000</v>
      </c>
      <c r="L445" s="8">
        <v>4</v>
      </c>
      <c r="M445" s="19">
        <f t="shared" si="30"/>
        <v>1000000</v>
      </c>
      <c r="N445" s="9">
        <v>0.2</v>
      </c>
      <c r="O445" s="19">
        <f t="shared" si="31"/>
        <v>200000</v>
      </c>
      <c r="P445" s="19">
        <f t="shared" si="32"/>
        <v>800000</v>
      </c>
      <c r="Q445" s="19">
        <f t="shared" si="33"/>
        <v>640000</v>
      </c>
      <c r="R445" s="19">
        <f t="shared" si="34"/>
        <v>160000</v>
      </c>
    </row>
    <row r="446" spans="1:18" x14ac:dyDescent="0.25">
      <c r="A446" t="str">
        <f>_xlfn.XLOOKUP(C446,Raw_Data_Transaksi!$A$1:$A$1001,Raw_Data_Transaksi!$D$1:$D$1001,,0)</f>
        <v>PRD-106</v>
      </c>
      <c r="B446" t="str">
        <f>_xlfn.XLOOKUP(C446,Raw_Data_Transaksi!$A$1:$A$1001,Raw_Data_Transaksi!$C$1:$C$1001,,0)</f>
        <v>SLS-04</v>
      </c>
      <c r="C446" s="6" t="s">
        <v>530</v>
      </c>
      <c r="D446" s="7">
        <v>45658</v>
      </c>
      <c r="E446" s="10" t="str">
        <f>VLOOKUP(B446,Master_Sales!$A$1:$D$9,2,FALSE)</f>
        <v>Dewi Anggraini</v>
      </c>
      <c r="F446" s="10" t="str">
        <f>INDEX(Master_Sales!$D$1:$D$9,MATCH(Lembar_Kerja_Analisis!B446,Master_Sales!$A$1:$A$9,0))</f>
        <v>Barat</v>
      </c>
      <c r="G446" s="10" t="str">
        <f>INDEX(Master_Sales!$C$1:$C$9,MATCH(Lembar_Kerja_Analisis!B446,Master_Sales!$A$1:$A$9,0))</f>
        <v>Medan</v>
      </c>
      <c r="H446" s="10" t="str">
        <f>VLOOKUP(A446,Master_Produk!$A$1:$E$16,2,FALSE)</f>
        <v>Celana Chino Slim Fit</v>
      </c>
      <c r="I446" s="10" t="str">
        <f>INDEX(Master_Produk!$C$1:$C$16,MATCH(Lembar_Kerja_Analisis!A446,Master_Produk!$A$1:$A$16,0))</f>
        <v>Fashion</v>
      </c>
      <c r="J446" s="19">
        <f>_xlfn.XLOOKUP(A446,Master_Produk!$A$1:$A$16,Master_Produk!$D$1:$D$16,,0)</f>
        <v>280000</v>
      </c>
      <c r="K446" s="19">
        <f>INDEX(Master_Produk!$E$1:$E$16,MATCH(Lembar_Kerja_Analisis!A446,Master_Produk!$A$1:$A$16,0))</f>
        <v>175000</v>
      </c>
      <c r="L446" s="8">
        <v>3</v>
      </c>
      <c r="M446" s="19">
        <f t="shared" si="30"/>
        <v>840000</v>
      </c>
      <c r="N446" s="9">
        <v>0.1</v>
      </c>
      <c r="O446" s="19">
        <f t="shared" si="31"/>
        <v>84000</v>
      </c>
      <c r="P446" s="19">
        <f t="shared" si="32"/>
        <v>756000</v>
      </c>
      <c r="Q446" s="19">
        <f t="shared" si="33"/>
        <v>525000</v>
      </c>
      <c r="R446" s="19">
        <f t="shared" si="34"/>
        <v>231000</v>
      </c>
    </row>
    <row r="447" spans="1:18" x14ac:dyDescent="0.25">
      <c r="A447" t="str">
        <f>_xlfn.XLOOKUP(C447,Raw_Data_Transaksi!$A$1:$A$1001,Raw_Data_Transaksi!$D$1:$D$1001,,0)</f>
        <v>PRD-103</v>
      </c>
      <c r="B447" t="str">
        <f>_xlfn.XLOOKUP(C447,Raw_Data_Transaksi!$A$1:$A$1001,Raw_Data_Transaksi!$C$1:$C$1001,,0)</f>
        <v>SLS-03</v>
      </c>
      <c r="C447" s="6" t="s">
        <v>531</v>
      </c>
      <c r="D447" s="7">
        <v>45669</v>
      </c>
      <c r="E447" s="10" t="str">
        <f>VLOOKUP(B447,Master_Sales!$A$1:$D$9,2,FALSE)</f>
        <v>Citra Lestari</v>
      </c>
      <c r="F447" s="10" t="str">
        <f>INDEX(Master_Sales!$D$1:$D$9,MATCH(Lembar_Kerja_Analisis!B447,Master_Sales!$A$1:$A$9,0))</f>
        <v>Barat</v>
      </c>
      <c r="G447" s="10" t="str">
        <f>INDEX(Master_Sales!$C$1:$C$9,MATCH(Lembar_Kerja_Analisis!B447,Master_Sales!$A$1:$A$9,0))</f>
        <v>Bandung</v>
      </c>
      <c r="H447" s="10" t="str">
        <f>VLOOKUP(A447,Master_Produk!$A$1:$E$16,2,FALSE)</f>
        <v>Mechanical Keyboard RGB</v>
      </c>
      <c r="I447" s="10" t="str">
        <f>INDEX(Master_Produk!$C$1:$C$16,MATCH(Lembar_Kerja_Analisis!A447,Master_Produk!$A$1:$A$16,0))</f>
        <v>Elektronik</v>
      </c>
      <c r="J447" s="19">
        <f>_xlfn.XLOOKUP(A447,Master_Produk!$A$1:$A$16,Master_Produk!$D$1:$D$16,,0)</f>
        <v>750000</v>
      </c>
      <c r="K447" s="19">
        <f>INDEX(Master_Produk!$E$1:$E$16,MATCH(Lembar_Kerja_Analisis!A447,Master_Produk!$A$1:$A$16,0))</f>
        <v>520000</v>
      </c>
      <c r="L447" s="8">
        <v>2</v>
      </c>
      <c r="M447" s="19">
        <f t="shared" si="30"/>
        <v>1500000</v>
      </c>
      <c r="N447" s="9">
        <v>0.2</v>
      </c>
      <c r="O447" s="19">
        <f t="shared" si="31"/>
        <v>300000</v>
      </c>
      <c r="P447" s="19">
        <f t="shared" si="32"/>
        <v>1200000</v>
      </c>
      <c r="Q447" s="19">
        <f t="shared" si="33"/>
        <v>1040000</v>
      </c>
      <c r="R447" s="19">
        <f t="shared" si="34"/>
        <v>160000</v>
      </c>
    </row>
    <row r="448" spans="1:18" x14ac:dyDescent="0.25">
      <c r="A448" t="str">
        <f>_xlfn.XLOOKUP(C448,Raw_Data_Transaksi!$A$1:$A$1001,Raw_Data_Transaksi!$D$1:$D$1001,,0)</f>
        <v>PRD-111</v>
      </c>
      <c r="B448" t="str">
        <f>_xlfn.XLOOKUP(C448,Raw_Data_Transaksi!$A$1:$A$1001,Raw_Data_Transaksi!$C$1:$C$1001,,0)</f>
        <v>SLS-07</v>
      </c>
      <c r="C448" s="6" t="s">
        <v>532</v>
      </c>
      <c r="D448" s="7">
        <v>46018</v>
      </c>
      <c r="E448" s="10" t="str">
        <f>VLOOKUP(B448,Master_Sales!$A$1:$D$9,2,FALSE)</f>
        <v>Gita Permata</v>
      </c>
      <c r="F448" s="10" t="str">
        <f>INDEX(Master_Sales!$D$1:$D$9,MATCH(Lembar_Kerja_Analisis!B448,Master_Sales!$A$1:$A$9,0))</f>
        <v>Tengah</v>
      </c>
      <c r="G448" s="10" t="str">
        <f>INDEX(Master_Sales!$C$1:$C$9,MATCH(Lembar_Kerja_Analisis!B448,Master_Sales!$A$1:$A$9,0))</f>
        <v>Denpasar</v>
      </c>
      <c r="H448" s="10" t="str">
        <f>VLOOKUP(A448,Master_Produk!$A$1:$E$16,2,FALSE)</f>
        <v>Beras Premium 5kg</v>
      </c>
      <c r="I448" s="10" t="str">
        <f>INDEX(Master_Produk!$C$1:$C$16,MATCH(Lembar_Kerja_Analisis!A448,Master_Produk!$A$1:$A$16,0))</f>
        <v>F&amp;B</v>
      </c>
      <c r="J448" s="19">
        <f>_xlfn.XLOOKUP(A448,Master_Produk!$A$1:$A$16,Master_Produk!$D$1:$D$16,,0)</f>
        <v>74000</v>
      </c>
      <c r="K448" s="19">
        <f>INDEX(Master_Produk!$E$1:$E$16,MATCH(Lembar_Kerja_Analisis!A448,Master_Produk!$A$1:$A$16,0))</f>
        <v>65000</v>
      </c>
      <c r="L448" s="8">
        <v>6</v>
      </c>
      <c r="M448" s="19">
        <f t="shared" si="30"/>
        <v>444000</v>
      </c>
      <c r="N448" s="9">
        <v>0.1</v>
      </c>
      <c r="O448" s="19">
        <f t="shared" si="31"/>
        <v>44400</v>
      </c>
      <c r="P448" s="19">
        <f t="shared" si="32"/>
        <v>399600</v>
      </c>
      <c r="Q448" s="19">
        <f t="shared" si="33"/>
        <v>390000</v>
      </c>
      <c r="R448" s="19">
        <f t="shared" si="34"/>
        <v>9600</v>
      </c>
    </row>
    <row r="449" spans="1:18" x14ac:dyDescent="0.25">
      <c r="A449" t="str">
        <f>_xlfn.XLOOKUP(C449,Raw_Data_Transaksi!$A$1:$A$1001,Raw_Data_Transaksi!$D$1:$D$1001,,0)</f>
        <v>PRD-112</v>
      </c>
      <c r="B449" t="str">
        <f>_xlfn.XLOOKUP(C449,Raw_Data_Transaksi!$A$1:$A$1001,Raw_Data_Transaksi!$C$1:$C$1001,,0)</f>
        <v>SLS-07</v>
      </c>
      <c r="C449" s="6" t="s">
        <v>533</v>
      </c>
      <c r="D449" s="7">
        <v>45738</v>
      </c>
      <c r="E449" s="10" t="str">
        <f>VLOOKUP(B449,Master_Sales!$A$1:$D$9,2,FALSE)</f>
        <v>Gita Permata</v>
      </c>
      <c r="F449" s="10" t="str">
        <f>INDEX(Master_Sales!$D$1:$D$9,MATCH(Lembar_Kerja_Analisis!B449,Master_Sales!$A$1:$A$9,0))</f>
        <v>Tengah</v>
      </c>
      <c r="G449" s="10" t="str">
        <f>INDEX(Master_Sales!$C$1:$C$9,MATCH(Lembar_Kerja_Analisis!B449,Master_Sales!$A$1:$A$9,0))</f>
        <v>Denpasar</v>
      </c>
      <c r="H449" s="10" t="str">
        <f>VLOOKUP(A449,Master_Produk!$A$1:$E$16,2,FALSE)</f>
        <v>Susu UHT Full Cream 1L</v>
      </c>
      <c r="I449" s="10" t="str">
        <f>INDEX(Master_Produk!$C$1:$C$16,MATCH(Lembar_Kerja_Analisis!A449,Master_Produk!$A$1:$A$16,0))</f>
        <v>F&amp;B</v>
      </c>
      <c r="J449" s="19">
        <f>_xlfn.XLOOKUP(A449,Master_Produk!$A$1:$A$16,Master_Produk!$D$1:$D$16,,0)</f>
        <v>22000</v>
      </c>
      <c r="K449" s="19">
        <f>INDEX(Master_Produk!$E$1:$E$16,MATCH(Lembar_Kerja_Analisis!A449,Master_Produk!$A$1:$A$16,0))</f>
        <v>18000</v>
      </c>
      <c r="L449" s="8">
        <v>18</v>
      </c>
      <c r="M449" s="19">
        <f t="shared" si="30"/>
        <v>396000</v>
      </c>
      <c r="N449" s="9">
        <v>0.1</v>
      </c>
      <c r="O449" s="19">
        <f t="shared" si="31"/>
        <v>39600</v>
      </c>
      <c r="P449" s="19">
        <f t="shared" si="32"/>
        <v>356400</v>
      </c>
      <c r="Q449" s="19">
        <f t="shared" si="33"/>
        <v>324000</v>
      </c>
      <c r="R449" s="19">
        <f t="shared" si="34"/>
        <v>32400</v>
      </c>
    </row>
    <row r="450" spans="1:18" x14ac:dyDescent="0.25">
      <c r="A450" t="str">
        <f>_xlfn.XLOOKUP(C450,Raw_Data_Transaksi!$A$1:$A$1001,Raw_Data_Transaksi!$D$1:$D$1001,,0)</f>
        <v>PRD-111</v>
      </c>
      <c r="B450" t="str">
        <f>_xlfn.XLOOKUP(C450,Raw_Data_Transaksi!$A$1:$A$1001,Raw_Data_Transaksi!$C$1:$C$1001,,0)</f>
        <v>SLS-03</v>
      </c>
      <c r="C450" s="6" t="s">
        <v>534</v>
      </c>
      <c r="D450" s="7">
        <v>45772</v>
      </c>
      <c r="E450" s="10" t="str">
        <f>VLOOKUP(B450,Master_Sales!$A$1:$D$9,2,FALSE)</f>
        <v>Citra Lestari</v>
      </c>
      <c r="F450" s="10" t="str">
        <f>INDEX(Master_Sales!$D$1:$D$9,MATCH(Lembar_Kerja_Analisis!B450,Master_Sales!$A$1:$A$9,0))</f>
        <v>Barat</v>
      </c>
      <c r="G450" s="10" t="str">
        <f>INDEX(Master_Sales!$C$1:$C$9,MATCH(Lembar_Kerja_Analisis!B450,Master_Sales!$A$1:$A$9,0))</f>
        <v>Bandung</v>
      </c>
      <c r="H450" s="10" t="str">
        <f>VLOOKUP(A450,Master_Produk!$A$1:$E$16,2,FALSE)</f>
        <v>Beras Premium 5kg</v>
      </c>
      <c r="I450" s="10" t="str">
        <f>INDEX(Master_Produk!$C$1:$C$16,MATCH(Lembar_Kerja_Analisis!A450,Master_Produk!$A$1:$A$16,0))</f>
        <v>F&amp;B</v>
      </c>
      <c r="J450" s="19">
        <f>_xlfn.XLOOKUP(A450,Master_Produk!$A$1:$A$16,Master_Produk!$D$1:$D$16,,0)</f>
        <v>74000</v>
      </c>
      <c r="K450" s="19">
        <f>INDEX(Master_Produk!$E$1:$E$16,MATCH(Lembar_Kerja_Analisis!A450,Master_Produk!$A$1:$A$16,0))</f>
        <v>65000</v>
      </c>
      <c r="L450" s="8">
        <v>12</v>
      </c>
      <c r="M450" s="19">
        <f t="shared" si="30"/>
        <v>888000</v>
      </c>
      <c r="N450" s="9">
        <v>0.1</v>
      </c>
      <c r="O450" s="19">
        <f t="shared" si="31"/>
        <v>88800</v>
      </c>
      <c r="P450" s="19">
        <f t="shared" si="32"/>
        <v>799200</v>
      </c>
      <c r="Q450" s="19">
        <f t="shared" si="33"/>
        <v>780000</v>
      </c>
      <c r="R450" s="19">
        <f t="shared" si="34"/>
        <v>19200</v>
      </c>
    </row>
    <row r="451" spans="1:18" x14ac:dyDescent="0.25">
      <c r="A451" t="str">
        <f>_xlfn.XLOOKUP(C451,Raw_Data_Transaksi!$A$1:$A$1001,Raw_Data_Transaksi!$D$1:$D$1001,,0)</f>
        <v>PRD-110</v>
      </c>
      <c r="B451" t="str">
        <f>_xlfn.XLOOKUP(C451,Raw_Data_Transaksi!$A$1:$A$1001,Raw_Data_Transaksi!$C$1:$C$1001,,0)</f>
        <v>SLS-07</v>
      </c>
      <c r="C451" s="6" t="s">
        <v>535</v>
      </c>
      <c r="D451" s="7">
        <v>46017</v>
      </c>
      <c r="E451" s="10" t="str">
        <f>VLOOKUP(B451,Master_Sales!$A$1:$D$9,2,FALSE)</f>
        <v>Gita Permata</v>
      </c>
      <c r="F451" s="10" t="str">
        <f>INDEX(Master_Sales!$D$1:$D$9,MATCH(Lembar_Kerja_Analisis!B451,Master_Sales!$A$1:$A$9,0))</f>
        <v>Tengah</v>
      </c>
      <c r="G451" s="10" t="str">
        <f>INDEX(Master_Sales!$C$1:$C$9,MATCH(Lembar_Kerja_Analisis!B451,Master_Sales!$A$1:$A$9,0))</f>
        <v>Denpasar</v>
      </c>
      <c r="H451" s="10" t="str">
        <f>VLOOKUP(A451,Master_Produk!$A$1:$E$16,2,FALSE)</f>
        <v>Minyak Goreng Sawit 2L</v>
      </c>
      <c r="I451" s="10" t="str">
        <f>INDEX(Master_Produk!$C$1:$C$16,MATCH(Lembar_Kerja_Analisis!A451,Master_Produk!$A$1:$A$16,0))</f>
        <v>F&amp;B</v>
      </c>
      <c r="J451" s="19">
        <f>_xlfn.XLOOKUP(A451,Master_Produk!$A$1:$A$16,Master_Produk!$D$1:$D$16,,0)</f>
        <v>36000</v>
      </c>
      <c r="K451" s="19">
        <f>INDEX(Master_Produk!$E$1:$E$16,MATCH(Lembar_Kerja_Analisis!A451,Master_Produk!$A$1:$A$16,0))</f>
        <v>31000</v>
      </c>
      <c r="L451" s="8">
        <v>4</v>
      </c>
      <c r="M451" s="19">
        <f t="shared" ref="M451:M514" si="35">L451*J451</f>
        <v>144000</v>
      </c>
      <c r="N451" s="9">
        <v>0.05</v>
      </c>
      <c r="O451" s="19">
        <f t="shared" ref="O451:O514" si="36">M451*N451</f>
        <v>7200</v>
      </c>
      <c r="P451" s="19">
        <f t="shared" ref="P451:P514" si="37">M451-O451</f>
        <v>136800</v>
      </c>
      <c r="Q451" s="19">
        <f t="shared" ref="Q451:Q514" si="38">L451*K451</f>
        <v>124000</v>
      </c>
      <c r="R451" s="19">
        <f t="shared" ref="R451:R514" si="39">P451-Q451</f>
        <v>12800</v>
      </c>
    </row>
    <row r="452" spans="1:18" x14ac:dyDescent="0.25">
      <c r="A452" t="str">
        <f>_xlfn.XLOOKUP(C452,Raw_Data_Transaksi!$A$1:$A$1001,Raw_Data_Transaksi!$D$1:$D$1001,,0)</f>
        <v>PRD-110</v>
      </c>
      <c r="B452" t="str">
        <f>_xlfn.XLOOKUP(C452,Raw_Data_Transaksi!$A$1:$A$1001,Raw_Data_Transaksi!$C$1:$C$1001,,0)</f>
        <v>SLS-02</v>
      </c>
      <c r="C452" s="6" t="s">
        <v>536</v>
      </c>
      <c r="D452" s="7">
        <v>45985</v>
      </c>
      <c r="E452" s="10" t="str">
        <f>VLOOKUP(B452,Master_Sales!$A$1:$D$9,2,FALSE)</f>
        <v>Budi Santoso</v>
      </c>
      <c r="F452" s="10" t="str">
        <f>INDEX(Master_Sales!$D$1:$D$9,MATCH(Lembar_Kerja_Analisis!B452,Master_Sales!$A$1:$A$9,0))</f>
        <v>Timur</v>
      </c>
      <c r="G452" s="10" t="str">
        <f>INDEX(Master_Sales!$C$1:$C$9,MATCH(Lembar_Kerja_Analisis!B452,Master_Sales!$A$1:$A$9,0))</f>
        <v>Surabaya</v>
      </c>
      <c r="H452" s="10" t="str">
        <f>VLOOKUP(A452,Master_Produk!$A$1:$E$16,2,FALSE)</f>
        <v>Minyak Goreng Sawit 2L</v>
      </c>
      <c r="I452" s="10" t="str">
        <f>INDEX(Master_Produk!$C$1:$C$16,MATCH(Lembar_Kerja_Analisis!A452,Master_Produk!$A$1:$A$16,0))</f>
        <v>F&amp;B</v>
      </c>
      <c r="J452" s="19">
        <f>_xlfn.XLOOKUP(A452,Master_Produk!$A$1:$A$16,Master_Produk!$D$1:$D$16,,0)</f>
        <v>36000</v>
      </c>
      <c r="K452" s="19">
        <f>INDEX(Master_Produk!$E$1:$E$16,MATCH(Lembar_Kerja_Analisis!A452,Master_Produk!$A$1:$A$16,0))</f>
        <v>31000</v>
      </c>
      <c r="L452" s="8">
        <v>7</v>
      </c>
      <c r="M452" s="19">
        <f t="shared" si="35"/>
        <v>252000</v>
      </c>
      <c r="N452" s="9">
        <v>0.1</v>
      </c>
      <c r="O452" s="19">
        <f t="shared" si="36"/>
        <v>25200</v>
      </c>
      <c r="P452" s="19">
        <f t="shared" si="37"/>
        <v>226800</v>
      </c>
      <c r="Q452" s="19">
        <f t="shared" si="38"/>
        <v>217000</v>
      </c>
      <c r="R452" s="19">
        <f t="shared" si="39"/>
        <v>9800</v>
      </c>
    </row>
    <row r="453" spans="1:18" x14ac:dyDescent="0.25">
      <c r="A453" t="str">
        <f>_xlfn.XLOOKUP(C453,Raw_Data_Transaksi!$A$1:$A$1001,Raw_Data_Transaksi!$D$1:$D$1001,,0)</f>
        <v>PRD-103</v>
      </c>
      <c r="B453" t="str">
        <f>_xlfn.XLOOKUP(C453,Raw_Data_Transaksi!$A$1:$A$1001,Raw_Data_Transaksi!$C$1:$C$1001,,0)</f>
        <v>SLS-02</v>
      </c>
      <c r="C453" s="6" t="s">
        <v>537</v>
      </c>
      <c r="D453" s="7">
        <v>45821</v>
      </c>
      <c r="E453" s="10" t="str">
        <f>VLOOKUP(B453,Master_Sales!$A$1:$D$9,2,FALSE)</f>
        <v>Budi Santoso</v>
      </c>
      <c r="F453" s="10" t="str">
        <f>INDEX(Master_Sales!$D$1:$D$9,MATCH(Lembar_Kerja_Analisis!B453,Master_Sales!$A$1:$A$9,0))</f>
        <v>Timur</v>
      </c>
      <c r="G453" s="10" t="str">
        <f>INDEX(Master_Sales!$C$1:$C$9,MATCH(Lembar_Kerja_Analisis!B453,Master_Sales!$A$1:$A$9,0))</f>
        <v>Surabaya</v>
      </c>
      <c r="H453" s="10" t="str">
        <f>VLOOKUP(A453,Master_Produk!$A$1:$E$16,2,FALSE)</f>
        <v>Mechanical Keyboard RGB</v>
      </c>
      <c r="I453" s="10" t="str">
        <f>INDEX(Master_Produk!$C$1:$C$16,MATCH(Lembar_Kerja_Analisis!A453,Master_Produk!$A$1:$A$16,0))</f>
        <v>Elektronik</v>
      </c>
      <c r="J453" s="19">
        <f>_xlfn.XLOOKUP(A453,Master_Produk!$A$1:$A$16,Master_Produk!$D$1:$D$16,,0)</f>
        <v>750000</v>
      </c>
      <c r="K453" s="19">
        <f>INDEX(Master_Produk!$E$1:$E$16,MATCH(Lembar_Kerja_Analisis!A453,Master_Produk!$A$1:$A$16,0))</f>
        <v>520000</v>
      </c>
      <c r="L453" s="8">
        <v>12</v>
      </c>
      <c r="M453" s="19">
        <f t="shared" si="35"/>
        <v>9000000</v>
      </c>
      <c r="N453" s="9">
        <v>0.1</v>
      </c>
      <c r="O453" s="19">
        <f t="shared" si="36"/>
        <v>900000</v>
      </c>
      <c r="P453" s="19">
        <f t="shared" si="37"/>
        <v>8100000</v>
      </c>
      <c r="Q453" s="19">
        <f t="shared" si="38"/>
        <v>6240000</v>
      </c>
      <c r="R453" s="19">
        <f t="shared" si="39"/>
        <v>1860000</v>
      </c>
    </row>
    <row r="454" spans="1:18" x14ac:dyDescent="0.25">
      <c r="A454" t="str">
        <f>_xlfn.XLOOKUP(C454,Raw_Data_Transaksi!$A$1:$A$1001,Raw_Data_Transaksi!$D$1:$D$1001,,0)</f>
        <v>PRD-104</v>
      </c>
      <c r="B454" t="str">
        <f>_xlfn.XLOOKUP(C454,Raw_Data_Transaksi!$A$1:$A$1001,Raw_Data_Transaksi!$C$1:$C$1001,,0)</f>
        <v>SLS-02</v>
      </c>
      <c r="C454" s="6" t="s">
        <v>538</v>
      </c>
      <c r="D454" s="7">
        <v>45765</v>
      </c>
      <c r="E454" s="10" t="str">
        <f>VLOOKUP(B454,Master_Sales!$A$1:$D$9,2,FALSE)</f>
        <v>Budi Santoso</v>
      </c>
      <c r="F454" s="10" t="str">
        <f>INDEX(Master_Sales!$D$1:$D$9,MATCH(Lembar_Kerja_Analisis!B454,Master_Sales!$A$1:$A$9,0))</f>
        <v>Timur</v>
      </c>
      <c r="G454" s="10" t="str">
        <f>INDEX(Master_Sales!$C$1:$C$9,MATCH(Lembar_Kerja_Analisis!B454,Master_Sales!$A$1:$A$9,0))</f>
        <v>Surabaya</v>
      </c>
      <c r="H454" s="10" t="str">
        <f>VLOOKUP(A454,Master_Produk!$A$1:$E$16,2,FALSE)</f>
        <v>Monitor 24" FHD 144Hz</v>
      </c>
      <c r="I454" s="10" t="str">
        <f>INDEX(Master_Produk!$C$1:$C$16,MATCH(Lembar_Kerja_Analisis!A454,Master_Produk!$A$1:$A$16,0))</f>
        <v>Elektronik</v>
      </c>
      <c r="J454" s="19">
        <f>_xlfn.XLOOKUP(A454,Master_Produk!$A$1:$A$16,Master_Produk!$D$1:$D$16,,0)</f>
        <v>1950000</v>
      </c>
      <c r="K454" s="19">
        <f>INDEX(Master_Produk!$E$1:$E$16,MATCH(Lembar_Kerja_Analisis!A454,Master_Produk!$A$1:$A$16,0))</f>
        <v>1500000</v>
      </c>
      <c r="L454" s="8">
        <v>6</v>
      </c>
      <c r="M454" s="19">
        <f t="shared" si="35"/>
        <v>11700000</v>
      </c>
      <c r="N454" s="9">
        <v>0.1</v>
      </c>
      <c r="O454" s="19">
        <f t="shared" si="36"/>
        <v>1170000</v>
      </c>
      <c r="P454" s="19">
        <f t="shared" si="37"/>
        <v>10530000</v>
      </c>
      <c r="Q454" s="19">
        <f t="shared" si="38"/>
        <v>9000000</v>
      </c>
      <c r="R454" s="19">
        <f t="shared" si="39"/>
        <v>1530000</v>
      </c>
    </row>
    <row r="455" spans="1:18" x14ac:dyDescent="0.25">
      <c r="A455" t="str">
        <f>_xlfn.XLOOKUP(C455,Raw_Data_Transaksi!$A$1:$A$1001,Raw_Data_Transaksi!$D$1:$D$1001,,0)</f>
        <v>PRD-107</v>
      </c>
      <c r="B455" t="str">
        <f>_xlfn.XLOOKUP(C455,Raw_Data_Transaksi!$A$1:$A$1001,Raw_Data_Transaksi!$C$1:$C$1001,,0)</f>
        <v>SLS-08</v>
      </c>
      <c r="C455" s="6" t="s">
        <v>539</v>
      </c>
      <c r="D455" s="7">
        <v>45682</v>
      </c>
      <c r="E455" s="10" t="str">
        <f>VLOOKUP(B455,Master_Sales!$A$1:$D$9,2,FALSE)</f>
        <v>Hendra Wijaya</v>
      </c>
      <c r="F455" s="10" t="str">
        <f>INDEX(Master_Sales!$D$1:$D$9,MATCH(Lembar_Kerja_Analisis!B455,Master_Sales!$A$1:$A$9,0))</f>
        <v>Tengah</v>
      </c>
      <c r="G455" s="10" t="str">
        <f>INDEX(Master_Sales!$C$1:$C$9,MATCH(Lembar_Kerja_Analisis!B455,Master_Sales!$A$1:$A$9,0))</f>
        <v>Yogyakarta</v>
      </c>
      <c r="H455" s="10" t="str">
        <f>VLOOKUP(A455,Master_Produk!$A$1:$E$16,2,FALSE)</f>
        <v>Jaket Hoodie Casual</v>
      </c>
      <c r="I455" s="10" t="str">
        <f>INDEX(Master_Produk!$C$1:$C$16,MATCH(Lembar_Kerja_Analisis!A455,Master_Produk!$A$1:$A$16,0))</f>
        <v>Fashion</v>
      </c>
      <c r="J455" s="19">
        <f>_xlfn.XLOOKUP(A455,Master_Produk!$A$1:$A$16,Master_Produk!$D$1:$D$16,,0)</f>
        <v>350000</v>
      </c>
      <c r="K455" s="19">
        <f>INDEX(Master_Produk!$E$1:$E$16,MATCH(Lembar_Kerja_Analisis!A455,Master_Produk!$A$1:$A$16,0))</f>
        <v>220000</v>
      </c>
      <c r="L455" s="8">
        <v>12</v>
      </c>
      <c r="M455" s="19">
        <f t="shared" si="35"/>
        <v>4200000</v>
      </c>
      <c r="N455" s="9">
        <v>0.15</v>
      </c>
      <c r="O455" s="19">
        <f t="shared" si="36"/>
        <v>630000</v>
      </c>
      <c r="P455" s="19">
        <f t="shared" si="37"/>
        <v>3570000</v>
      </c>
      <c r="Q455" s="19">
        <f t="shared" si="38"/>
        <v>2640000</v>
      </c>
      <c r="R455" s="19">
        <f t="shared" si="39"/>
        <v>930000</v>
      </c>
    </row>
    <row r="456" spans="1:18" x14ac:dyDescent="0.25">
      <c r="A456" t="str">
        <f>_xlfn.XLOOKUP(C456,Raw_Data_Transaksi!$A$1:$A$1001,Raw_Data_Transaksi!$D$1:$D$1001,,0)</f>
        <v>PRD-106</v>
      </c>
      <c r="B456" t="str">
        <f>_xlfn.XLOOKUP(C456,Raw_Data_Transaksi!$A$1:$A$1001,Raw_Data_Transaksi!$C$1:$C$1001,,0)</f>
        <v>SLS-07</v>
      </c>
      <c r="C456" s="6" t="s">
        <v>540</v>
      </c>
      <c r="D456" s="7">
        <v>45851</v>
      </c>
      <c r="E456" s="10" t="str">
        <f>VLOOKUP(B456,Master_Sales!$A$1:$D$9,2,FALSE)</f>
        <v>Gita Permata</v>
      </c>
      <c r="F456" s="10" t="str">
        <f>INDEX(Master_Sales!$D$1:$D$9,MATCH(Lembar_Kerja_Analisis!B456,Master_Sales!$A$1:$A$9,0))</f>
        <v>Tengah</v>
      </c>
      <c r="G456" s="10" t="str">
        <f>INDEX(Master_Sales!$C$1:$C$9,MATCH(Lembar_Kerja_Analisis!B456,Master_Sales!$A$1:$A$9,0))</f>
        <v>Denpasar</v>
      </c>
      <c r="H456" s="10" t="str">
        <f>VLOOKUP(A456,Master_Produk!$A$1:$E$16,2,FALSE)</f>
        <v>Celana Chino Slim Fit</v>
      </c>
      <c r="I456" s="10" t="str">
        <f>INDEX(Master_Produk!$C$1:$C$16,MATCH(Lembar_Kerja_Analisis!A456,Master_Produk!$A$1:$A$16,0))</f>
        <v>Fashion</v>
      </c>
      <c r="J456" s="19">
        <f>_xlfn.XLOOKUP(A456,Master_Produk!$A$1:$A$16,Master_Produk!$D$1:$D$16,,0)</f>
        <v>280000</v>
      </c>
      <c r="K456" s="19">
        <f>INDEX(Master_Produk!$E$1:$E$16,MATCH(Lembar_Kerja_Analisis!A456,Master_Produk!$A$1:$A$16,0))</f>
        <v>175000</v>
      </c>
      <c r="L456" s="8">
        <v>2</v>
      </c>
      <c r="M456" s="19">
        <f t="shared" si="35"/>
        <v>560000</v>
      </c>
      <c r="N456" s="9">
        <v>0.15</v>
      </c>
      <c r="O456" s="19">
        <f t="shared" si="36"/>
        <v>84000</v>
      </c>
      <c r="P456" s="19">
        <f t="shared" si="37"/>
        <v>476000</v>
      </c>
      <c r="Q456" s="19">
        <f t="shared" si="38"/>
        <v>350000</v>
      </c>
      <c r="R456" s="19">
        <f t="shared" si="39"/>
        <v>126000</v>
      </c>
    </row>
    <row r="457" spans="1:18" x14ac:dyDescent="0.25">
      <c r="A457" t="str">
        <f>_xlfn.XLOOKUP(C457,Raw_Data_Transaksi!$A$1:$A$1001,Raw_Data_Transaksi!$D$1:$D$1001,,0)</f>
        <v>PRD-113</v>
      </c>
      <c r="B457" t="str">
        <f>_xlfn.XLOOKUP(C457,Raw_Data_Transaksi!$A$1:$A$1001,Raw_Data_Transaksi!$C$1:$C$1001,,0)</f>
        <v>SLS-01</v>
      </c>
      <c r="C457" s="6" t="s">
        <v>541</v>
      </c>
      <c r="D457" s="7">
        <v>45695</v>
      </c>
      <c r="E457" s="10" t="str">
        <f>VLOOKUP(B457,Master_Sales!$A$1:$D$9,2,FALSE)</f>
        <v>Andi Pratama</v>
      </c>
      <c r="F457" s="10" t="str">
        <f>INDEX(Master_Sales!$D$1:$D$9,MATCH(Lembar_Kerja_Analisis!B457,Master_Sales!$A$1:$A$9,0))</f>
        <v>Barat</v>
      </c>
      <c r="G457" s="10" t="str">
        <f>INDEX(Master_Sales!$C$1:$C$9,MATCH(Lembar_Kerja_Analisis!B457,Master_Sales!$A$1:$A$9,0))</f>
        <v>Jakarta</v>
      </c>
      <c r="H457" s="10" t="str">
        <f>VLOOKUP(A457,Master_Produk!$A$1:$E$16,2,FALSE)</f>
        <v>Wajan Anti Lengket 28cm</v>
      </c>
      <c r="I457" s="10" t="str">
        <f>INDEX(Master_Produk!$C$1:$C$16,MATCH(Lembar_Kerja_Analisis!A457,Master_Produk!$A$1:$A$16,0))</f>
        <v>Peralatan Rumah</v>
      </c>
      <c r="J457" s="19">
        <f>_xlfn.XLOOKUP(A457,Master_Produk!$A$1:$A$16,Master_Produk!$D$1:$D$16,,0)</f>
        <v>210000</v>
      </c>
      <c r="K457" s="19">
        <f>INDEX(Master_Produk!$E$1:$E$16,MATCH(Lembar_Kerja_Analisis!A457,Master_Produk!$A$1:$A$16,0))</f>
        <v>140000</v>
      </c>
      <c r="L457" s="8">
        <v>5</v>
      </c>
      <c r="M457" s="19">
        <f t="shared" si="35"/>
        <v>1050000</v>
      </c>
      <c r="N457" s="9">
        <v>0</v>
      </c>
      <c r="O457" s="19">
        <f t="shared" si="36"/>
        <v>0</v>
      </c>
      <c r="P457" s="19">
        <f t="shared" si="37"/>
        <v>1050000</v>
      </c>
      <c r="Q457" s="19">
        <f t="shared" si="38"/>
        <v>700000</v>
      </c>
      <c r="R457" s="19">
        <f t="shared" si="39"/>
        <v>350000</v>
      </c>
    </row>
    <row r="458" spans="1:18" x14ac:dyDescent="0.25">
      <c r="A458" t="str">
        <f>_xlfn.XLOOKUP(C458,Raw_Data_Transaksi!$A$1:$A$1001,Raw_Data_Transaksi!$D$1:$D$1001,,0)</f>
        <v>PRD-106</v>
      </c>
      <c r="B458" t="str">
        <f>_xlfn.XLOOKUP(C458,Raw_Data_Transaksi!$A$1:$A$1001,Raw_Data_Transaksi!$C$1:$C$1001,,0)</f>
        <v>SLS-03</v>
      </c>
      <c r="C458" s="6" t="s">
        <v>542</v>
      </c>
      <c r="D458" s="7">
        <v>45695</v>
      </c>
      <c r="E458" s="10" t="str">
        <f>VLOOKUP(B458,Master_Sales!$A$1:$D$9,2,FALSE)</f>
        <v>Citra Lestari</v>
      </c>
      <c r="F458" s="10" t="str">
        <f>INDEX(Master_Sales!$D$1:$D$9,MATCH(Lembar_Kerja_Analisis!B458,Master_Sales!$A$1:$A$9,0))</f>
        <v>Barat</v>
      </c>
      <c r="G458" s="10" t="str">
        <f>INDEX(Master_Sales!$C$1:$C$9,MATCH(Lembar_Kerja_Analisis!B458,Master_Sales!$A$1:$A$9,0))</f>
        <v>Bandung</v>
      </c>
      <c r="H458" s="10" t="str">
        <f>VLOOKUP(A458,Master_Produk!$A$1:$E$16,2,FALSE)</f>
        <v>Celana Chino Slim Fit</v>
      </c>
      <c r="I458" s="10" t="str">
        <f>INDEX(Master_Produk!$C$1:$C$16,MATCH(Lembar_Kerja_Analisis!A458,Master_Produk!$A$1:$A$16,0))</f>
        <v>Fashion</v>
      </c>
      <c r="J458" s="19">
        <f>_xlfn.XLOOKUP(A458,Master_Produk!$A$1:$A$16,Master_Produk!$D$1:$D$16,,0)</f>
        <v>280000</v>
      </c>
      <c r="K458" s="19">
        <f>INDEX(Master_Produk!$E$1:$E$16,MATCH(Lembar_Kerja_Analisis!A458,Master_Produk!$A$1:$A$16,0))</f>
        <v>175000</v>
      </c>
      <c r="L458" s="8">
        <v>7</v>
      </c>
      <c r="M458" s="19">
        <f t="shared" si="35"/>
        <v>1960000</v>
      </c>
      <c r="N458" s="9">
        <v>0.05</v>
      </c>
      <c r="O458" s="19">
        <f t="shared" si="36"/>
        <v>98000</v>
      </c>
      <c r="P458" s="19">
        <f t="shared" si="37"/>
        <v>1862000</v>
      </c>
      <c r="Q458" s="19">
        <f t="shared" si="38"/>
        <v>1225000</v>
      </c>
      <c r="R458" s="19">
        <f t="shared" si="39"/>
        <v>637000</v>
      </c>
    </row>
    <row r="459" spans="1:18" x14ac:dyDescent="0.25">
      <c r="A459" t="str">
        <f>_xlfn.XLOOKUP(C459,Raw_Data_Transaksi!$A$1:$A$1001,Raw_Data_Transaksi!$D$1:$D$1001,,0)</f>
        <v>PRD-110</v>
      </c>
      <c r="B459" t="str">
        <f>_xlfn.XLOOKUP(C459,Raw_Data_Transaksi!$A$1:$A$1001,Raw_Data_Transaksi!$C$1:$C$1001,,0)</f>
        <v>SLS-08</v>
      </c>
      <c r="C459" s="6" t="s">
        <v>543</v>
      </c>
      <c r="D459" s="7">
        <v>45831</v>
      </c>
      <c r="E459" s="10" t="str">
        <f>VLOOKUP(B459,Master_Sales!$A$1:$D$9,2,FALSE)</f>
        <v>Hendra Wijaya</v>
      </c>
      <c r="F459" s="10" t="str">
        <f>INDEX(Master_Sales!$D$1:$D$9,MATCH(Lembar_Kerja_Analisis!B459,Master_Sales!$A$1:$A$9,0))</f>
        <v>Tengah</v>
      </c>
      <c r="G459" s="10" t="str">
        <f>INDEX(Master_Sales!$C$1:$C$9,MATCH(Lembar_Kerja_Analisis!B459,Master_Sales!$A$1:$A$9,0))</f>
        <v>Yogyakarta</v>
      </c>
      <c r="H459" s="10" t="str">
        <f>VLOOKUP(A459,Master_Produk!$A$1:$E$16,2,FALSE)</f>
        <v>Minyak Goreng Sawit 2L</v>
      </c>
      <c r="I459" s="10" t="str">
        <f>INDEX(Master_Produk!$C$1:$C$16,MATCH(Lembar_Kerja_Analisis!A459,Master_Produk!$A$1:$A$16,0))</f>
        <v>F&amp;B</v>
      </c>
      <c r="J459" s="19">
        <f>_xlfn.XLOOKUP(A459,Master_Produk!$A$1:$A$16,Master_Produk!$D$1:$D$16,,0)</f>
        <v>36000</v>
      </c>
      <c r="K459" s="19">
        <f>INDEX(Master_Produk!$E$1:$E$16,MATCH(Lembar_Kerja_Analisis!A459,Master_Produk!$A$1:$A$16,0))</f>
        <v>31000</v>
      </c>
      <c r="L459" s="8">
        <v>3</v>
      </c>
      <c r="M459" s="19">
        <f t="shared" si="35"/>
        <v>108000</v>
      </c>
      <c r="N459" s="9">
        <v>0.15</v>
      </c>
      <c r="O459" s="19">
        <f t="shared" si="36"/>
        <v>16200</v>
      </c>
      <c r="P459" s="19">
        <f t="shared" si="37"/>
        <v>91800</v>
      </c>
      <c r="Q459" s="19">
        <f t="shared" si="38"/>
        <v>93000</v>
      </c>
      <c r="R459" s="19">
        <f t="shared" si="39"/>
        <v>-1200</v>
      </c>
    </row>
    <row r="460" spans="1:18" x14ac:dyDescent="0.25">
      <c r="A460" t="str">
        <f>_xlfn.XLOOKUP(C460,Raw_Data_Transaksi!$A$1:$A$1001,Raw_Data_Transaksi!$D$1:$D$1001,,0)</f>
        <v>PRD-101</v>
      </c>
      <c r="B460" t="str">
        <f>_xlfn.XLOOKUP(C460,Raw_Data_Transaksi!$A$1:$A$1001,Raw_Data_Transaksi!$C$1:$C$1001,,0)</f>
        <v>SLS-02</v>
      </c>
      <c r="C460" s="6" t="s">
        <v>544</v>
      </c>
      <c r="D460" s="7">
        <v>45738</v>
      </c>
      <c r="E460" s="10" t="str">
        <f>VLOOKUP(B460,Master_Sales!$A$1:$D$9,2,FALSE)</f>
        <v>Budi Santoso</v>
      </c>
      <c r="F460" s="10" t="str">
        <f>INDEX(Master_Sales!$D$1:$D$9,MATCH(Lembar_Kerja_Analisis!B460,Master_Sales!$A$1:$A$9,0))</f>
        <v>Timur</v>
      </c>
      <c r="G460" s="10" t="str">
        <f>INDEX(Master_Sales!$C$1:$C$9,MATCH(Lembar_Kerja_Analisis!B460,Master_Sales!$A$1:$A$9,0))</f>
        <v>Surabaya</v>
      </c>
      <c r="H460" s="10" t="str">
        <f>VLOOKUP(A460,Master_Produk!$A$1:$E$16,2,FALSE)</f>
        <v>Laptop Ultrabook 14"</v>
      </c>
      <c r="I460" s="10" t="str">
        <f>INDEX(Master_Produk!$C$1:$C$16,MATCH(Lembar_Kerja_Analisis!A460,Master_Produk!$A$1:$A$16,0))</f>
        <v>Elektronik</v>
      </c>
      <c r="J460" s="19">
        <f>_xlfn.XLOOKUP(A460,Master_Produk!$A$1:$A$16,Master_Produk!$D$1:$D$16,,0)</f>
        <v>8500000</v>
      </c>
      <c r="K460" s="19">
        <f>INDEX(Master_Produk!$E$1:$E$16,MATCH(Lembar_Kerja_Analisis!A460,Master_Produk!$A$1:$A$16,0))</f>
        <v>7200000</v>
      </c>
      <c r="L460" s="8">
        <v>6</v>
      </c>
      <c r="M460" s="19">
        <f t="shared" si="35"/>
        <v>51000000</v>
      </c>
      <c r="N460" s="9">
        <v>0.05</v>
      </c>
      <c r="O460" s="19">
        <f t="shared" si="36"/>
        <v>2550000</v>
      </c>
      <c r="P460" s="19">
        <f t="shared" si="37"/>
        <v>48450000</v>
      </c>
      <c r="Q460" s="19">
        <f t="shared" si="38"/>
        <v>43200000</v>
      </c>
      <c r="R460" s="19">
        <f t="shared" si="39"/>
        <v>5250000</v>
      </c>
    </row>
    <row r="461" spans="1:18" x14ac:dyDescent="0.25">
      <c r="A461" t="str">
        <f>_xlfn.XLOOKUP(C461,Raw_Data_Transaksi!$A$1:$A$1001,Raw_Data_Transaksi!$D$1:$D$1001,,0)</f>
        <v>PRD-105</v>
      </c>
      <c r="B461" t="str">
        <f>_xlfn.XLOOKUP(C461,Raw_Data_Transaksi!$A$1:$A$1001,Raw_Data_Transaksi!$C$1:$C$1001,,0)</f>
        <v>SLS-05</v>
      </c>
      <c r="C461" s="6" t="s">
        <v>545</v>
      </c>
      <c r="D461" s="7">
        <v>45996</v>
      </c>
      <c r="E461" s="10" t="str">
        <f>VLOOKUP(B461,Master_Sales!$A$1:$D$9,2,FALSE)</f>
        <v>Eko Prasetyo</v>
      </c>
      <c r="F461" s="10" t="str">
        <f>INDEX(Master_Sales!$D$1:$D$9,MATCH(Lembar_Kerja_Analisis!B461,Master_Sales!$A$1:$A$9,0))</f>
        <v>Tengah</v>
      </c>
      <c r="G461" s="10" t="str">
        <f>INDEX(Master_Sales!$C$1:$C$9,MATCH(Lembar_Kerja_Analisis!B461,Master_Sales!$A$1:$A$9,0))</f>
        <v>Semarang</v>
      </c>
      <c r="H461" s="10" t="str">
        <f>VLOOKUP(A461,Master_Produk!$A$1:$E$16,2,FALSE)</f>
        <v>Kemeja Batik Katun Premium</v>
      </c>
      <c r="I461" s="10" t="str">
        <f>INDEX(Master_Produk!$C$1:$C$16,MATCH(Lembar_Kerja_Analisis!A461,Master_Produk!$A$1:$A$16,0))</f>
        <v>Fashion</v>
      </c>
      <c r="J461" s="19">
        <f>_xlfn.XLOOKUP(A461,Master_Produk!$A$1:$A$16,Master_Produk!$D$1:$D$16,,0)</f>
        <v>320000</v>
      </c>
      <c r="K461" s="19">
        <f>INDEX(Master_Produk!$E$1:$E$16,MATCH(Lembar_Kerja_Analisis!A461,Master_Produk!$A$1:$A$16,0))</f>
        <v>190000</v>
      </c>
      <c r="L461" s="8">
        <v>4</v>
      </c>
      <c r="M461" s="19">
        <f t="shared" si="35"/>
        <v>1280000</v>
      </c>
      <c r="N461" s="9">
        <v>0</v>
      </c>
      <c r="O461" s="19">
        <f t="shared" si="36"/>
        <v>0</v>
      </c>
      <c r="P461" s="19">
        <f t="shared" si="37"/>
        <v>1280000</v>
      </c>
      <c r="Q461" s="19">
        <f t="shared" si="38"/>
        <v>760000</v>
      </c>
      <c r="R461" s="19">
        <f t="shared" si="39"/>
        <v>520000</v>
      </c>
    </row>
    <row r="462" spans="1:18" x14ac:dyDescent="0.25">
      <c r="A462" t="str">
        <f>_xlfn.XLOOKUP(C462,Raw_Data_Transaksi!$A$1:$A$1001,Raw_Data_Transaksi!$D$1:$D$1001,,0)</f>
        <v>PRD-101</v>
      </c>
      <c r="B462" t="str">
        <f>_xlfn.XLOOKUP(C462,Raw_Data_Transaksi!$A$1:$A$1001,Raw_Data_Transaksi!$C$1:$C$1001,,0)</f>
        <v>SLS-06</v>
      </c>
      <c r="C462" s="6" t="s">
        <v>546</v>
      </c>
      <c r="D462" s="7">
        <v>45736</v>
      </c>
      <c r="E462" s="10" t="str">
        <f>VLOOKUP(B462,Master_Sales!$A$1:$D$9,2,FALSE)</f>
        <v>Fajar Nugraha</v>
      </c>
      <c r="F462" s="10" t="str">
        <f>INDEX(Master_Sales!$D$1:$D$9,MATCH(Lembar_Kerja_Analisis!B462,Master_Sales!$A$1:$A$9,0))</f>
        <v>Timur</v>
      </c>
      <c r="G462" s="10" t="str">
        <f>INDEX(Master_Sales!$C$1:$C$9,MATCH(Lembar_Kerja_Analisis!B462,Master_Sales!$A$1:$A$9,0))</f>
        <v>Makassar</v>
      </c>
      <c r="H462" s="10" t="str">
        <f>VLOOKUP(A462,Master_Produk!$A$1:$E$16,2,FALSE)</f>
        <v>Laptop Ultrabook 14"</v>
      </c>
      <c r="I462" s="10" t="str">
        <f>INDEX(Master_Produk!$C$1:$C$16,MATCH(Lembar_Kerja_Analisis!A462,Master_Produk!$A$1:$A$16,0))</f>
        <v>Elektronik</v>
      </c>
      <c r="J462" s="19">
        <f>_xlfn.XLOOKUP(A462,Master_Produk!$A$1:$A$16,Master_Produk!$D$1:$D$16,,0)</f>
        <v>8500000</v>
      </c>
      <c r="K462" s="19">
        <f>INDEX(Master_Produk!$E$1:$E$16,MATCH(Lembar_Kerja_Analisis!A462,Master_Produk!$A$1:$A$16,0))</f>
        <v>7200000</v>
      </c>
      <c r="L462" s="8">
        <v>1</v>
      </c>
      <c r="M462" s="19">
        <f t="shared" si="35"/>
        <v>8500000</v>
      </c>
      <c r="N462" s="9">
        <v>0.15</v>
      </c>
      <c r="O462" s="19">
        <f t="shared" si="36"/>
        <v>1275000</v>
      </c>
      <c r="P462" s="19">
        <f t="shared" si="37"/>
        <v>7225000</v>
      </c>
      <c r="Q462" s="19">
        <f t="shared" si="38"/>
        <v>7200000</v>
      </c>
      <c r="R462" s="19">
        <f t="shared" si="39"/>
        <v>25000</v>
      </c>
    </row>
    <row r="463" spans="1:18" x14ac:dyDescent="0.25">
      <c r="A463" t="str">
        <f>_xlfn.XLOOKUP(C463,Raw_Data_Transaksi!$A$1:$A$1001,Raw_Data_Transaksi!$D$1:$D$1001,,0)</f>
        <v>PRD-102</v>
      </c>
      <c r="B463" t="str">
        <f>_xlfn.XLOOKUP(C463,Raw_Data_Transaksi!$A$1:$A$1001,Raw_Data_Transaksi!$C$1:$C$1001,,0)</f>
        <v>SLS-01</v>
      </c>
      <c r="C463" s="6" t="s">
        <v>547</v>
      </c>
      <c r="D463" s="7">
        <v>45760</v>
      </c>
      <c r="E463" s="10" t="str">
        <f>VLOOKUP(B463,Master_Sales!$A$1:$D$9,2,FALSE)</f>
        <v>Andi Pratama</v>
      </c>
      <c r="F463" s="10" t="str">
        <f>INDEX(Master_Sales!$D$1:$D$9,MATCH(Lembar_Kerja_Analisis!B463,Master_Sales!$A$1:$A$9,0))</f>
        <v>Barat</v>
      </c>
      <c r="G463" s="10" t="str">
        <f>INDEX(Master_Sales!$C$1:$C$9,MATCH(Lembar_Kerja_Analisis!B463,Master_Sales!$A$1:$A$9,0))</f>
        <v>Jakarta</v>
      </c>
      <c r="H463" s="10" t="str">
        <f>VLOOKUP(A463,Master_Produk!$A$1:$E$16,2,FALSE)</f>
        <v>Wireless Mouse Ergonomic</v>
      </c>
      <c r="I463" s="10" t="str">
        <f>INDEX(Master_Produk!$C$1:$C$16,MATCH(Lembar_Kerja_Analisis!A463,Master_Produk!$A$1:$A$16,0))</f>
        <v>Elektronik</v>
      </c>
      <c r="J463" s="19">
        <f>_xlfn.XLOOKUP(A463,Master_Produk!$A$1:$A$16,Master_Produk!$D$1:$D$16,,0)</f>
        <v>250000</v>
      </c>
      <c r="K463" s="19">
        <f>INDEX(Master_Produk!$E$1:$E$16,MATCH(Lembar_Kerja_Analisis!A463,Master_Produk!$A$1:$A$16,0))</f>
        <v>160000</v>
      </c>
      <c r="L463" s="8">
        <v>4</v>
      </c>
      <c r="M463" s="19">
        <f t="shared" si="35"/>
        <v>1000000</v>
      </c>
      <c r="N463" s="9">
        <v>0.05</v>
      </c>
      <c r="O463" s="19">
        <f t="shared" si="36"/>
        <v>50000</v>
      </c>
      <c r="P463" s="19">
        <f t="shared" si="37"/>
        <v>950000</v>
      </c>
      <c r="Q463" s="19">
        <f t="shared" si="38"/>
        <v>640000</v>
      </c>
      <c r="R463" s="19">
        <f t="shared" si="39"/>
        <v>310000</v>
      </c>
    </row>
    <row r="464" spans="1:18" x14ac:dyDescent="0.25">
      <c r="A464" t="str">
        <f>_xlfn.XLOOKUP(C464,Raw_Data_Transaksi!$A$1:$A$1001,Raw_Data_Transaksi!$D$1:$D$1001,,0)</f>
        <v>PRD-105</v>
      </c>
      <c r="B464" t="str">
        <f>_xlfn.XLOOKUP(C464,Raw_Data_Transaksi!$A$1:$A$1001,Raw_Data_Transaksi!$C$1:$C$1001,,0)</f>
        <v>SLS-07</v>
      </c>
      <c r="C464" s="6" t="s">
        <v>548</v>
      </c>
      <c r="D464" s="7">
        <v>45717</v>
      </c>
      <c r="E464" s="10" t="str">
        <f>VLOOKUP(B464,Master_Sales!$A$1:$D$9,2,FALSE)</f>
        <v>Gita Permata</v>
      </c>
      <c r="F464" s="10" t="str">
        <f>INDEX(Master_Sales!$D$1:$D$9,MATCH(Lembar_Kerja_Analisis!B464,Master_Sales!$A$1:$A$9,0))</f>
        <v>Tengah</v>
      </c>
      <c r="G464" s="10" t="str">
        <f>INDEX(Master_Sales!$C$1:$C$9,MATCH(Lembar_Kerja_Analisis!B464,Master_Sales!$A$1:$A$9,0))</f>
        <v>Denpasar</v>
      </c>
      <c r="H464" s="10" t="str">
        <f>VLOOKUP(A464,Master_Produk!$A$1:$E$16,2,FALSE)</f>
        <v>Kemeja Batik Katun Premium</v>
      </c>
      <c r="I464" s="10" t="str">
        <f>INDEX(Master_Produk!$C$1:$C$16,MATCH(Lembar_Kerja_Analisis!A464,Master_Produk!$A$1:$A$16,0))</f>
        <v>Fashion</v>
      </c>
      <c r="J464" s="19">
        <f>_xlfn.XLOOKUP(A464,Master_Produk!$A$1:$A$16,Master_Produk!$D$1:$D$16,,0)</f>
        <v>320000</v>
      </c>
      <c r="K464" s="19">
        <f>INDEX(Master_Produk!$E$1:$E$16,MATCH(Lembar_Kerja_Analisis!A464,Master_Produk!$A$1:$A$16,0))</f>
        <v>190000</v>
      </c>
      <c r="L464" s="8">
        <v>8</v>
      </c>
      <c r="M464" s="19">
        <f t="shared" si="35"/>
        <v>2560000</v>
      </c>
      <c r="N464" s="9">
        <v>0.15</v>
      </c>
      <c r="O464" s="19">
        <f t="shared" si="36"/>
        <v>384000</v>
      </c>
      <c r="P464" s="19">
        <f t="shared" si="37"/>
        <v>2176000</v>
      </c>
      <c r="Q464" s="19">
        <f t="shared" si="38"/>
        <v>1520000</v>
      </c>
      <c r="R464" s="19">
        <f t="shared" si="39"/>
        <v>656000</v>
      </c>
    </row>
    <row r="465" spans="1:18" x14ac:dyDescent="0.25">
      <c r="A465" t="str">
        <f>_xlfn.XLOOKUP(C465,Raw_Data_Transaksi!$A$1:$A$1001,Raw_Data_Transaksi!$D$1:$D$1001,,0)</f>
        <v>PRD-106</v>
      </c>
      <c r="B465" t="str">
        <f>_xlfn.XLOOKUP(C465,Raw_Data_Transaksi!$A$1:$A$1001,Raw_Data_Transaksi!$C$1:$C$1001,,0)</f>
        <v>SLS-07</v>
      </c>
      <c r="C465" s="6" t="s">
        <v>549</v>
      </c>
      <c r="D465" s="7">
        <v>45752</v>
      </c>
      <c r="E465" s="10" t="str">
        <f>VLOOKUP(B465,Master_Sales!$A$1:$D$9,2,FALSE)</f>
        <v>Gita Permata</v>
      </c>
      <c r="F465" s="10" t="str">
        <f>INDEX(Master_Sales!$D$1:$D$9,MATCH(Lembar_Kerja_Analisis!B465,Master_Sales!$A$1:$A$9,0))</f>
        <v>Tengah</v>
      </c>
      <c r="G465" s="10" t="str">
        <f>INDEX(Master_Sales!$C$1:$C$9,MATCH(Lembar_Kerja_Analisis!B465,Master_Sales!$A$1:$A$9,0))</f>
        <v>Denpasar</v>
      </c>
      <c r="H465" s="10" t="str">
        <f>VLOOKUP(A465,Master_Produk!$A$1:$E$16,2,FALSE)</f>
        <v>Celana Chino Slim Fit</v>
      </c>
      <c r="I465" s="10" t="str">
        <f>INDEX(Master_Produk!$C$1:$C$16,MATCH(Lembar_Kerja_Analisis!A465,Master_Produk!$A$1:$A$16,0))</f>
        <v>Fashion</v>
      </c>
      <c r="J465" s="19">
        <f>_xlfn.XLOOKUP(A465,Master_Produk!$A$1:$A$16,Master_Produk!$D$1:$D$16,,0)</f>
        <v>280000</v>
      </c>
      <c r="K465" s="19">
        <f>INDEX(Master_Produk!$E$1:$E$16,MATCH(Lembar_Kerja_Analisis!A465,Master_Produk!$A$1:$A$16,0))</f>
        <v>175000</v>
      </c>
      <c r="L465" s="8">
        <v>6</v>
      </c>
      <c r="M465" s="19">
        <f t="shared" si="35"/>
        <v>1680000</v>
      </c>
      <c r="N465" s="9">
        <v>0.05</v>
      </c>
      <c r="O465" s="19">
        <f t="shared" si="36"/>
        <v>84000</v>
      </c>
      <c r="P465" s="19">
        <f t="shared" si="37"/>
        <v>1596000</v>
      </c>
      <c r="Q465" s="19">
        <f t="shared" si="38"/>
        <v>1050000</v>
      </c>
      <c r="R465" s="19">
        <f t="shared" si="39"/>
        <v>546000</v>
      </c>
    </row>
    <row r="466" spans="1:18" x14ac:dyDescent="0.25">
      <c r="A466" t="str">
        <f>_xlfn.XLOOKUP(C466,Raw_Data_Transaksi!$A$1:$A$1001,Raw_Data_Transaksi!$D$1:$D$1001,,0)</f>
        <v>PRD-108</v>
      </c>
      <c r="B466" t="str">
        <f>_xlfn.XLOOKUP(C466,Raw_Data_Transaksi!$A$1:$A$1001,Raw_Data_Transaksi!$C$1:$C$1001,,0)</f>
        <v>SLS-05</v>
      </c>
      <c r="C466" s="6" t="s">
        <v>550</v>
      </c>
      <c r="D466" s="7">
        <v>45883</v>
      </c>
      <c r="E466" s="10" t="str">
        <f>VLOOKUP(B466,Master_Sales!$A$1:$D$9,2,FALSE)</f>
        <v>Eko Prasetyo</v>
      </c>
      <c r="F466" s="10" t="str">
        <f>INDEX(Master_Sales!$D$1:$D$9,MATCH(Lembar_Kerja_Analisis!B466,Master_Sales!$A$1:$A$9,0))</f>
        <v>Tengah</v>
      </c>
      <c r="G466" s="10" t="str">
        <f>INDEX(Master_Sales!$C$1:$C$9,MATCH(Lembar_Kerja_Analisis!B466,Master_Sales!$A$1:$A$9,0))</f>
        <v>Semarang</v>
      </c>
      <c r="H466" s="10" t="str">
        <f>VLOOKUP(A466,Master_Produk!$A$1:$E$16,2,FALSE)</f>
        <v>Sepatu Sneakers Pria/Wanita</v>
      </c>
      <c r="I466" s="10" t="str">
        <f>INDEX(Master_Produk!$C$1:$C$16,MATCH(Lembar_Kerja_Analisis!A466,Master_Produk!$A$1:$A$16,0))</f>
        <v>Fashion</v>
      </c>
      <c r="J466" s="19">
        <f>_xlfn.XLOOKUP(A466,Master_Produk!$A$1:$A$16,Master_Produk!$D$1:$D$16,,0)</f>
        <v>450000</v>
      </c>
      <c r="K466" s="19">
        <f>INDEX(Master_Produk!$E$1:$E$16,MATCH(Lembar_Kerja_Analisis!A466,Master_Produk!$A$1:$A$16,0))</f>
        <v>290000</v>
      </c>
      <c r="L466" s="8">
        <v>4</v>
      </c>
      <c r="M466" s="19">
        <f t="shared" si="35"/>
        <v>1800000</v>
      </c>
      <c r="N466" s="9">
        <v>0.1</v>
      </c>
      <c r="O466" s="19">
        <f t="shared" si="36"/>
        <v>180000</v>
      </c>
      <c r="P466" s="19">
        <f t="shared" si="37"/>
        <v>1620000</v>
      </c>
      <c r="Q466" s="19">
        <f t="shared" si="38"/>
        <v>1160000</v>
      </c>
      <c r="R466" s="19">
        <f t="shared" si="39"/>
        <v>460000</v>
      </c>
    </row>
    <row r="467" spans="1:18" x14ac:dyDescent="0.25">
      <c r="A467" t="str">
        <f>_xlfn.XLOOKUP(C467,Raw_Data_Transaksi!$A$1:$A$1001,Raw_Data_Transaksi!$D$1:$D$1001,,0)</f>
        <v>PRD-111</v>
      </c>
      <c r="B467" t="str">
        <f>_xlfn.XLOOKUP(C467,Raw_Data_Transaksi!$A$1:$A$1001,Raw_Data_Transaksi!$C$1:$C$1001,,0)</f>
        <v>SLS-06</v>
      </c>
      <c r="C467" s="6" t="s">
        <v>551</v>
      </c>
      <c r="D467" s="7">
        <v>45701</v>
      </c>
      <c r="E467" s="10" t="str">
        <f>VLOOKUP(B467,Master_Sales!$A$1:$D$9,2,FALSE)</f>
        <v>Fajar Nugraha</v>
      </c>
      <c r="F467" s="10" t="str">
        <f>INDEX(Master_Sales!$D$1:$D$9,MATCH(Lembar_Kerja_Analisis!B467,Master_Sales!$A$1:$A$9,0))</f>
        <v>Timur</v>
      </c>
      <c r="G467" s="10" t="str">
        <f>INDEX(Master_Sales!$C$1:$C$9,MATCH(Lembar_Kerja_Analisis!B467,Master_Sales!$A$1:$A$9,0))</f>
        <v>Makassar</v>
      </c>
      <c r="H467" s="10" t="str">
        <f>VLOOKUP(A467,Master_Produk!$A$1:$E$16,2,FALSE)</f>
        <v>Beras Premium 5kg</v>
      </c>
      <c r="I467" s="10" t="str">
        <f>INDEX(Master_Produk!$C$1:$C$16,MATCH(Lembar_Kerja_Analisis!A467,Master_Produk!$A$1:$A$16,0))</f>
        <v>F&amp;B</v>
      </c>
      <c r="J467" s="19">
        <f>_xlfn.XLOOKUP(A467,Master_Produk!$A$1:$A$16,Master_Produk!$D$1:$D$16,,0)</f>
        <v>74000</v>
      </c>
      <c r="K467" s="19">
        <f>INDEX(Master_Produk!$E$1:$E$16,MATCH(Lembar_Kerja_Analisis!A467,Master_Produk!$A$1:$A$16,0))</f>
        <v>65000</v>
      </c>
      <c r="L467" s="8">
        <v>16</v>
      </c>
      <c r="M467" s="19">
        <f t="shared" si="35"/>
        <v>1184000</v>
      </c>
      <c r="N467" s="9">
        <v>0.2</v>
      </c>
      <c r="O467" s="19">
        <f t="shared" si="36"/>
        <v>236800</v>
      </c>
      <c r="P467" s="19">
        <f t="shared" si="37"/>
        <v>947200</v>
      </c>
      <c r="Q467" s="19">
        <f t="shared" si="38"/>
        <v>1040000</v>
      </c>
      <c r="R467" s="19">
        <f t="shared" si="39"/>
        <v>-92800</v>
      </c>
    </row>
    <row r="468" spans="1:18" x14ac:dyDescent="0.25">
      <c r="A468" t="str">
        <f>_xlfn.XLOOKUP(C468,Raw_Data_Transaksi!$A$1:$A$1001,Raw_Data_Transaksi!$D$1:$D$1001,,0)</f>
        <v>PRD-114</v>
      </c>
      <c r="B468" t="str">
        <f>_xlfn.XLOOKUP(C468,Raw_Data_Transaksi!$A$1:$A$1001,Raw_Data_Transaksi!$C$1:$C$1001,,0)</f>
        <v>SLS-07</v>
      </c>
      <c r="C468" s="6" t="s">
        <v>552</v>
      </c>
      <c r="D468" s="7">
        <v>45856</v>
      </c>
      <c r="E468" s="10" t="str">
        <f>VLOOKUP(B468,Master_Sales!$A$1:$D$9,2,FALSE)</f>
        <v>Gita Permata</v>
      </c>
      <c r="F468" s="10" t="str">
        <f>INDEX(Master_Sales!$D$1:$D$9,MATCH(Lembar_Kerja_Analisis!B468,Master_Sales!$A$1:$A$9,0))</f>
        <v>Tengah</v>
      </c>
      <c r="G468" s="10" t="str">
        <f>INDEX(Master_Sales!$C$1:$C$9,MATCH(Lembar_Kerja_Analisis!B468,Master_Sales!$A$1:$A$9,0))</f>
        <v>Denpasar</v>
      </c>
      <c r="H468" s="10" t="str">
        <f>VLOOKUP(A468,Master_Produk!$A$1:$E$16,2,FALSE)</f>
        <v>Blender Multifungsi 2-in-1</v>
      </c>
      <c r="I468" s="10" t="str">
        <f>INDEX(Master_Produk!$C$1:$C$16,MATCH(Lembar_Kerja_Analisis!A468,Master_Produk!$A$1:$A$16,0))</f>
        <v>Peralatan Rumah</v>
      </c>
      <c r="J468" s="19">
        <f>_xlfn.XLOOKUP(A468,Master_Produk!$A$1:$A$16,Master_Produk!$D$1:$D$16,,0)</f>
        <v>340000</v>
      </c>
      <c r="K468" s="19">
        <f>INDEX(Master_Produk!$E$1:$E$16,MATCH(Lembar_Kerja_Analisis!A468,Master_Produk!$A$1:$A$16,0))</f>
        <v>240000</v>
      </c>
      <c r="L468" s="8">
        <v>9</v>
      </c>
      <c r="M468" s="19">
        <f t="shared" si="35"/>
        <v>3060000</v>
      </c>
      <c r="N468" s="9">
        <v>0.15</v>
      </c>
      <c r="O468" s="19">
        <f t="shared" si="36"/>
        <v>459000</v>
      </c>
      <c r="P468" s="19">
        <f t="shared" si="37"/>
        <v>2601000</v>
      </c>
      <c r="Q468" s="19">
        <f t="shared" si="38"/>
        <v>2160000</v>
      </c>
      <c r="R468" s="19">
        <f t="shared" si="39"/>
        <v>441000</v>
      </c>
    </row>
    <row r="469" spans="1:18" x14ac:dyDescent="0.25">
      <c r="A469" t="str">
        <f>_xlfn.XLOOKUP(C469,Raw_Data_Transaksi!$A$1:$A$1001,Raw_Data_Transaksi!$D$1:$D$1001,,0)</f>
        <v>PRD-107</v>
      </c>
      <c r="B469" t="str">
        <f>_xlfn.XLOOKUP(C469,Raw_Data_Transaksi!$A$1:$A$1001,Raw_Data_Transaksi!$C$1:$C$1001,,0)</f>
        <v>SLS-01</v>
      </c>
      <c r="C469" s="6" t="s">
        <v>553</v>
      </c>
      <c r="D469" s="7">
        <v>45698</v>
      </c>
      <c r="E469" s="10" t="str">
        <f>VLOOKUP(B469,Master_Sales!$A$1:$D$9,2,FALSE)</f>
        <v>Andi Pratama</v>
      </c>
      <c r="F469" s="10" t="str">
        <f>INDEX(Master_Sales!$D$1:$D$9,MATCH(Lembar_Kerja_Analisis!B469,Master_Sales!$A$1:$A$9,0))</f>
        <v>Barat</v>
      </c>
      <c r="G469" s="10" t="str">
        <f>INDEX(Master_Sales!$C$1:$C$9,MATCH(Lembar_Kerja_Analisis!B469,Master_Sales!$A$1:$A$9,0))</f>
        <v>Jakarta</v>
      </c>
      <c r="H469" s="10" t="str">
        <f>VLOOKUP(A469,Master_Produk!$A$1:$E$16,2,FALSE)</f>
        <v>Jaket Hoodie Casual</v>
      </c>
      <c r="I469" s="10" t="str">
        <f>INDEX(Master_Produk!$C$1:$C$16,MATCH(Lembar_Kerja_Analisis!A469,Master_Produk!$A$1:$A$16,0))</f>
        <v>Fashion</v>
      </c>
      <c r="J469" s="19">
        <f>_xlfn.XLOOKUP(A469,Master_Produk!$A$1:$A$16,Master_Produk!$D$1:$D$16,,0)</f>
        <v>350000</v>
      </c>
      <c r="K469" s="19">
        <f>INDEX(Master_Produk!$E$1:$E$16,MATCH(Lembar_Kerja_Analisis!A469,Master_Produk!$A$1:$A$16,0))</f>
        <v>220000</v>
      </c>
      <c r="L469" s="8">
        <v>9</v>
      </c>
      <c r="M469" s="19">
        <f t="shared" si="35"/>
        <v>3150000</v>
      </c>
      <c r="N469" s="9">
        <v>0.2</v>
      </c>
      <c r="O469" s="19">
        <f t="shared" si="36"/>
        <v>630000</v>
      </c>
      <c r="P469" s="19">
        <f t="shared" si="37"/>
        <v>2520000</v>
      </c>
      <c r="Q469" s="19">
        <f t="shared" si="38"/>
        <v>1980000</v>
      </c>
      <c r="R469" s="19">
        <f t="shared" si="39"/>
        <v>540000</v>
      </c>
    </row>
    <row r="470" spans="1:18" x14ac:dyDescent="0.25">
      <c r="A470" t="str">
        <f>_xlfn.XLOOKUP(C470,Raw_Data_Transaksi!$A$1:$A$1001,Raw_Data_Transaksi!$D$1:$D$1001,,0)</f>
        <v>PRD-103</v>
      </c>
      <c r="B470" t="str">
        <f>_xlfn.XLOOKUP(C470,Raw_Data_Transaksi!$A$1:$A$1001,Raw_Data_Transaksi!$C$1:$C$1001,,0)</f>
        <v>SLS-04</v>
      </c>
      <c r="C470" s="6" t="s">
        <v>554</v>
      </c>
      <c r="D470" s="7">
        <v>45746</v>
      </c>
      <c r="E470" s="10" t="str">
        <f>VLOOKUP(B470,Master_Sales!$A$1:$D$9,2,FALSE)</f>
        <v>Dewi Anggraini</v>
      </c>
      <c r="F470" s="10" t="str">
        <f>INDEX(Master_Sales!$D$1:$D$9,MATCH(Lembar_Kerja_Analisis!B470,Master_Sales!$A$1:$A$9,0))</f>
        <v>Barat</v>
      </c>
      <c r="G470" s="10" t="str">
        <f>INDEX(Master_Sales!$C$1:$C$9,MATCH(Lembar_Kerja_Analisis!B470,Master_Sales!$A$1:$A$9,0))</f>
        <v>Medan</v>
      </c>
      <c r="H470" s="10" t="str">
        <f>VLOOKUP(A470,Master_Produk!$A$1:$E$16,2,FALSE)</f>
        <v>Mechanical Keyboard RGB</v>
      </c>
      <c r="I470" s="10" t="str">
        <f>INDEX(Master_Produk!$C$1:$C$16,MATCH(Lembar_Kerja_Analisis!A470,Master_Produk!$A$1:$A$16,0))</f>
        <v>Elektronik</v>
      </c>
      <c r="J470" s="19">
        <f>_xlfn.XLOOKUP(A470,Master_Produk!$A$1:$A$16,Master_Produk!$D$1:$D$16,,0)</f>
        <v>750000</v>
      </c>
      <c r="K470" s="19">
        <f>INDEX(Master_Produk!$E$1:$E$16,MATCH(Lembar_Kerja_Analisis!A470,Master_Produk!$A$1:$A$16,0))</f>
        <v>520000</v>
      </c>
      <c r="L470" s="8">
        <v>4</v>
      </c>
      <c r="M470" s="19">
        <f t="shared" si="35"/>
        <v>3000000</v>
      </c>
      <c r="N470" s="9">
        <v>0.05</v>
      </c>
      <c r="O470" s="19">
        <f t="shared" si="36"/>
        <v>150000</v>
      </c>
      <c r="P470" s="19">
        <f t="shared" si="37"/>
        <v>2850000</v>
      </c>
      <c r="Q470" s="19">
        <f t="shared" si="38"/>
        <v>2080000</v>
      </c>
      <c r="R470" s="19">
        <f t="shared" si="39"/>
        <v>770000</v>
      </c>
    </row>
    <row r="471" spans="1:18" x14ac:dyDescent="0.25">
      <c r="A471" t="str">
        <f>_xlfn.XLOOKUP(C471,Raw_Data_Transaksi!$A$1:$A$1001,Raw_Data_Transaksi!$D$1:$D$1001,,0)</f>
        <v>PRD-107</v>
      </c>
      <c r="B471" t="str">
        <f>_xlfn.XLOOKUP(C471,Raw_Data_Transaksi!$A$1:$A$1001,Raw_Data_Transaksi!$C$1:$C$1001,,0)</f>
        <v>SLS-04</v>
      </c>
      <c r="C471" s="6" t="s">
        <v>555</v>
      </c>
      <c r="D471" s="7">
        <v>46007</v>
      </c>
      <c r="E471" s="10" t="str">
        <f>VLOOKUP(B471,Master_Sales!$A$1:$D$9,2,FALSE)</f>
        <v>Dewi Anggraini</v>
      </c>
      <c r="F471" s="10" t="str">
        <f>INDEX(Master_Sales!$D$1:$D$9,MATCH(Lembar_Kerja_Analisis!B471,Master_Sales!$A$1:$A$9,0))</f>
        <v>Barat</v>
      </c>
      <c r="G471" s="10" t="str">
        <f>INDEX(Master_Sales!$C$1:$C$9,MATCH(Lembar_Kerja_Analisis!B471,Master_Sales!$A$1:$A$9,0))</f>
        <v>Medan</v>
      </c>
      <c r="H471" s="10" t="str">
        <f>VLOOKUP(A471,Master_Produk!$A$1:$E$16,2,FALSE)</f>
        <v>Jaket Hoodie Casual</v>
      </c>
      <c r="I471" s="10" t="str">
        <f>INDEX(Master_Produk!$C$1:$C$16,MATCH(Lembar_Kerja_Analisis!A471,Master_Produk!$A$1:$A$16,0))</f>
        <v>Fashion</v>
      </c>
      <c r="J471" s="19">
        <f>_xlfn.XLOOKUP(A471,Master_Produk!$A$1:$A$16,Master_Produk!$D$1:$D$16,,0)</f>
        <v>350000</v>
      </c>
      <c r="K471" s="19">
        <f>INDEX(Master_Produk!$E$1:$E$16,MATCH(Lembar_Kerja_Analisis!A471,Master_Produk!$A$1:$A$16,0))</f>
        <v>220000</v>
      </c>
      <c r="L471" s="8">
        <v>11</v>
      </c>
      <c r="M471" s="19">
        <f t="shared" si="35"/>
        <v>3850000</v>
      </c>
      <c r="N471" s="9">
        <v>0.05</v>
      </c>
      <c r="O471" s="19">
        <f t="shared" si="36"/>
        <v>192500</v>
      </c>
      <c r="P471" s="19">
        <f t="shared" si="37"/>
        <v>3657500</v>
      </c>
      <c r="Q471" s="19">
        <f t="shared" si="38"/>
        <v>2420000</v>
      </c>
      <c r="R471" s="19">
        <f t="shared" si="39"/>
        <v>1237500</v>
      </c>
    </row>
    <row r="472" spans="1:18" x14ac:dyDescent="0.25">
      <c r="A472" t="str">
        <f>_xlfn.XLOOKUP(C472,Raw_Data_Transaksi!$A$1:$A$1001,Raw_Data_Transaksi!$D$1:$D$1001,,0)</f>
        <v>PRD-107</v>
      </c>
      <c r="B472" t="str">
        <f>_xlfn.XLOOKUP(C472,Raw_Data_Transaksi!$A$1:$A$1001,Raw_Data_Transaksi!$C$1:$C$1001,,0)</f>
        <v>SLS-07</v>
      </c>
      <c r="C472" s="6" t="s">
        <v>556</v>
      </c>
      <c r="D472" s="7">
        <v>45702</v>
      </c>
      <c r="E472" s="10" t="str">
        <f>VLOOKUP(B472,Master_Sales!$A$1:$D$9,2,FALSE)</f>
        <v>Gita Permata</v>
      </c>
      <c r="F472" s="10" t="str">
        <f>INDEX(Master_Sales!$D$1:$D$9,MATCH(Lembar_Kerja_Analisis!B472,Master_Sales!$A$1:$A$9,0))</f>
        <v>Tengah</v>
      </c>
      <c r="G472" s="10" t="str">
        <f>INDEX(Master_Sales!$C$1:$C$9,MATCH(Lembar_Kerja_Analisis!B472,Master_Sales!$A$1:$A$9,0))</f>
        <v>Denpasar</v>
      </c>
      <c r="H472" s="10" t="str">
        <f>VLOOKUP(A472,Master_Produk!$A$1:$E$16,2,FALSE)</f>
        <v>Jaket Hoodie Casual</v>
      </c>
      <c r="I472" s="10" t="str">
        <f>INDEX(Master_Produk!$C$1:$C$16,MATCH(Lembar_Kerja_Analisis!A472,Master_Produk!$A$1:$A$16,0))</f>
        <v>Fashion</v>
      </c>
      <c r="J472" s="19">
        <f>_xlfn.XLOOKUP(A472,Master_Produk!$A$1:$A$16,Master_Produk!$D$1:$D$16,,0)</f>
        <v>350000</v>
      </c>
      <c r="K472" s="19">
        <f>INDEX(Master_Produk!$E$1:$E$16,MATCH(Lembar_Kerja_Analisis!A472,Master_Produk!$A$1:$A$16,0))</f>
        <v>220000</v>
      </c>
      <c r="L472" s="8">
        <v>9</v>
      </c>
      <c r="M472" s="19">
        <f t="shared" si="35"/>
        <v>3150000</v>
      </c>
      <c r="N472" s="9">
        <v>0.1</v>
      </c>
      <c r="O472" s="19">
        <f t="shared" si="36"/>
        <v>315000</v>
      </c>
      <c r="P472" s="19">
        <f t="shared" si="37"/>
        <v>2835000</v>
      </c>
      <c r="Q472" s="19">
        <f t="shared" si="38"/>
        <v>1980000</v>
      </c>
      <c r="R472" s="19">
        <f t="shared" si="39"/>
        <v>855000</v>
      </c>
    </row>
    <row r="473" spans="1:18" x14ac:dyDescent="0.25">
      <c r="A473" t="str">
        <f>_xlfn.XLOOKUP(C473,Raw_Data_Transaksi!$A$1:$A$1001,Raw_Data_Transaksi!$D$1:$D$1001,,0)</f>
        <v>PRD-113</v>
      </c>
      <c r="B473" t="str">
        <f>_xlfn.XLOOKUP(C473,Raw_Data_Transaksi!$A$1:$A$1001,Raw_Data_Transaksi!$C$1:$C$1001,,0)</f>
        <v>SLS-07</v>
      </c>
      <c r="C473" s="6" t="s">
        <v>557</v>
      </c>
      <c r="D473" s="7">
        <v>45664</v>
      </c>
      <c r="E473" s="10" t="str">
        <f>VLOOKUP(B473,Master_Sales!$A$1:$D$9,2,FALSE)</f>
        <v>Gita Permata</v>
      </c>
      <c r="F473" s="10" t="str">
        <f>INDEX(Master_Sales!$D$1:$D$9,MATCH(Lembar_Kerja_Analisis!B473,Master_Sales!$A$1:$A$9,0))</f>
        <v>Tengah</v>
      </c>
      <c r="G473" s="10" t="str">
        <f>INDEX(Master_Sales!$C$1:$C$9,MATCH(Lembar_Kerja_Analisis!B473,Master_Sales!$A$1:$A$9,0))</f>
        <v>Denpasar</v>
      </c>
      <c r="H473" s="10" t="str">
        <f>VLOOKUP(A473,Master_Produk!$A$1:$E$16,2,FALSE)</f>
        <v>Wajan Anti Lengket 28cm</v>
      </c>
      <c r="I473" s="10" t="str">
        <f>INDEX(Master_Produk!$C$1:$C$16,MATCH(Lembar_Kerja_Analisis!A473,Master_Produk!$A$1:$A$16,0))</f>
        <v>Peralatan Rumah</v>
      </c>
      <c r="J473" s="19">
        <f>_xlfn.XLOOKUP(A473,Master_Produk!$A$1:$A$16,Master_Produk!$D$1:$D$16,,0)</f>
        <v>210000</v>
      </c>
      <c r="K473" s="19">
        <f>INDEX(Master_Produk!$E$1:$E$16,MATCH(Lembar_Kerja_Analisis!A473,Master_Produk!$A$1:$A$16,0))</f>
        <v>140000</v>
      </c>
      <c r="L473" s="8">
        <v>2</v>
      </c>
      <c r="M473" s="19">
        <f t="shared" si="35"/>
        <v>420000</v>
      </c>
      <c r="N473" s="9">
        <v>0.15</v>
      </c>
      <c r="O473" s="19">
        <f t="shared" si="36"/>
        <v>63000</v>
      </c>
      <c r="P473" s="19">
        <f t="shared" si="37"/>
        <v>357000</v>
      </c>
      <c r="Q473" s="19">
        <f t="shared" si="38"/>
        <v>280000</v>
      </c>
      <c r="R473" s="19">
        <f t="shared" si="39"/>
        <v>77000</v>
      </c>
    </row>
    <row r="474" spans="1:18" x14ac:dyDescent="0.25">
      <c r="A474" t="str">
        <f>_xlfn.XLOOKUP(C474,Raw_Data_Transaksi!$A$1:$A$1001,Raw_Data_Transaksi!$D$1:$D$1001,,0)</f>
        <v>PRD-110</v>
      </c>
      <c r="B474" t="str">
        <f>_xlfn.XLOOKUP(C474,Raw_Data_Transaksi!$A$1:$A$1001,Raw_Data_Transaksi!$C$1:$C$1001,,0)</f>
        <v>SLS-02</v>
      </c>
      <c r="C474" s="6" t="s">
        <v>558</v>
      </c>
      <c r="D474" s="7">
        <v>45712</v>
      </c>
      <c r="E474" s="10" t="str">
        <f>VLOOKUP(B474,Master_Sales!$A$1:$D$9,2,FALSE)</f>
        <v>Budi Santoso</v>
      </c>
      <c r="F474" s="10" t="str">
        <f>INDEX(Master_Sales!$D$1:$D$9,MATCH(Lembar_Kerja_Analisis!B474,Master_Sales!$A$1:$A$9,0))</f>
        <v>Timur</v>
      </c>
      <c r="G474" s="10" t="str">
        <f>INDEX(Master_Sales!$C$1:$C$9,MATCH(Lembar_Kerja_Analisis!B474,Master_Sales!$A$1:$A$9,0))</f>
        <v>Surabaya</v>
      </c>
      <c r="H474" s="10" t="str">
        <f>VLOOKUP(A474,Master_Produk!$A$1:$E$16,2,FALSE)</f>
        <v>Minyak Goreng Sawit 2L</v>
      </c>
      <c r="I474" s="10" t="str">
        <f>INDEX(Master_Produk!$C$1:$C$16,MATCH(Lembar_Kerja_Analisis!A474,Master_Produk!$A$1:$A$16,0))</f>
        <v>F&amp;B</v>
      </c>
      <c r="J474" s="19">
        <f>_xlfn.XLOOKUP(A474,Master_Produk!$A$1:$A$16,Master_Produk!$D$1:$D$16,,0)</f>
        <v>36000</v>
      </c>
      <c r="K474" s="19">
        <f>INDEX(Master_Produk!$E$1:$E$16,MATCH(Lembar_Kerja_Analisis!A474,Master_Produk!$A$1:$A$16,0))</f>
        <v>31000</v>
      </c>
      <c r="L474" s="8">
        <v>30</v>
      </c>
      <c r="M474" s="19">
        <f t="shared" si="35"/>
        <v>1080000</v>
      </c>
      <c r="N474" s="9">
        <v>0.2</v>
      </c>
      <c r="O474" s="19">
        <f t="shared" si="36"/>
        <v>216000</v>
      </c>
      <c r="P474" s="19">
        <f t="shared" si="37"/>
        <v>864000</v>
      </c>
      <c r="Q474" s="19">
        <f t="shared" si="38"/>
        <v>930000</v>
      </c>
      <c r="R474" s="19">
        <f t="shared" si="39"/>
        <v>-66000</v>
      </c>
    </row>
    <row r="475" spans="1:18" x14ac:dyDescent="0.25">
      <c r="A475" t="str">
        <f>_xlfn.XLOOKUP(C475,Raw_Data_Transaksi!$A$1:$A$1001,Raw_Data_Transaksi!$D$1:$D$1001,,0)</f>
        <v>PRD-111</v>
      </c>
      <c r="B475" t="str">
        <f>_xlfn.XLOOKUP(C475,Raw_Data_Transaksi!$A$1:$A$1001,Raw_Data_Transaksi!$C$1:$C$1001,,0)</f>
        <v>SLS-08</v>
      </c>
      <c r="C475" s="6" t="s">
        <v>559</v>
      </c>
      <c r="D475" s="7">
        <v>45854</v>
      </c>
      <c r="E475" s="10" t="str">
        <f>VLOOKUP(B475,Master_Sales!$A$1:$D$9,2,FALSE)</f>
        <v>Hendra Wijaya</v>
      </c>
      <c r="F475" s="10" t="str">
        <f>INDEX(Master_Sales!$D$1:$D$9,MATCH(Lembar_Kerja_Analisis!B475,Master_Sales!$A$1:$A$9,0))</f>
        <v>Tengah</v>
      </c>
      <c r="G475" s="10" t="str">
        <f>INDEX(Master_Sales!$C$1:$C$9,MATCH(Lembar_Kerja_Analisis!B475,Master_Sales!$A$1:$A$9,0))</f>
        <v>Yogyakarta</v>
      </c>
      <c r="H475" s="10" t="str">
        <f>VLOOKUP(A475,Master_Produk!$A$1:$E$16,2,FALSE)</f>
        <v>Beras Premium 5kg</v>
      </c>
      <c r="I475" s="10" t="str">
        <f>INDEX(Master_Produk!$C$1:$C$16,MATCH(Lembar_Kerja_Analisis!A475,Master_Produk!$A$1:$A$16,0))</f>
        <v>F&amp;B</v>
      </c>
      <c r="J475" s="19">
        <f>_xlfn.XLOOKUP(A475,Master_Produk!$A$1:$A$16,Master_Produk!$D$1:$D$16,,0)</f>
        <v>74000</v>
      </c>
      <c r="K475" s="19">
        <f>INDEX(Master_Produk!$E$1:$E$16,MATCH(Lembar_Kerja_Analisis!A475,Master_Produk!$A$1:$A$16,0))</f>
        <v>65000</v>
      </c>
      <c r="L475" s="8">
        <v>22</v>
      </c>
      <c r="M475" s="19">
        <f t="shared" si="35"/>
        <v>1628000</v>
      </c>
      <c r="N475" s="9">
        <v>0.15</v>
      </c>
      <c r="O475" s="19">
        <f t="shared" si="36"/>
        <v>244200</v>
      </c>
      <c r="P475" s="19">
        <f t="shared" si="37"/>
        <v>1383800</v>
      </c>
      <c r="Q475" s="19">
        <f t="shared" si="38"/>
        <v>1430000</v>
      </c>
      <c r="R475" s="19">
        <f t="shared" si="39"/>
        <v>-46200</v>
      </c>
    </row>
    <row r="476" spans="1:18" x14ac:dyDescent="0.25">
      <c r="A476" t="str">
        <f>_xlfn.XLOOKUP(C476,Raw_Data_Transaksi!$A$1:$A$1001,Raw_Data_Transaksi!$D$1:$D$1001,,0)</f>
        <v>PRD-103</v>
      </c>
      <c r="B476" t="str">
        <f>_xlfn.XLOOKUP(C476,Raw_Data_Transaksi!$A$1:$A$1001,Raw_Data_Transaksi!$C$1:$C$1001,,0)</f>
        <v>SLS-07</v>
      </c>
      <c r="C476" s="6" t="s">
        <v>560</v>
      </c>
      <c r="D476" s="7">
        <v>45864</v>
      </c>
      <c r="E476" s="10" t="str">
        <f>VLOOKUP(B476,Master_Sales!$A$1:$D$9,2,FALSE)</f>
        <v>Gita Permata</v>
      </c>
      <c r="F476" s="10" t="str">
        <f>INDEX(Master_Sales!$D$1:$D$9,MATCH(Lembar_Kerja_Analisis!B476,Master_Sales!$A$1:$A$9,0))</f>
        <v>Tengah</v>
      </c>
      <c r="G476" s="10" t="str">
        <f>INDEX(Master_Sales!$C$1:$C$9,MATCH(Lembar_Kerja_Analisis!B476,Master_Sales!$A$1:$A$9,0))</f>
        <v>Denpasar</v>
      </c>
      <c r="H476" s="10" t="str">
        <f>VLOOKUP(A476,Master_Produk!$A$1:$E$16,2,FALSE)</f>
        <v>Mechanical Keyboard RGB</v>
      </c>
      <c r="I476" s="10" t="str">
        <f>INDEX(Master_Produk!$C$1:$C$16,MATCH(Lembar_Kerja_Analisis!A476,Master_Produk!$A$1:$A$16,0))</f>
        <v>Elektronik</v>
      </c>
      <c r="J476" s="19">
        <f>_xlfn.XLOOKUP(A476,Master_Produk!$A$1:$A$16,Master_Produk!$D$1:$D$16,,0)</f>
        <v>750000</v>
      </c>
      <c r="K476" s="19">
        <f>INDEX(Master_Produk!$E$1:$E$16,MATCH(Lembar_Kerja_Analisis!A476,Master_Produk!$A$1:$A$16,0))</f>
        <v>520000</v>
      </c>
      <c r="L476" s="8">
        <v>1</v>
      </c>
      <c r="M476" s="19">
        <f t="shared" si="35"/>
        <v>750000</v>
      </c>
      <c r="N476" s="9">
        <v>0.15</v>
      </c>
      <c r="O476" s="19">
        <f t="shared" si="36"/>
        <v>112500</v>
      </c>
      <c r="P476" s="19">
        <f t="shared" si="37"/>
        <v>637500</v>
      </c>
      <c r="Q476" s="19">
        <f t="shared" si="38"/>
        <v>520000</v>
      </c>
      <c r="R476" s="19">
        <f t="shared" si="39"/>
        <v>117500</v>
      </c>
    </row>
    <row r="477" spans="1:18" x14ac:dyDescent="0.25">
      <c r="A477" t="str">
        <f>_xlfn.XLOOKUP(C477,Raw_Data_Transaksi!$A$1:$A$1001,Raw_Data_Transaksi!$D$1:$D$1001,,0)</f>
        <v>PRD-112</v>
      </c>
      <c r="B477" t="str">
        <f>_xlfn.XLOOKUP(C477,Raw_Data_Transaksi!$A$1:$A$1001,Raw_Data_Transaksi!$C$1:$C$1001,,0)</f>
        <v>SLS-08</v>
      </c>
      <c r="C477" s="6" t="s">
        <v>561</v>
      </c>
      <c r="D477" s="7">
        <v>45683</v>
      </c>
      <c r="E477" s="10" t="str">
        <f>VLOOKUP(B477,Master_Sales!$A$1:$D$9,2,FALSE)</f>
        <v>Hendra Wijaya</v>
      </c>
      <c r="F477" s="10" t="str">
        <f>INDEX(Master_Sales!$D$1:$D$9,MATCH(Lembar_Kerja_Analisis!B477,Master_Sales!$A$1:$A$9,0))</f>
        <v>Tengah</v>
      </c>
      <c r="G477" s="10" t="str">
        <f>INDEX(Master_Sales!$C$1:$C$9,MATCH(Lembar_Kerja_Analisis!B477,Master_Sales!$A$1:$A$9,0))</f>
        <v>Yogyakarta</v>
      </c>
      <c r="H477" s="10" t="str">
        <f>VLOOKUP(A477,Master_Produk!$A$1:$E$16,2,FALSE)</f>
        <v>Susu UHT Full Cream 1L</v>
      </c>
      <c r="I477" s="10" t="str">
        <f>INDEX(Master_Produk!$C$1:$C$16,MATCH(Lembar_Kerja_Analisis!A477,Master_Produk!$A$1:$A$16,0))</f>
        <v>F&amp;B</v>
      </c>
      <c r="J477" s="19">
        <f>_xlfn.XLOOKUP(A477,Master_Produk!$A$1:$A$16,Master_Produk!$D$1:$D$16,,0)</f>
        <v>22000</v>
      </c>
      <c r="K477" s="19">
        <f>INDEX(Master_Produk!$E$1:$E$16,MATCH(Lembar_Kerja_Analisis!A477,Master_Produk!$A$1:$A$16,0))</f>
        <v>18000</v>
      </c>
      <c r="L477" s="8">
        <v>14</v>
      </c>
      <c r="M477" s="19">
        <f t="shared" si="35"/>
        <v>308000</v>
      </c>
      <c r="N477" s="9">
        <v>0</v>
      </c>
      <c r="O477" s="19">
        <f t="shared" si="36"/>
        <v>0</v>
      </c>
      <c r="P477" s="19">
        <f t="shared" si="37"/>
        <v>308000</v>
      </c>
      <c r="Q477" s="19">
        <f t="shared" si="38"/>
        <v>252000</v>
      </c>
      <c r="R477" s="19">
        <f t="shared" si="39"/>
        <v>56000</v>
      </c>
    </row>
    <row r="478" spans="1:18" x14ac:dyDescent="0.25">
      <c r="A478" t="str">
        <f>_xlfn.XLOOKUP(C478,Raw_Data_Transaksi!$A$1:$A$1001,Raw_Data_Transaksi!$D$1:$D$1001,,0)</f>
        <v>PRD-114</v>
      </c>
      <c r="B478" t="str">
        <f>_xlfn.XLOOKUP(C478,Raw_Data_Transaksi!$A$1:$A$1001,Raw_Data_Transaksi!$C$1:$C$1001,,0)</f>
        <v>SLS-08</v>
      </c>
      <c r="C478" s="6" t="s">
        <v>562</v>
      </c>
      <c r="D478" s="7">
        <v>45801</v>
      </c>
      <c r="E478" s="10" t="str">
        <f>VLOOKUP(B478,Master_Sales!$A$1:$D$9,2,FALSE)</f>
        <v>Hendra Wijaya</v>
      </c>
      <c r="F478" s="10" t="str">
        <f>INDEX(Master_Sales!$D$1:$D$9,MATCH(Lembar_Kerja_Analisis!B478,Master_Sales!$A$1:$A$9,0))</f>
        <v>Tengah</v>
      </c>
      <c r="G478" s="10" t="str">
        <f>INDEX(Master_Sales!$C$1:$C$9,MATCH(Lembar_Kerja_Analisis!B478,Master_Sales!$A$1:$A$9,0))</f>
        <v>Yogyakarta</v>
      </c>
      <c r="H478" s="10" t="str">
        <f>VLOOKUP(A478,Master_Produk!$A$1:$E$16,2,FALSE)</f>
        <v>Blender Multifungsi 2-in-1</v>
      </c>
      <c r="I478" s="10" t="str">
        <f>INDEX(Master_Produk!$C$1:$C$16,MATCH(Lembar_Kerja_Analisis!A478,Master_Produk!$A$1:$A$16,0))</f>
        <v>Peralatan Rumah</v>
      </c>
      <c r="J478" s="19">
        <f>_xlfn.XLOOKUP(A478,Master_Produk!$A$1:$A$16,Master_Produk!$D$1:$D$16,,0)</f>
        <v>340000</v>
      </c>
      <c r="K478" s="19">
        <f>INDEX(Master_Produk!$E$1:$E$16,MATCH(Lembar_Kerja_Analisis!A478,Master_Produk!$A$1:$A$16,0))</f>
        <v>240000</v>
      </c>
      <c r="L478" s="8">
        <v>12</v>
      </c>
      <c r="M478" s="19">
        <f t="shared" si="35"/>
        <v>4080000</v>
      </c>
      <c r="N478" s="9">
        <v>0</v>
      </c>
      <c r="O478" s="19">
        <f t="shared" si="36"/>
        <v>0</v>
      </c>
      <c r="P478" s="19">
        <f t="shared" si="37"/>
        <v>4080000</v>
      </c>
      <c r="Q478" s="19">
        <f t="shared" si="38"/>
        <v>2880000</v>
      </c>
      <c r="R478" s="19">
        <f t="shared" si="39"/>
        <v>1200000</v>
      </c>
    </row>
    <row r="479" spans="1:18" x14ac:dyDescent="0.25">
      <c r="A479" t="str">
        <f>_xlfn.XLOOKUP(C479,Raw_Data_Transaksi!$A$1:$A$1001,Raw_Data_Transaksi!$D$1:$D$1001,,0)</f>
        <v>PRD-113</v>
      </c>
      <c r="B479" t="str">
        <f>_xlfn.XLOOKUP(C479,Raw_Data_Transaksi!$A$1:$A$1001,Raw_Data_Transaksi!$C$1:$C$1001,,0)</f>
        <v>SLS-06</v>
      </c>
      <c r="C479" s="6" t="s">
        <v>563</v>
      </c>
      <c r="D479" s="7">
        <v>45884</v>
      </c>
      <c r="E479" s="10" t="str">
        <f>VLOOKUP(B479,Master_Sales!$A$1:$D$9,2,FALSE)</f>
        <v>Fajar Nugraha</v>
      </c>
      <c r="F479" s="10" t="str">
        <f>INDEX(Master_Sales!$D$1:$D$9,MATCH(Lembar_Kerja_Analisis!B479,Master_Sales!$A$1:$A$9,0))</f>
        <v>Timur</v>
      </c>
      <c r="G479" s="10" t="str">
        <f>INDEX(Master_Sales!$C$1:$C$9,MATCH(Lembar_Kerja_Analisis!B479,Master_Sales!$A$1:$A$9,0))</f>
        <v>Makassar</v>
      </c>
      <c r="H479" s="10" t="str">
        <f>VLOOKUP(A479,Master_Produk!$A$1:$E$16,2,FALSE)</f>
        <v>Wajan Anti Lengket 28cm</v>
      </c>
      <c r="I479" s="10" t="str">
        <f>INDEX(Master_Produk!$C$1:$C$16,MATCH(Lembar_Kerja_Analisis!A479,Master_Produk!$A$1:$A$16,0))</f>
        <v>Peralatan Rumah</v>
      </c>
      <c r="J479" s="19">
        <f>_xlfn.XLOOKUP(A479,Master_Produk!$A$1:$A$16,Master_Produk!$D$1:$D$16,,0)</f>
        <v>210000</v>
      </c>
      <c r="K479" s="19">
        <f>INDEX(Master_Produk!$E$1:$E$16,MATCH(Lembar_Kerja_Analisis!A479,Master_Produk!$A$1:$A$16,0))</f>
        <v>140000</v>
      </c>
      <c r="L479" s="8">
        <v>5</v>
      </c>
      <c r="M479" s="19">
        <f t="shared" si="35"/>
        <v>1050000</v>
      </c>
      <c r="N479" s="9">
        <v>0.15</v>
      </c>
      <c r="O479" s="19">
        <f t="shared" si="36"/>
        <v>157500</v>
      </c>
      <c r="P479" s="19">
        <f t="shared" si="37"/>
        <v>892500</v>
      </c>
      <c r="Q479" s="19">
        <f t="shared" si="38"/>
        <v>700000</v>
      </c>
      <c r="R479" s="19">
        <f t="shared" si="39"/>
        <v>192500</v>
      </c>
    </row>
    <row r="480" spans="1:18" x14ac:dyDescent="0.25">
      <c r="A480" t="str">
        <f>_xlfn.XLOOKUP(C480,Raw_Data_Transaksi!$A$1:$A$1001,Raw_Data_Transaksi!$D$1:$D$1001,,0)</f>
        <v>PRD-115</v>
      </c>
      <c r="B480" t="str">
        <f>_xlfn.XLOOKUP(C480,Raw_Data_Transaksi!$A$1:$A$1001,Raw_Data_Transaksi!$C$1:$C$1001,,0)</f>
        <v>SLS-07</v>
      </c>
      <c r="C480" s="6" t="s">
        <v>564</v>
      </c>
      <c r="D480" s="7">
        <v>45766</v>
      </c>
      <c r="E480" s="10" t="str">
        <f>VLOOKUP(B480,Master_Sales!$A$1:$D$9,2,FALSE)</f>
        <v>Gita Permata</v>
      </c>
      <c r="F480" s="10" t="str">
        <f>INDEX(Master_Sales!$D$1:$D$9,MATCH(Lembar_Kerja_Analisis!B480,Master_Sales!$A$1:$A$9,0))</f>
        <v>Tengah</v>
      </c>
      <c r="G480" s="10" t="str">
        <f>INDEX(Master_Sales!$C$1:$C$9,MATCH(Lembar_Kerja_Analisis!B480,Master_Sales!$A$1:$A$9,0))</f>
        <v>Denpasar</v>
      </c>
      <c r="H480" s="10" t="str">
        <f>VLOOKUP(A480,Master_Produk!$A$1:$E$16,2,FALSE)</f>
        <v>Set Pisau Dapur Stainless</v>
      </c>
      <c r="I480" s="10" t="str">
        <f>INDEX(Master_Produk!$C$1:$C$16,MATCH(Lembar_Kerja_Analisis!A480,Master_Produk!$A$1:$A$16,0))</f>
        <v>Peralatan Rumah</v>
      </c>
      <c r="J480" s="19">
        <f>_xlfn.XLOOKUP(A480,Master_Produk!$A$1:$A$16,Master_Produk!$D$1:$D$16,,0)</f>
        <v>165000</v>
      </c>
      <c r="K480" s="19">
        <f>INDEX(Master_Produk!$E$1:$E$16,MATCH(Lembar_Kerja_Analisis!A480,Master_Produk!$A$1:$A$16,0))</f>
        <v>105000</v>
      </c>
      <c r="L480" s="8">
        <v>12</v>
      </c>
      <c r="M480" s="19">
        <f t="shared" si="35"/>
        <v>1980000</v>
      </c>
      <c r="N480" s="9">
        <v>0.15</v>
      </c>
      <c r="O480" s="19">
        <f t="shared" si="36"/>
        <v>297000</v>
      </c>
      <c r="P480" s="19">
        <f t="shared" si="37"/>
        <v>1683000</v>
      </c>
      <c r="Q480" s="19">
        <f t="shared" si="38"/>
        <v>1260000</v>
      </c>
      <c r="R480" s="19">
        <f t="shared" si="39"/>
        <v>423000</v>
      </c>
    </row>
    <row r="481" spans="1:18" x14ac:dyDescent="0.25">
      <c r="A481" t="str">
        <f>_xlfn.XLOOKUP(C481,Raw_Data_Transaksi!$A$1:$A$1001,Raw_Data_Transaksi!$D$1:$D$1001,,0)</f>
        <v>PRD-105</v>
      </c>
      <c r="B481" t="str">
        <f>_xlfn.XLOOKUP(C481,Raw_Data_Transaksi!$A$1:$A$1001,Raw_Data_Transaksi!$C$1:$C$1001,,0)</f>
        <v>SLS-07</v>
      </c>
      <c r="C481" s="6" t="s">
        <v>565</v>
      </c>
      <c r="D481" s="7">
        <v>45691</v>
      </c>
      <c r="E481" s="10" t="str">
        <f>VLOOKUP(B481,Master_Sales!$A$1:$D$9,2,FALSE)</f>
        <v>Gita Permata</v>
      </c>
      <c r="F481" s="10" t="str">
        <f>INDEX(Master_Sales!$D$1:$D$9,MATCH(Lembar_Kerja_Analisis!B481,Master_Sales!$A$1:$A$9,0))</f>
        <v>Tengah</v>
      </c>
      <c r="G481" s="10" t="str">
        <f>INDEX(Master_Sales!$C$1:$C$9,MATCH(Lembar_Kerja_Analisis!B481,Master_Sales!$A$1:$A$9,0))</f>
        <v>Denpasar</v>
      </c>
      <c r="H481" s="10" t="str">
        <f>VLOOKUP(A481,Master_Produk!$A$1:$E$16,2,FALSE)</f>
        <v>Kemeja Batik Katun Premium</v>
      </c>
      <c r="I481" s="10" t="str">
        <f>INDEX(Master_Produk!$C$1:$C$16,MATCH(Lembar_Kerja_Analisis!A481,Master_Produk!$A$1:$A$16,0))</f>
        <v>Fashion</v>
      </c>
      <c r="J481" s="19">
        <f>_xlfn.XLOOKUP(A481,Master_Produk!$A$1:$A$16,Master_Produk!$D$1:$D$16,,0)</f>
        <v>320000</v>
      </c>
      <c r="K481" s="19">
        <f>INDEX(Master_Produk!$E$1:$E$16,MATCH(Lembar_Kerja_Analisis!A481,Master_Produk!$A$1:$A$16,0))</f>
        <v>190000</v>
      </c>
      <c r="L481" s="8">
        <v>3</v>
      </c>
      <c r="M481" s="19">
        <f t="shared" si="35"/>
        <v>960000</v>
      </c>
      <c r="N481" s="9">
        <v>0.2</v>
      </c>
      <c r="O481" s="19">
        <f t="shared" si="36"/>
        <v>192000</v>
      </c>
      <c r="P481" s="19">
        <f t="shared" si="37"/>
        <v>768000</v>
      </c>
      <c r="Q481" s="19">
        <f t="shared" si="38"/>
        <v>570000</v>
      </c>
      <c r="R481" s="19">
        <f t="shared" si="39"/>
        <v>198000</v>
      </c>
    </row>
    <row r="482" spans="1:18" x14ac:dyDescent="0.25">
      <c r="A482" t="str">
        <f>_xlfn.XLOOKUP(C482,Raw_Data_Transaksi!$A$1:$A$1001,Raw_Data_Transaksi!$D$1:$D$1001,,0)</f>
        <v>PRD-114</v>
      </c>
      <c r="B482" t="str">
        <f>_xlfn.XLOOKUP(C482,Raw_Data_Transaksi!$A$1:$A$1001,Raw_Data_Transaksi!$C$1:$C$1001,,0)</f>
        <v>SLS-01</v>
      </c>
      <c r="C482" s="6" t="s">
        <v>566</v>
      </c>
      <c r="D482" s="7">
        <v>45760</v>
      </c>
      <c r="E482" s="10" t="str">
        <f>VLOOKUP(B482,Master_Sales!$A$1:$D$9,2,FALSE)</f>
        <v>Andi Pratama</v>
      </c>
      <c r="F482" s="10" t="str">
        <f>INDEX(Master_Sales!$D$1:$D$9,MATCH(Lembar_Kerja_Analisis!B482,Master_Sales!$A$1:$A$9,0))</f>
        <v>Barat</v>
      </c>
      <c r="G482" s="10" t="str">
        <f>INDEX(Master_Sales!$C$1:$C$9,MATCH(Lembar_Kerja_Analisis!B482,Master_Sales!$A$1:$A$9,0))</f>
        <v>Jakarta</v>
      </c>
      <c r="H482" s="10" t="str">
        <f>VLOOKUP(A482,Master_Produk!$A$1:$E$16,2,FALSE)</f>
        <v>Blender Multifungsi 2-in-1</v>
      </c>
      <c r="I482" s="10" t="str">
        <f>INDEX(Master_Produk!$C$1:$C$16,MATCH(Lembar_Kerja_Analisis!A482,Master_Produk!$A$1:$A$16,0))</f>
        <v>Peralatan Rumah</v>
      </c>
      <c r="J482" s="19">
        <f>_xlfn.XLOOKUP(A482,Master_Produk!$A$1:$A$16,Master_Produk!$D$1:$D$16,,0)</f>
        <v>340000</v>
      </c>
      <c r="K482" s="19">
        <f>INDEX(Master_Produk!$E$1:$E$16,MATCH(Lembar_Kerja_Analisis!A482,Master_Produk!$A$1:$A$16,0))</f>
        <v>240000</v>
      </c>
      <c r="L482" s="8">
        <v>4</v>
      </c>
      <c r="M482" s="19">
        <f t="shared" si="35"/>
        <v>1360000</v>
      </c>
      <c r="N482" s="9">
        <v>0</v>
      </c>
      <c r="O482" s="19">
        <f t="shared" si="36"/>
        <v>0</v>
      </c>
      <c r="P482" s="19">
        <f t="shared" si="37"/>
        <v>1360000</v>
      </c>
      <c r="Q482" s="19">
        <f t="shared" si="38"/>
        <v>960000</v>
      </c>
      <c r="R482" s="19">
        <f t="shared" si="39"/>
        <v>400000</v>
      </c>
    </row>
    <row r="483" spans="1:18" x14ac:dyDescent="0.25">
      <c r="A483" t="str">
        <f>_xlfn.XLOOKUP(C483,Raw_Data_Transaksi!$A$1:$A$1001,Raw_Data_Transaksi!$D$1:$D$1001,,0)</f>
        <v>PRD-104</v>
      </c>
      <c r="B483" t="str">
        <f>_xlfn.XLOOKUP(C483,Raw_Data_Transaksi!$A$1:$A$1001,Raw_Data_Transaksi!$C$1:$C$1001,,0)</f>
        <v>SLS-05</v>
      </c>
      <c r="C483" s="6" t="s">
        <v>567</v>
      </c>
      <c r="D483" s="7">
        <v>46018</v>
      </c>
      <c r="E483" s="10" t="str">
        <f>VLOOKUP(B483,Master_Sales!$A$1:$D$9,2,FALSE)</f>
        <v>Eko Prasetyo</v>
      </c>
      <c r="F483" s="10" t="str">
        <f>INDEX(Master_Sales!$D$1:$D$9,MATCH(Lembar_Kerja_Analisis!B483,Master_Sales!$A$1:$A$9,0))</f>
        <v>Tengah</v>
      </c>
      <c r="G483" s="10" t="str">
        <f>INDEX(Master_Sales!$C$1:$C$9,MATCH(Lembar_Kerja_Analisis!B483,Master_Sales!$A$1:$A$9,0))</f>
        <v>Semarang</v>
      </c>
      <c r="H483" s="10" t="str">
        <f>VLOOKUP(A483,Master_Produk!$A$1:$E$16,2,FALSE)</f>
        <v>Monitor 24" FHD 144Hz</v>
      </c>
      <c r="I483" s="10" t="str">
        <f>INDEX(Master_Produk!$C$1:$C$16,MATCH(Lembar_Kerja_Analisis!A483,Master_Produk!$A$1:$A$16,0))</f>
        <v>Elektronik</v>
      </c>
      <c r="J483" s="19">
        <f>_xlfn.XLOOKUP(A483,Master_Produk!$A$1:$A$16,Master_Produk!$D$1:$D$16,,0)</f>
        <v>1950000</v>
      </c>
      <c r="K483" s="19">
        <f>INDEX(Master_Produk!$E$1:$E$16,MATCH(Lembar_Kerja_Analisis!A483,Master_Produk!$A$1:$A$16,0))</f>
        <v>1500000</v>
      </c>
      <c r="L483" s="8">
        <v>6</v>
      </c>
      <c r="M483" s="19">
        <f t="shared" si="35"/>
        <v>11700000</v>
      </c>
      <c r="N483" s="9">
        <v>0.15</v>
      </c>
      <c r="O483" s="19">
        <f t="shared" si="36"/>
        <v>1755000</v>
      </c>
      <c r="P483" s="19">
        <f t="shared" si="37"/>
        <v>9945000</v>
      </c>
      <c r="Q483" s="19">
        <f t="shared" si="38"/>
        <v>9000000</v>
      </c>
      <c r="R483" s="19">
        <f t="shared" si="39"/>
        <v>945000</v>
      </c>
    </row>
    <row r="484" spans="1:18" x14ac:dyDescent="0.25">
      <c r="A484" t="str">
        <f>_xlfn.XLOOKUP(C484,Raw_Data_Transaksi!$A$1:$A$1001,Raw_Data_Transaksi!$D$1:$D$1001,,0)</f>
        <v>PRD-101</v>
      </c>
      <c r="B484" t="str">
        <f>_xlfn.XLOOKUP(C484,Raw_Data_Transaksi!$A$1:$A$1001,Raw_Data_Transaksi!$C$1:$C$1001,,0)</f>
        <v>SLS-04</v>
      </c>
      <c r="C484" s="6" t="s">
        <v>568</v>
      </c>
      <c r="D484" s="7">
        <v>46006</v>
      </c>
      <c r="E484" s="10" t="str">
        <f>VLOOKUP(B484,Master_Sales!$A$1:$D$9,2,FALSE)</f>
        <v>Dewi Anggraini</v>
      </c>
      <c r="F484" s="10" t="str">
        <f>INDEX(Master_Sales!$D$1:$D$9,MATCH(Lembar_Kerja_Analisis!B484,Master_Sales!$A$1:$A$9,0))</f>
        <v>Barat</v>
      </c>
      <c r="G484" s="10" t="str">
        <f>INDEX(Master_Sales!$C$1:$C$9,MATCH(Lembar_Kerja_Analisis!B484,Master_Sales!$A$1:$A$9,0))</f>
        <v>Medan</v>
      </c>
      <c r="H484" s="10" t="str">
        <f>VLOOKUP(A484,Master_Produk!$A$1:$E$16,2,FALSE)</f>
        <v>Laptop Ultrabook 14"</v>
      </c>
      <c r="I484" s="10" t="str">
        <f>INDEX(Master_Produk!$C$1:$C$16,MATCH(Lembar_Kerja_Analisis!A484,Master_Produk!$A$1:$A$16,0))</f>
        <v>Elektronik</v>
      </c>
      <c r="J484" s="19">
        <f>_xlfn.XLOOKUP(A484,Master_Produk!$A$1:$A$16,Master_Produk!$D$1:$D$16,,0)</f>
        <v>8500000</v>
      </c>
      <c r="K484" s="19">
        <f>INDEX(Master_Produk!$E$1:$E$16,MATCH(Lembar_Kerja_Analisis!A484,Master_Produk!$A$1:$A$16,0))</f>
        <v>7200000</v>
      </c>
      <c r="L484" s="8">
        <v>6</v>
      </c>
      <c r="M484" s="19">
        <f t="shared" si="35"/>
        <v>51000000</v>
      </c>
      <c r="N484" s="9">
        <v>0.15</v>
      </c>
      <c r="O484" s="19">
        <f t="shared" si="36"/>
        <v>7650000</v>
      </c>
      <c r="P484" s="19">
        <f t="shared" si="37"/>
        <v>43350000</v>
      </c>
      <c r="Q484" s="19">
        <f t="shared" si="38"/>
        <v>43200000</v>
      </c>
      <c r="R484" s="19">
        <f t="shared" si="39"/>
        <v>150000</v>
      </c>
    </row>
    <row r="485" spans="1:18" x14ac:dyDescent="0.25">
      <c r="A485" t="str">
        <f>_xlfn.XLOOKUP(C485,Raw_Data_Transaksi!$A$1:$A$1001,Raw_Data_Transaksi!$D$1:$D$1001,,0)</f>
        <v>PRD-109</v>
      </c>
      <c r="B485" t="str">
        <f>_xlfn.XLOOKUP(C485,Raw_Data_Transaksi!$A$1:$A$1001,Raw_Data_Transaksi!$C$1:$C$1001,,0)</f>
        <v>SLS-06</v>
      </c>
      <c r="C485" s="6" t="s">
        <v>569</v>
      </c>
      <c r="D485" s="7">
        <v>45958</v>
      </c>
      <c r="E485" s="10" t="str">
        <f>VLOOKUP(B485,Master_Sales!$A$1:$D$9,2,FALSE)</f>
        <v>Fajar Nugraha</v>
      </c>
      <c r="F485" s="10" t="str">
        <f>INDEX(Master_Sales!$D$1:$D$9,MATCH(Lembar_Kerja_Analisis!B485,Master_Sales!$A$1:$A$9,0))</f>
        <v>Timur</v>
      </c>
      <c r="G485" s="10" t="str">
        <f>INDEX(Master_Sales!$C$1:$C$9,MATCH(Lembar_Kerja_Analisis!B485,Master_Sales!$A$1:$A$9,0))</f>
        <v>Makassar</v>
      </c>
      <c r="H485" s="10" t="str">
        <f>VLOOKUP(A485,Master_Produk!$A$1:$E$16,2,FALSE)</f>
        <v>Kopi Arabika Gayo 250g</v>
      </c>
      <c r="I485" s="10" t="str">
        <f>INDEX(Master_Produk!$C$1:$C$16,MATCH(Lembar_Kerja_Analisis!A485,Master_Produk!$A$1:$A$16,0))</f>
        <v>F&amp;B</v>
      </c>
      <c r="J485" s="19">
        <f>_xlfn.XLOOKUP(A485,Master_Produk!$A$1:$A$16,Master_Produk!$D$1:$D$16,,0)</f>
        <v>85000</v>
      </c>
      <c r="K485" s="19">
        <f>INDEX(Master_Produk!$E$1:$E$16,MATCH(Lembar_Kerja_Analisis!A485,Master_Produk!$A$1:$A$16,0))</f>
        <v>55000</v>
      </c>
      <c r="L485" s="8">
        <v>8</v>
      </c>
      <c r="M485" s="19">
        <f t="shared" si="35"/>
        <v>680000</v>
      </c>
      <c r="N485" s="9">
        <v>0.1</v>
      </c>
      <c r="O485" s="19">
        <f t="shared" si="36"/>
        <v>68000</v>
      </c>
      <c r="P485" s="19">
        <f t="shared" si="37"/>
        <v>612000</v>
      </c>
      <c r="Q485" s="19">
        <f t="shared" si="38"/>
        <v>440000</v>
      </c>
      <c r="R485" s="19">
        <f t="shared" si="39"/>
        <v>172000</v>
      </c>
    </row>
    <row r="486" spans="1:18" x14ac:dyDescent="0.25">
      <c r="A486" t="str">
        <f>_xlfn.XLOOKUP(C486,Raw_Data_Transaksi!$A$1:$A$1001,Raw_Data_Transaksi!$D$1:$D$1001,,0)</f>
        <v>PRD-101</v>
      </c>
      <c r="B486" t="str">
        <f>_xlfn.XLOOKUP(C486,Raw_Data_Transaksi!$A$1:$A$1001,Raw_Data_Transaksi!$C$1:$C$1001,,0)</f>
        <v>SLS-03</v>
      </c>
      <c r="C486" s="6" t="s">
        <v>570</v>
      </c>
      <c r="D486" s="7">
        <v>45855</v>
      </c>
      <c r="E486" s="10" t="str">
        <f>VLOOKUP(B486,Master_Sales!$A$1:$D$9,2,FALSE)</f>
        <v>Citra Lestari</v>
      </c>
      <c r="F486" s="10" t="str">
        <f>INDEX(Master_Sales!$D$1:$D$9,MATCH(Lembar_Kerja_Analisis!B486,Master_Sales!$A$1:$A$9,0))</f>
        <v>Barat</v>
      </c>
      <c r="G486" s="10" t="str">
        <f>INDEX(Master_Sales!$C$1:$C$9,MATCH(Lembar_Kerja_Analisis!B486,Master_Sales!$A$1:$A$9,0))</f>
        <v>Bandung</v>
      </c>
      <c r="H486" s="10" t="str">
        <f>VLOOKUP(A486,Master_Produk!$A$1:$E$16,2,FALSE)</f>
        <v>Laptop Ultrabook 14"</v>
      </c>
      <c r="I486" s="10" t="str">
        <f>INDEX(Master_Produk!$C$1:$C$16,MATCH(Lembar_Kerja_Analisis!A486,Master_Produk!$A$1:$A$16,0))</f>
        <v>Elektronik</v>
      </c>
      <c r="J486" s="19">
        <f>_xlfn.XLOOKUP(A486,Master_Produk!$A$1:$A$16,Master_Produk!$D$1:$D$16,,0)</f>
        <v>8500000</v>
      </c>
      <c r="K486" s="19">
        <f>INDEX(Master_Produk!$E$1:$E$16,MATCH(Lembar_Kerja_Analisis!A486,Master_Produk!$A$1:$A$16,0))</f>
        <v>7200000</v>
      </c>
      <c r="L486" s="8">
        <v>10</v>
      </c>
      <c r="M486" s="19">
        <f t="shared" si="35"/>
        <v>85000000</v>
      </c>
      <c r="N486" s="9">
        <v>0.05</v>
      </c>
      <c r="O486" s="19">
        <f t="shared" si="36"/>
        <v>4250000</v>
      </c>
      <c r="P486" s="19">
        <f t="shared" si="37"/>
        <v>80750000</v>
      </c>
      <c r="Q486" s="19">
        <f t="shared" si="38"/>
        <v>72000000</v>
      </c>
      <c r="R486" s="19">
        <f t="shared" si="39"/>
        <v>8750000</v>
      </c>
    </row>
    <row r="487" spans="1:18" x14ac:dyDescent="0.25">
      <c r="A487" t="str">
        <f>_xlfn.XLOOKUP(C487,Raw_Data_Transaksi!$A$1:$A$1001,Raw_Data_Transaksi!$D$1:$D$1001,,0)</f>
        <v>PRD-104</v>
      </c>
      <c r="B487" t="str">
        <f>_xlfn.XLOOKUP(C487,Raw_Data_Transaksi!$A$1:$A$1001,Raw_Data_Transaksi!$C$1:$C$1001,,0)</f>
        <v>SLS-05</v>
      </c>
      <c r="C487" s="6" t="s">
        <v>571</v>
      </c>
      <c r="D487" s="7">
        <v>46004</v>
      </c>
      <c r="E487" s="10" t="str">
        <f>VLOOKUP(B487,Master_Sales!$A$1:$D$9,2,FALSE)</f>
        <v>Eko Prasetyo</v>
      </c>
      <c r="F487" s="10" t="str">
        <f>INDEX(Master_Sales!$D$1:$D$9,MATCH(Lembar_Kerja_Analisis!B487,Master_Sales!$A$1:$A$9,0))</f>
        <v>Tengah</v>
      </c>
      <c r="G487" s="10" t="str">
        <f>INDEX(Master_Sales!$C$1:$C$9,MATCH(Lembar_Kerja_Analisis!B487,Master_Sales!$A$1:$A$9,0))</f>
        <v>Semarang</v>
      </c>
      <c r="H487" s="10" t="str">
        <f>VLOOKUP(A487,Master_Produk!$A$1:$E$16,2,FALSE)</f>
        <v>Monitor 24" FHD 144Hz</v>
      </c>
      <c r="I487" s="10" t="str">
        <f>INDEX(Master_Produk!$C$1:$C$16,MATCH(Lembar_Kerja_Analisis!A487,Master_Produk!$A$1:$A$16,0))</f>
        <v>Elektronik</v>
      </c>
      <c r="J487" s="19">
        <f>_xlfn.XLOOKUP(A487,Master_Produk!$A$1:$A$16,Master_Produk!$D$1:$D$16,,0)</f>
        <v>1950000</v>
      </c>
      <c r="K487" s="19">
        <f>INDEX(Master_Produk!$E$1:$E$16,MATCH(Lembar_Kerja_Analisis!A487,Master_Produk!$A$1:$A$16,0))</f>
        <v>1500000</v>
      </c>
      <c r="L487" s="8">
        <v>11</v>
      </c>
      <c r="M487" s="19">
        <f t="shared" si="35"/>
        <v>21450000</v>
      </c>
      <c r="N487" s="9">
        <v>0.15</v>
      </c>
      <c r="O487" s="19">
        <f t="shared" si="36"/>
        <v>3217500</v>
      </c>
      <c r="P487" s="19">
        <f t="shared" si="37"/>
        <v>18232500</v>
      </c>
      <c r="Q487" s="19">
        <f t="shared" si="38"/>
        <v>16500000</v>
      </c>
      <c r="R487" s="19">
        <f t="shared" si="39"/>
        <v>1732500</v>
      </c>
    </row>
    <row r="488" spans="1:18" x14ac:dyDescent="0.25">
      <c r="A488" t="str">
        <f>_xlfn.XLOOKUP(C488,Raw_Data_Transaksi!$A$1:$A$1001,Raw_Data_Transaksi!$D$1:$D$1001,,0)</f>
        <v>PRD-115</v>
      </c>
      <c r="B488" t="str">
        <f>_xlfn.XLOOKUP(C488,Raw_Data_Transaksi!$A$1:$A$1001,Raw_Data_Transaksi!$C$1:$C$1001,,0)</f>
        <v>SLS-03</v>
      </c>
      <c r="C488" s="6" t="s">
        <v>572</v>
      </c>
      <c r="D488" s="7">
        <v>45900</v>
      </c>
      <c r="E488" s="10" t="str">
        <f>VLOOKUP(B488,Master_Sales!$A$1:$D$9,2,FALSE)</f>
        <v>Citra Lestari</v>
      </c>
      <c r="F488" s="10" t="str">
        <f>INDEX(Master_Sales!$D$1:$D$9,MATCH(Lembar_Kerja_Analisis!B488,Master_Sales!$A$1:$A$9,0))</f>
        <v>Barat</v>
      </c>
      <c r="G488" s="10" t="str">
        <f>INDEX(Master_Sales!$C$1:$C$9,MATCH(Lembar_Kerja_Analisis!B488,Master_Sales!$A$1:$A$9,0))</f>
        <v>Bandung</v>
      </c>
      <c r="H488" s="10" t="str">
        <f>VLOOKUP(A488,Master_Produk!$A$1:$E$16,2,FALSE)</f>
        <v>Set Pisau Dapur Stainless</v>
      </c>
      <c r="I488" s="10" t="str">
        <f>INDEX(Master_Produk!$C$1:$C$16,MATCH(Lembar_Kerja_Analisis!A488,Master_Produk!$A$1:$A$16,0))</f>
        <v>Peralatan Rumah</v>
      </c>
      <c r="J488" s="19">
        <f>_xlfn.XLOOKUP(A488,Master_Produk!$A$1:$A$16,Master_Produk!$D$1:$D$16,,0)</f>
        <v>165000</v>
      </c>
      <c r="K488" s="19">
        <f>INDEX(Master_Produk!$E$1:$E$16,MATCH(Lembar_Kerja_Analisis!A488,Master_Produk!$A$1:$A$16,0))</f>
        <v>105000</v>
      </c>
      <c r="L488" s="8">
        <v>11</v>
      </c>
      <c r="M488" s="19">
        <f t="shared" si="35"/>
        <v>1815000</v>
      </c>
      <c r="N488" s="9">
        <v>0.05</v>
      </c>
      <c r="O488" s="19">
        <f t="shared" si="36"/>
        <v>90750</v>
      </c>
      <c r="P488" s="19">
        <f t="shared" si="37"/>
        <v>1724250</v>
      </c>
      <c r="Q488" s="19">
        <f t="shared" si="38"/>
        <v>1155000</v>
      </c>
      <c r="R488" s="19">
        <f t="shared" si="39"/>
        <v>569250</v>
      </c>
    </row>
    <row r="489" spans="1:18" x14ac:dyDescent="0.25">
      <c r="A489" t="str">
        <f>_xlfn.XLOOKUP(C489,Raw_Data_Transaksi!$A$1:$A$1001,Raw_Data_Transaksi!$D$1:$D$1001,,0)</f>
        <v>PRD-113</v>
      </c>
      <c r="B489" t="str">
        <f>_xlfn.XLOOKUP(C489,Raw_Data_Transaksi!$A$1:$A$1001,Raw_Data_Transaksi!$C$1:$C$1001,,0)</f>
        <v>SLS-05</v>
      </c>
      <c r="C489" s="6" t="s">
        <v>573</v>
      </c>
      <c r="D489" s="7">
        <v>45969</v>
      </c>
      <c r="E489" s="10" t="str">
        <f>VLOOKUP(B489,Master_Sales!$A$1:$D$9,2,FALSE)</f>
        <v>Eko Prasetyo</v>
      </c>
      <c r="F489" s="10" t="str">
        <f>INDEX(Master_Sales!$D$1:$D$9,MATCH(Lembar_Kerja_Analisis!B489,Master_Sales!$A$1:$A$9,0))</f>
        <v>Tengah</v>
      </c>
      <c r="G489" s="10" t="str">
        <f>INDEX(Master_Sales!$C$1:$C$9,MATCH(Lembar_Kerja_Analisis!B489,Master_Sales!$A$1:$A$9,0))</f>
        <v>Semarang</v>
      </c>
      <c r="H489" s="10" t="str">
        <f>VLOOKUP(A489,Master_Produk!$A$1:$E$16,2,FALSE)</f>
        <v>Wajan Anti Lengket 28cm</v>
      </c>
      <c r="I489" s="10" t="str">
        <f>INDEX(Master_Produk!$C$1:$C$16,MATCH(Lembar_Kerja_Analisis!A489,Master_Produk!$A$1:$A$16,0))</f>
        <v>Peralatan Rumah</v>
      </c>
      <c r="J489" s="19">
        <f>_xlfn.XLOOKUP(A489,Master_Produk!$A$1:$A$16,Master_Produk!$D$1:$D$16,,0)</f>
        <v>210000</v>
      </c>
      <c r="K489" s="19">
        <f>INDEX(Master_Produk!$E$1:$E$16,MATCH(Lembar_Kerja_Analisis!A489,Master_Produk!$A$1:$A$16,0))</f>
        <v>140000</v>
      </c>
      <c r="L489" s="8">
        <v>12</v>
      </c>
      <c r="M489" s="19">
        <f t="shared" si="35"/>
        <v>2520000</v>
      </c>
      <c r="N489" s="9">
        <v>0.1</v>
      </c>
      <c r="O489" s="19">
        <f t="shared" si="36"/>
        <v>252000</v>
      </c>
      <c r="P489" s="19">
        <f t="shared" si="37"/>
        <v>2268000</v>
      </c>
      <c r="Q489" s="19">
        <f t="shared" si="38"/>
        <v>1680000</v>
      </c>
      <c r="R489" s="19">
        <f t="shared" si="39"/>
        <v>588000</v>
      </c>
    </row>
    <row r="490" spans="1:18" x14ac:dyDescent="0.25">
      <c r="A490" t="str">
        <f>_xlfn.XLOOKUP(C490,Raw_Data_Transaksi!$A$1:$A$1001,Raw_Data_Transaksi!$D$1:$D$1001,,0)</f>
        <v>PRD-105</v>
      </c>
      <c r="B490" t="str">
        <f>_xlfn.XLOOKUP(C490,Raw_Data_Transaksi!$A$1:$A$1001,Raw_Data_Transaksi!$C$1:$C$1001,,0)</f>
        <v>SLS-04</v>
      </c>
      <c r="C490" s="6" t="s">
        <v>574</v>
      </c>
      <c r="D490" s="7">
        <v>45893</v>
      </c>
      <c r="E490" s="10" t="str">
        <f>VLOOKUP(B490,Master_Sales!$A$1:$D$9,2,FALSE)</f>
        <v>Dewi Anggraini</v>
      </c>
      <c r="F490" s="10" t="str">
        <f>INDEX(Master_Sales!$D$1:$D$9,MATCH(Lembar_Kerja_Analisis!B490,Master_Sales!$A$1:$A$9,0))</f>
        <v>Barat</v>
      </c>
      <c r="G490" s="10" t="str">
        <f>INDEX(Master_Sales!$C$1:$C$9,MATCH(Lembar_Kerja_Analisis!B490,Master_Sales!$A$1:$A$9,0))</f>
        <v>Medan</v>
      </c>
      <c r="H490" s="10" t="str">
        <f>VLOOKUP(A490,Master_Produk!$A$1:$E$16,2,FALSE)</f>
        <v>Kemeja Batik Katun Premium</v>
      </c>
      <c r="I490" s="10" t="str">
        <f>INDEX(Master_Produk!$C$1:$C$16,MATCH(Lembar_Kerja_Analisis!A490,Master_Produk!$A$1:$A$16,0))</f>
        <v>Fashion</v>
      </c>
      <c r="J490" s="19">
        <f>_xlfn.XLOOKUP(A490,Master_Produk!$A$1:$A$16,Master_Produk!$D$1:$D$16,,0)</f>
        <v>320000</v>
      </c>
      <c r="K490" s="19">
        <f>INDEX(Master_Produk!$E$1:$E$16,MATCH(Lembar_Kerja_Analisis!A490,Master_Produk!$A$1:$A$16,0))</f>
        <v>190000</v>
      </c>
      <c r="L490" s="8">
        <v>8</v>
      </c>
      <c r="M490" s="19">
        <f t="shared" si="35"/>
        <v>2560000</v>
      </c>
      <c r="N490" s="9">
        <v>0.1</v>
      </c>
      <c r="O490" s="19">
        <f t="shared" si="36"/>
        <v>256000</v>
      </c>
      <c r="P490" s="19">
        <f t="shared" si="37"/>
        <v>2304000</v>
      </c>
      <c r="Q490" s="19">
        <f t="shared" si="38"/>
        <v>1520000</v>
      </c>
      <c r="R490" s="19">
        <f t="shared" si="39"/>
        <v>784000</v>
      </c>
    </row>
    <row r="491" spans="1:18" x14ac:dyDescent="0.25">
      <c r="A491" t="str">
        <f>_xlfn.XLOOKUP(C491,Raw_Data_Transaksi!$A$1:$A$1001,Raw_Data_Transaksi!$D$1:$D$1001,,0)</f>
        <v>PRD-109</v>
      </c>
      <c r="B491" t="str">
        <f>_xlfn.XLOOKUP(C491,Raw_Data_Transaksi!$A$1:$A$1001,Raw_Data_Transaksi!$C$1:$C$1001,,0)</f>
        <v>SLS-06</v>
      </c>
      <c r="C491" s="6" t="s">
        <v>575</v>
      </c>
      <c r="D491" s="7">
        <v>45661</v>
      </c>
      <c r="E491" s="10" t="str">
        <f>VLOOKUP(B491,Master_Sales!$A$1:$D$9,2,FALSE)</f>
        <v>Fajar Nugraha</v>
      </c>
      <c r="F491" s="10" t="str">
        <f>INDEX(Master_Sales!$D$1:$D$9,MATCH(Lembar_Kerja_Analisis!B491,Master_Sales!$A$1:$A$9,0))</f>
        <v>Timur</v>
      </c>
      <c r="G491" s="10" t="str">
        <f>INDEX(Master_Sales!$C$1:$C$9,MATCH(Lembar_Kerja_Analisis!B491,Master_Sales!$A$1:$A$9,0))</f>
        <v>Makassar</v>
      </c>
      <c r="H491" s="10" t="str">
        <f>VLOOKUP(A491,Master_Produk!$A$1:$E$16,2,FALSE)</f>
        <v>Kopi Arabika Gayo 250g</v>
      </c>
      <c r="I491" s="10" t="str">
        <f>INDEX(Master_Produk!$C$1:$C$16,MATCH(Lembar_Kerja_Analisis!A491,Master_Produk!$A$1:$A$16,0))</f>
        <v>F&amp;B</v>
      </c>
      <c r="J491" s="19">
        <f>_xlfn.XLOOKUP(A491,Master_Produk!$A$1:$A$16,Master_Produk!$D$1:$D$16,,0)</f>
        <v>85000</v>
      </c>
      <c r="K491" s="19">
        <f>INDEX(Master_Produk!$E$1:$E$16,MATCH(Lembar_Kerja_Analisis!A491,Master_Produk!$A$1:$A$16,0))</f>
        <v>55000</v>
      </c>
      <c r="L491" s="8">
        <v>23</v>
      </c>
      <c r="M491" s="19">
        <f t="shared" si="35"/>
        <v>1955000</v>
      </c>
      <c r="N491" s="9">
        <v>0.2</v>
      </c>
      <c r="O491" s="19">
        <f t="shared" si="36"/>
        <v>391000</v>
      </c>
      <c r="P491" s="19">
        <f t="shared" si="37"/>
        <v>1564000</v>
      </c>
      <c r="Q491" s="19">
        <f t="shared" si="38"/>
        <v>1265000</v>
      </c>
      <c r="R491" s="19">
        <f t="shared" si="39"/>
        <v>299000</v>
      </c>
    </row>
    <row r="492" spans="1:18" x14ac:dyDescent="0.25">
      <c r="A492" t="str">
        <f>_xlfn.XLOOKUP(C492,Raw_Data_Transaksi!$A$1:$A$1001,Raw_Data_Transaksi!$D$1:$D$1001,,0)</f>
        <v>PRD-102</v>
      </c>
      <c r="B492" t="str">
        <f>_xlfn.XLOOKUP(C492,Raw_Data_Transaksi!$A$1:$A$1001,Raw_Data_Transaksi!$C$1:$C$1001,,0)</f>
        <v>SLS-06</v>
      </c>
      <c r="C492" s="6" t="s">
        <v>576</v>
      </c>
      <c r="D492" s="7">
        <v>45904</v>
      </c>
      <c r="E492" s="10" t="str">
        <f>VLOOKUP(B492,Master_Sales!$A$1:$D$9,2,FALSE)</f>
        <v>Fajar Nugraha</v>
      </c>
      <c r="F492" s="10" t="str">
        <f>INDEX(Master_Sales!$D$1:$D$9,MATCH(Lembar_Kerja_Analisis!B492,Master_Sales!$A$1:$A$9,0))</f>
        <v>Timur</v>
      </c>
      <c r="G492" s="10" t="str">
        <f>INDEX(Master_Sales!$C$1:$C$9,MATCH(Lembar_Kerja_Analisis!B492,Master_Sales!$A$1:$A$9,0))</f>
        <v>Makassar</v>
      </c>
      <c r="H492" s="10" t="str">
        <f>VLOOKUP(A492,Master_Produk!$A$1:$E$16,2,FALSE)</f>
        <v>Wireless Mouse Ergonomic</v>
      </c>
      <c r="I492" s="10" t="str">
        <f>INDEX(Master_Produk!$C$1:$C$16,MATCH(Lembar_Kerja_Analisis!A492,Master_Produk!$A$1:$A$16,0))</f>
        <v>Elektronik</v>
      </c>
      <c r="J492" s="19">
        <f>_xlfn.XLOOKUP(A492,Master_Produk!$A$1:$A$16,Master_Produk!$D$1:$D$16,,0)</f>
        <v>250000</v>
      </c>
      <c r="K492" s="19">
        <f>INDEX(Master_Produk!$E$1:$E$16,MATCH(Lembar_Kerja_Analisis!A492,Master_Produk!$A$1:$A$16,0))</f>
        <v>160000</v>
      </c>
      <c r="L492" s="8">
        <v>5</v>
      </c>
      <c r="M492" s="19">
        <f t="shared" si="35"/>
        <v>1250000</v>
      </c>
      <c r="N492" s="9">
        <v>0.1</v>
      </c>
      <c r="O492" s="19">
        <f t="shared" si="36"/>
        <v>125000</v>
      </c>
      <c r="P492" s="19">
        <f t="shared" si="37"/>
        <v>1125000</v>
      </c>
      <c r="Q492" s="19">
        <f t="shared" si="38"/>
        <v>800000</v>
      </c>
      <c r="R492" s="19">
        <f t="shared" si="39"/>
        <v>325000</v>
      </c>
    </row>
    <row r="493" spans="1:18" x14ac:dyDescent="0.25">
      <c r="A493" t="str">
        <f>_xlfn.XLOOKUP(C493,Raw_Data_Transaksi!$A$1:$A$1001,Raw_Data_Transaksi!$D$1:$D$1001,,0)</f>
        <v>PRD-103</v>
      </c>
      <c r="B493" t="str">
        <f>_xlfn.XLOOKUP(C493,Raw_Data_Transaksi!$A$1:$A$1001,Raw_Data_Transaksi!$C$1:$C$1001,,0)</f>
        <v>SLS-04</v>
      </c>
      <c r="C493" s="6" t="s">
        <v>577</v>
      </c>
      <c r="D493" s="7">
        <v>45754</v>
      </c>
      <c r="E493" s="10" t="str">
        <f>VLOOKUP(B493,Master_Sales!$A$1:$D$9,2,FALSE)</f>
        <v>Dewi Anggraini</v>
      </c>
      <c r="F493" s="10" t="str">
        <f>INDEX(Master_Sales!$D$1:$D$9,MATCH(Lembar_Kerja_Analisis!B493,Master_Sales!$A$1:$A$9,0))</f>
        <v>Barat</v>
      </c>
      <c r="G493" s="10" t="str">
        <f>INDEX(Master_Sales!$C$1:$C$9,MATCH(Lembar_Kerja_Analisis!B493,Master_Sales!$A$1:$A$9,0))</f>
        <v>Medan</v>
      </c>
      <c r="H493" s="10" t="str">
        <f>VLOOKUP(A493,Master_Produk!$A$1:$E$16,2,FALSE)</f>
        <v>Mechanical Keyboard RGB</v>
      </c>
      <c r="I493" s="10" t="str">
        <f>INDEX(Master_Produk!$C$1:$C$16,MATCH(Lembar_Kerja_Analisis!A493,Master_Produk!$A$1:$A$16,0))</f>
        <v>Elektronik</v>
      </c>
      <c r="J493" s="19">
        <f>_xlfn.XLOOKUP(A493,Master_Produk!$A$1:$A$16,Master_Produk!$D$1:$D$16,,0)</f>
        <v>750000</v>
      </c>
      <c r="K493" s="19">
        <f>INDEX(Master_Produk!$E$1:$E$16,MATCH(Lembar_Kerja_Analisis!A493,Master_Produk!$A$1:$A$16,0))</f>
        <v>520000</v>
      </c>
      <c r="L493" s="8">
        <v>1</v>
      </c>
      <c r="M493" s="19">
        <f t="shared" si="35"/>
        <v>750000</v>
      </c>
      <c r="N493" s="9">
        <v>0.2</v>
      </c>
      <c r="O493" s="19">
        <f t="shared" si="36"/>
        <v>150000</v>
      </c>
      <c r="P493" s="19">
        <f t="shared" si="37"/>
        <v>600000</v>
      </c>
      <c r="Q493" s="19">
        <f t="shared" si="38"/>
        <v>520000</v>
      </c>
      <c r="R493" s="19">
        <f t="shared" si="39"/>
        <v>80000</v>
      </c>
    </row>
    <row r="494" spans="1:18" x14ac:dyDescent="0.25">
      <c r="A494" t="str">
        <f>_xlfn.XLOOKUP(C494,Raw_Data_Transaksi!$A$1:$A$1001,Raw_Data_Transaksi!$D$1:$D$1001,,0)</f>
        <v>PRD-103</v>
      </c>
      <c r="B494" t="str">
        <f>_xlfn.XLOOKUP(C494,Raw_Data_Transaksi!$A$1:$A$1001,Raw_Data_Transaksi!$C$1:$C$1001,,0)</f>
        <v>SLS-01</v>
      </c>
      <c r="C494" s="6" t="s">
        <v>578</v>
      </c>
      <c r="D494" s="7">
        <v>46006</v>
      </c>
      <c r="E494" s="10" t="str">
        <f>VLOOKUP(B494,Master_Sales!$A$1:$D$9,2,FALSE)</f>
        <v>Andi Pratama</v>
      </c>
      <c r="F494" s="10" t="str">
        <f>INDEX(Master_Sales!$D$1:$D$9,MATCH(Lembar_Kerja_Analisis!B494,Master_Sales!$A$1:$A$9,0))</f>
        <v>Barat</v>
      </c>
      <c r="G494" s="10" t="str">
        <f>INDEX(Master_Sales!$C$1:$C$9,MATCH(Lembar_Kerja_Analisis!B494,Master_Sales!$A$1:$A$9,0))</f>
        <v>Jakarta</v>
      </c>
      <c r="H494" s="10" t="str">
        <f>VLOOKUP(A494,Master_Produk!$A$1:$E$16,2,FALSE)</f>
        <v>Mechanical Keyboard RGB</v>
      </c>
      <c r="I494" s="10" t="str">
        <f>INDEX(Master_Produk!$C$1:$C$16,MATCH(Lembar_Kerja_Analisis!A494,Master_Produk!$A$1:$A$16,0))</f>
        <v>Elektronik</v>
      </c>
      <c r="J494" s="19">
        <f>_xlfn.XLOOKUP(A494,Master_Produk!$A$1:$A$16,Master_Produk!$D$1:$D$16,,0)</f>
        <v>750000</v>
      </c>
      <c r="K494" s="19">
        <f>INDEX(Master_Produk!$E$1:$E$16,MATCH(Lembar_Kerja_Analisis!A494,Master_Produk!$A$1:$A$16,0))</f>
        <v>520000</v>
      </c>
      <c r="L494" s="8">
        <v>11</v>
      </c>
      <c r="M494" s="19">
        <f t="shared" si="35"/>
        <v>8250000</v>
      </c>
      <c r="N494" s="9">
        <v>0.15</v>
      </c>
      <c r="O494" s="19">
        <f t="shared" si="36"/>
        <v>1237500</v>
      </c>
      <c r="P494" s="19">
        <f t="shared" si="37"/>
        <v>7012500</v>
      </c>
      <c r="Q494" s="19">
        <f t="shared" si="38"/>
        <v>5720000</v>
      </c>
      <c r="R494" s="19">
        <f t="shared" si="39"/>
        <v>1292500</v>
      </c>
    </row>
    <row r="495" spans="1:18" x14ac:dyDescent="0.25">
      <c r="A495" t="str">
        <f>_xlfn.XLOOKUP(C495,Raw_Data_Transaksi!$A$1:$A$1001,Raw_Data_Transaksi!$D$1:$D$1001,,0)</f>
        <v>PRD-107</v>
      </c>
      <c r="B495" t="str">
        <f>_xlfn.XLOOKUP(C495,Raw_Data_Transaksi!$A$1:$A$1001,Raw_Data_Transaksi!$C$1:$C$1001,,0)</f>
        <v>SLS-01</v>
      </c>
      <c r="C495" s="6" t="s">
        <v>579</v>
      </c>
      <c r="D495" s="7">
        <v>45865</v>
      </c>
      <c r="E495" s="10" t="str">
        <f>VLOOKUP(B495,Master_Sales!$A$1:$D$9,2,FALSE)</f>
        <v>Andi Pratama</v>
      </c>
      <c r="F495" s="10" t="str">
        <f>INDEX(Master_Sales!$D$1:$D$9,MATCH(Lembar_Kerja_Analisis!B495,Master_Sales!$A$1:$A$9,0))</f>
        <v>Barat</v>
      </c>
      <c r="G495" s="10" t="str">
        <f>INDEX(Master_Sales!$C$1:$C$9,MATCH(Lembar_Kerja_Analisis!B495,Master_Sales!$A$1:$A$9,0))</f>
        <v>Jakarta</v>
      </c>
      <c r="H495" s="10" t="str">
        <f>VLOOKUP(A495,Master_Produk!$A$1:$E$16,2,FALSE)</f>
        <v>Jaket Hoodie Casual</v>
      </c>
      <c r="I495" s="10" t="str">
        <f>INDEX(Master_Produk!$C$1:$C$16,MATCH(Lembar_Kerja_Analisis!A495,Master_Produk!$A$1:$A$16,0))</f>
        <v>Fashion</v>
      </c>
      <c r="J495" s="19">
        <f>_xlfn.XLOOKUP(A495,Master_Produk!$A$1:$A$16,Master_Produk!$D$1:$D$16,,0)</f>
        <v>350000</v>
      </c>
      <c r="K495" s="19">
        <f>INDEX(Master_Produk!$E$1:$E$16,MATCH(Lembar_Kerja_Analisis!A495,Master_Produk!$A$1:$A$16,0))</f>
        <v>220000</v>
      </c>
      <c r="L495" s="8">
        <v>10</v>
      </c>
      <c r="M495" s="19">
        <f t="shared" si="35"/>
        <v>3500000</v>
      </c>
      <c r="N495" s="9">
        <v>0.2</v>
      </c>
      <c r="O495" s="19">
        <f t="shared" si="36"/>
        <v>700000</v>
      </c>
      <c r="P495" s="19">
        <f t="shared" si="37"/>
        <v>2800000</v>
      </c>
      <c r="Q495" s="19">
        <f t="shared" si="38"/>
        <v>2200000</v>
      </c>
      <c r="R495" s="19">
        <f t="shared" si="39"/>
        <v>600000</v>
      </c>
    </row>
    <row r="496" spans="1:18" x14ac:dyDescent="0.25">
      <c r="A496" t="str">
        <f>_xlfn.XLOOKUP(C496,Raw_Data_Transaksi!$A$1:$A$1001,Raw_Data_Transaksi!$D$1:$D$1001,,0)</f>
        <v>PRD-109</v>
      </c>
      <c r="B496" t="str">
        <f>_xlfn.XLOOKUP(C496,Raw_Data_Transaksi!$A$1:$A$1001,Raw_Data_Transaksi!$C$1:$C$1001,,0)</f>
        <v>SLS-08</v>
      </c>
      <c r="C496" s="6" t="s">
        <v>580</v>
      </c>
      <c r="D496" s="7">
        <v>46009</v>
      </c>
      <c r="E496" s="10" t="str">
        <f>VLOOKUP(B496,Master_Sales!$A$1:$D$9,2,FALSE)</f>
        <v>Hendra Wijaya</v>
      </c>
      <c r="F496" s="10" t="str">
        <f>INDEX(Master_Sales!$D$1:$D$9,MATCH(Lembar_Kerja_Analisis!B496,Master_Sales!$A$1:$A$9,0))</f>
        <v>Tengah</v>
      </c>
      <c r="G496" s="10" t="str">
        <f>INDEX(Master_Sales!$C$1:$C$9,MATCH(Lembar_Kerja_Analisis!B496,Master_Sales!$A$1:$A$9,0))</f>
        <v>Yogyakarta</v>
      </c>
      <c r="H496" s="10" t="str">
        <f>VLOOKUP(A496,Master_Produk!$A$1:$E$16,2,FALSE)</f>
        <v>Kopi Arabika Gayo 250g</v>
      </c>
      <c r="I496" s="10" t="str">
        <f>INDEX(Master_Produk!$C$1:$C$16,MATCH(Lembar_Kerja_Analisis!A496,Master_Produk!$A$1:$A$16,0))</f>
        <v>F&amp;B</v>
      </c>
      <c r="J496" s="19">
        <f>_xlfn.XLOOKUP(A496,Master_Produk!$A$1:$A$16,Master_Produk!$D$1:$D$16,,0)</f>
        <v>85000</v>
      </c>
      <c r="K496" s="19">
        <f>INDEX(Master_Produk!$E$1:$E$16,MATCH(Lembar_Kerja_Analisis!A496,Master_Produk!$A$1:$A$16,0))</f>
        <v>55000</v>
      </c>
      <c r="L496" s="8">
        <v>14</v>
      </c>
      <c r="M496" s="19">
        <f t="shared" si="35"/>
        <v>1190000</v>
      </c>
      <c r="N496" s="9">
        <v>0.2</v>
      </c>
      <c r="O496" s="19">
        <f t="shared" si="36"/>
        <v>238000</v>
      </c>
      <c r="P496" s="19">
        <f t="shared" si="37"/>
        <v>952000</v>
      </c>
      <c r="Q496" s="19">
        <f t="shared" si="38"/>
        <v>770000</v>
      </c>
      <c r="R496" s="19">
        <f t="shared" si="39"/>
        <v>182000</v>
      </c>
    </row>
    <row r="497" spans="1:18" x14ac:dyDescent="0.25">
      <c r="A497" t="str">
        <f>_xlfn.XLOOKUP(C497,Raw_Data_Transaksi!$A$1:$A$1001,Raw_Data_Transaksi!$D$1:$D$1001,,0)</f>
        <v>PRD-102</v>
      </c>
      <c r="B497" t="str">
        <f>_xlfn.XLOOKUP(C497,Raw_Data_Transaksi!$A$1:$A$1001,Raw_Data_Transaksi!$C$1:$C$1001,,0)</f>
        <v>SLS-08</v>
      </c>
      <c r="C497" s="6" t="s">
        <v>581</v>
      </c>
      <c r="D497" s="7">
        <v>45808</v>
      </c>
      <c r="E497" s="10" t="str">
        <f>VLOOKUP(B497,Master_Sales!$A$1:$D$9,2,FALSE)</f>
        <v>Hendra Wijaya</v>
      </c>
      <c r="F497" s="10" t="str">
        <f>INDEX(Master_Sales!$D$1:$D$9,MATCH(Lembar_Kerja_Analisis!B497,Master_Sales!$A$1:$A$9,0))</f>
        <v>Tengah</v>
      </c>
      <c r="G497" s="10" t="str">
        <f>INDEX(Master_Sales!$C$1:$C$9,MATCH(Lembar_Kerja_Analisis!B497,Master_Sales!$A$1:$A$9,0))</f>
        <v>Yogyakarta</v>
      </c>
      <c r="H497" s="10" t="str">
        <f>VLOOKUP(A497,Master_Produk!$A$1:$E$16,2,FALSE)</f>
        <v>Wireless Mouse Ergonomic</v>
      </c>
      <c r="I497" s="10" t="str">
        <f>INDEX(Master_Produk!$C$1:$C$16,MATCH(Lembar_Kerja_Analisis!A497,Master_Produk!$A$1:$A$16,0))</f>
        <v>Elektronik</v>
      </c>
      <c r="J497" s="19">
        <f>_xlfn.XLOOKUP(A497,Master_Produk!$A$1:$A$16,Master_Produk!$D$1:$D$16,,0)</f>
        <v>250000</v>
      </c>
      <c r="K497" s="19">
        <f>INDEX(Master_Produk!$E$1:$E$16,MATCH(Lembar_Kerja_Analisis!A497,Master_Produk!$A$1:$A$16,0))</f>
        <v>160000</v>
      </c>
      <c r="L497" s="8">
        <v>3</v>
      </c>
      <c r="M497" s="19">
        <f t="shared" si="35"/>
        <v>750000</v>
      </c>
      <c r="N497" s="9">
        <v>0.1</v>
      </c>
      <c r="O497" s="19">
        <f t="shared" si="36"/>
        <v>75000</v>
      </c>
      <c r="P497" s="19">
        <f t="shared" si="37"/>
        <v>675000</v>
      </c>
      <c r="Q497" s="19">
        <f t="shared" si="38"/>
        <v>480000</v>
      </c>
      <c r="R497" s="19">
        <f t="shared" si="39"/>
        <v>195000</v>
      </c>
    </row>
    <row r="498" spans="1:18" x14ac:dyDescent="0.25">
      <c r="A498" t="str">
        <f>_xlfn.XLOOKUP(C498,Raw_Data_Transaksi!$A$1:$A$1001,Raw_Data_Transaksi!$D$1:$D$1001,,0)</f>
        <v>PRD-102</v>
      </c>
      <c r="B498" t="str">
        <f>_xlfn.XLOOKUP(C498,Raw_Data_Transaksi!$A$1:$A$1001,Raw_Data_Transaksi!$C$1:$C$1001,,0)</f>
        <v>SLS-04</v>
      </c>
      <c r="C498" s="6" t="s">
        <v>582</v>
      </c>
      <c r="D498" s="7">
        <v>45993</v>
      </c>
      <c r="E498" s="10" t="str">
        <f>VLOOKUP(B498,Master_Sales!$A$1:$D$9,2,FALSE)</f>
        <v>Dewi Anggraini</v>
      </c>
      <c r="F498" s="10" t="str">
        <f>INDEX(Master_Sales!$D$1:$D$9,MATCH(Lembar_Kerja_Analisis!B498,Master_Sales!$A$1:$A$9,0))</f>
        <v>Barat</v>
      </c>
      <c r="G498" s="10" t="str">
        <f>INDEX(Master_Sales!$C$1:$C$9,MATCH(Lembar_Kerja_Analisis!B498,Master_Sales!$A$1:$A$9,0))</f>
        <v>Medan</v>
      </c>
      <c r="H498" s="10" t="str">
        <f>VLOOKUP(A498,Master_Produk!$A$1:$E$16,2,FALSE)</f>
        <v>Wireless Mouse Ergonomic</v>
      </c>
      <c r="I498" s="10" t="str">
        <f>INDEX(Master_Produk!$C$1:$C$16,MATCH(Lembar_Kerja_Analisis!A498,Master_Produk!$A$1:$A$16,0))</f>
        <v>Elektronik</v>
      </c>
      <c r="J498" s="19">
        <f>_xlfn.XLOOKUP(A498,Master_Produk!$A$1:$A$16,Master_Produk!$D$1:$D$16,,0)</f>
        <v>250000</v>
      </c>
      <c r="K498" s="19">
        <f>INDEX(Master_Produk!$E$1:$E$16,MATCH(Lembar_Kerja_Analisis!A498,Master_Produk!$A$1:$A$16,0))</f>
        <v>160000</v>
      </c>
      <c r="L498" s="8">
        <v>6</v>
      </c>
      <c r="M498" s="19">
        <f t="shared" si="35"/>
        <v>1500000</v>
      </c>
      <c r="N498" s="9">
        <v>0.05</v>
      </c>
      <c r="O498" s="19">
        <f t="shared" si="36"/>
        <v>75000</v>
      </c>
      <c r="P498" s="19">
        <f t="shared" si="37"/>
        <v>1425000</v>
      </c>
      <c r="Q498" s="19">
        <f t="shared" si="38"/>
        <v>960000</v>
      </c>
      <c r="R498" s="19">
        <f t="shared" si="39"/>
        <v>465000</v>
      </c>
    </row>
    <row r="499" spans="1:18" x14ac:dyDescent="0.25">
      <c r="A499" t="str">
        <f>_xlfn.XLOOKUP(C499,Raw_Data_Transaksi!$A$1:$A$1001,Raw_Data_Transaksi!$D$1:$D$1001,,0)</f>
        <v>PRD-105</v>
      </c>
      <c r="B499" t="str">
        <f>_xlfn.XLOOKUP(C499,Raw_Data_Transaksi!$A$1:$A$1001,Raw_Data_Transaksi!$C$1:$C$1001,,0)</f>
        <v>SLS-05</v>
      </c>
      <c r="C499" s="6" t="s">
        <v>583</v>
      </c>
      <c r="D499" s="7">
        <v>45848</v>
      </c>
      <c r="E499" s="10" t="str">
        <f>VLOOKUP(B499,Master_Sales!$A$1:$D$9,2,FALSE)</f>
        <v>Eko Prasetyo</v>
      </c>
      <c r="F499" s="10" t="str">
        <f>INDEX(Master_Sales!$D$1:$D$9,MATCH(Lembar_Kerja_Analisis!B499,Master_Sales!$A$1:$A$9,0))</f>
        <v>Tengah</v>
      </c>
      <c r="G499" s="10" t="str">
        <f>INDEX(Master_Sales!$C$1:$C$9,MATCH(Lembar_Kerja_Analisis!B499,Master_Sales!$A$1:$A$9,0))</f>
        <v>Semarang</v>
      </c>
      <c r="H499" s="10" t="str">
        <f>VLOOKUP(A499,Master_Produk!$A$1:$E$16,2,FALSE)</f>
        <v>Kemeja Batik Katun Premium</v>
      </c>
      <c r="I499" s="10" t="str">
        <f>INDEX(Master_Produk!$C$1:$C$16,MATCH(Lembar_Kerja_Analisis!A499,Master_Produk!$A$1:$A$16,0))</f>
        <v>Fashion</v>
      </c>
      <c r="J499" s="19">
        <f>_xlfn.XLOOKUP(A499,Master_Produk!$A$1:$A$16,Master_Produk!$D$1:$D$16,,0)</f>
        <v>320000</v>
      </c>
      <c r="K499" s="19">
        <f>INDEX(Master_Produk!$E$1:$E$16,MATCH(Lembar_Kerja_Analisis!A499,Master_Produk!$A$1:$A$16,0))</f>
        <v>190000</v>
      </c>
      <c r="L499" s="8">
        <v>8</v>
      </c>
      <c r="M499" s="19">
        <f t="shared" si="35"/>
        <v>2560000</v>
      </c>
      <c r="N499" s="9">
        <v>0</v>
      </c>
      <c r="O499" s="19">
        <f t="shared" si="36"/>
        <v>0</v>
      </c>
      <c r="P499" s="19">
        <f t="shared" si="37"/>
        <v>2560000</v>
      </c>
      <c r="Q499" s="19">
        <f t="shared" si="38"/>
        <v>1520000</v>
      </c>
      <c r="R499" s="19">
        <f t="shared" si="39"/>
        <v>1040000</v>
      </c>
    </row>
    <row r="500" spans="1:18" x14ac:dyDescent="0.25">
      <c r="A500" t="str">
        <f>_xlfn.XLOOKUP(C500,Raw_Data_Transaksi!$A$1:$A$1001,Raw_Data_Transaksi!$D$1:$D$1001,,0)</f>
        <v>PRD-115</v>
      </c>
      <c r="B500" t="str">
        <f>_xlfn.XLOOKUP(C500,Raw_Data_Transaksi!$A$1:$A$1001,Raw_Data_Transaksi!$C$1:$C$1001,,0)</f>
        <v>SLS-04</v>
      </c>
      <c r="C500" s="6" t="s">
        <v>584</v>
      </c>
      <c r="D500" s="7">
        <v>45899</v>
      </c>
      <c r="E500" s="10" t="str">
        <f>VLOOKUP(B500,Master_Sales!$A$1:$D$9,2,FALSE)</f>
        <v>Dewi Anggraini</v>
      </c>
      <c r="F500" s="10" t="str">
        <f>INDEX(Master_Sales!$D$1:$D$9,MATCH(Lembar_Kerja_Analisis!B500,Master_Sales!$A$1:$A$9,0))</f>
        <v>Barat</v>
      </c>
      <c r="G500" s="10" t="str">
        <f>INDEX(Master_Sales!$C$1:$C$9,MATCH(Lembar_Kerja_Analisis!B500,Master_Sales!$A$1:$A$9,0))</f>
        <v>Medan</v>
      </c>
      <c r="H500" s="10" t="str">
        <f>VLOOKUP(A500,Master_Produk!$A$1:$E$16,2,FALSE)</f>
        <v>Set Pisau Dapur Stainless</v>
      </c>
      <c r="I500" s="10" t="str">
        <f>INDEX(Master_Produk!$C$1:$C$16,MATCH(Lembar_Kerja_Analisis!A500,Master_Produk!$A$1:$A$16,0))</f>
        <v>Peralatan Rumah</v>
      </c>
      <c r="J500" s="19">
        <f>_xlfn.XLOOKUP(A500,Master_Produk!$A$1:$A$16,Master_Produk!$D$1:$D$16,,0)</f>
        <v>165000</v>
      </c>
      <c r="K500" s="19">
        <f>INDEX(Master_Produk!$E$1:$E$16,MATCH(Lembar_Kerja_Analisis!A500,Master_Produk!$A$1:$A$16,0))</f>
        <v>105000</v>
      </c>
      <c r="L500" s="8">
        <v>9</v>
      </c>
      <c r="M500" s="19">
        <f t="shared" si="35"/>
        <v>1485000</v>
      </c>
      <c r="N500" s="9">
        <v>0</v>
      </c>
      <c r="O500" s="19">
        <f t="shared" si="36"/>
        <v>0</v>
      </c>
      <c r="P500" s="19">
        <f t="shared" si="37"/>
        <v>1485000</v>
      </c>
      <c r="Q500" s="19">
        <f t="shared" si="38"/>
        <v>945000</v>
      </c>
      <c r="R500" s="19">
        <f t="shared" si="39"/>
        <v>540000</v>
      </c>
    </row>
    <row r="501" spans="1:18" x14ac:dyDescent="0.25">
      <c r="A501" t="str">
        <f>_xlfn.XLOOKUP(C501,Raw_Data_Transaksi!$A$1:$A$1001,Raw_Data_Transaksi!$D$1:$D$1001,,0)</f>
        <v>PRD-101</v>
      </c>
      <c r="B501" t="str">
        <f>_xlfn.XLOOKUP(C501,Raw_Data_Transaksi!$A$1:$A$1001,Raw_Data_Transaksi!$C$1:$C$1001,,0)</f>
        <v>SLS-03</v>
      </c>
      <c r="C501" s="6" t="s">
        <v>585</v>
      </c>
      <c r="D501" s="7">
        <v>45869</v>
      </c>
      <c r="E501" s="10" t="str">
        <f>VLOOKUP(B501,Master_Sales!$A$1:$D$9,2,FALSE)</f>
        <v>Citra Lestari</v>
      </c>
      <c r="F501" s="10" t="str">
        <f>INDEX(Master_Sales!$D$1:$D$9,MATCH(Lembar_Kerja_Analisis!B501,Master_Sales!$A$1:$A$9,0))</f>
        <v>Barat</v>
      </c>
      <c r="G501" s="10" t="str">
        <f>INDEX(Master_Sales!$C$1:$C$9,MATCH(Lembar_Kerja_Analisis!B501,Master_Sales!$A$1:$A$9,0))</f>
        <v>Bandung</v>
      </c>
      <c r="H501" s="10" t="str">
        <f>VLOOKUP(A501,Master_Produk!$A$1:$E$16,2,FALSE)</f>
        <v>Laptop Ultrabook 14"</v>
      </c>
      <c r="I501" s="10" t="str">
        <f>INDEX(Master_Produk!$C$1:$C$16,MATCH(Lembar_Kerja_Analisis!A501,Master_Produk!$A$1:$A$16,0))</f>
        <v>Elektronik</v>
      </c>
      <c r="J501" s="19">
        <f>_xlfn.XLOOKUP(A501,Master_Produk!$A$1:$A$16,Master_Produk!$D$1:$D$16,,0)</f>
        <v>8500000</v>
      </c>
      <c r="K501" s="19">
        <f>INDEX(Master_Produk!$E$1:$E$16,MATCH(Lembar_Kerja_Analisis!A501,Master_Produk!$A$1:$A$16,0))</f>
        <v>7200000</v>
      </c>
      <c r="L501" s="8">
        <v>3</v>
      </c>
      <c r="M501" s="19">
        <f t="shared" si="35"/>
        <v>25500000</v>
      </c>
      <c r="N501" s="9">
        <v>0.05</v>
      </c>
      <c r="O501" s="19">
        <f t="shared" si="36"/>
        <v>1275000</v>
      </c>
      <c r="P501" s="19">
        <f t="shared" si="37"/>
        <v>24225000</v>
      </c>
      <c r="Q501" s="19">
        <f t="shared" si="38"/>
        <v>21600000</v>
      </c>
      <c r="R501" s="19">
        <f t="shared" si="39"/>
        <v>2625000</v>
      </c>
    </row>
    <row r="502" spans="1:18" x14ac:dyDescent="0.25">
      <c r="A502" t="str">
        <f>_xlfn.XLOOKUP(C502,Raw_Data_Transaksi!$A$1:$A$1001,Raw_Data_Transaksi!$D$1:$D$1001,,0)</f>
        <v>PRD-106</v>
      </c>
      <c r="B502" t="str">
        <f>_xlfn.XLOOKUP(C502,Raw_Data_Transaksi!$A$1:$A$1001,Raw_Data_Transaksi!$C$1:$C$1001,,0)</f>
        <v>SLS-03</v>
      </c>
      <c r="C502" s="6" t="s">
        <v>586</v>
      </c>
      <c r="D502" s="7">
        <v>45731</v>
      </c>
      <c r="E502" s="10" t="str">
        <f>VLOOKUP(B502,Master_Sales!$A$1:$D$9,2,FALSE)</f>
        <v>Citra Lestari</v>
      </c>
      <c r="F502" s="10" t="str">
        <f>INDEX(Master_Sales!$D$1:$D$9,MATCH(Lembar_Kerja_Analisis!B502,Master_Sales!$A$1:$A$9,0))</f>
        <v>Barat</v>
      </c>
      <c r="G502" s="10" t="str">
        <f>INDEX(Master_Sales!$C$1:$C$9,MATCH(Lembar_Kerja_Analisis!B502,Master_Sales!$A$1:$A$9,0))</f>
        <v>Bandung</v>
      </c>
      <c r="H502" s="10" t="str">
        <f>VLOOKUP(A502,Master_Produk!$A$1:$E$16,2,FALSE)</f>
        <v>Celana Chino Slim Fit</v>
      </c>
      <c r="I502" s="10" t="str">
        <f>INDEX(Master_Produk!$C$1:$C$16,MATCH(Lembar_Kerja_Analisis!A502,Master_Produk!$A$1:$A$16,0))</f>
        <v>Fashion</v>
      </c>
      <c r="J502" s="19">
        <f>_xlfn.XLOOKUP(A502,Master_Produk!$A$1:$A$16,Master_Produk!$D$1:$D$16,,0)</f>
        <v>280000</v>
      </c>
      <c r="K502" s="19">
        <f>INDEX(Master_Produk!$E$1:$E$16,MATCH(Lembar_Kerja_Analisis!A502,Master_Produk!$A$1:$A$16,0))</f>
        <v>175000</v>
      </c>
      <c r="L502" s="8">
        <v>2</v>
      </c>
      <c r="M502" s="19">
        <f t="shared" si="35"/>
        <v>560000</v>
      </c>
      <c r="N502" s="9">
        <v>0.15</v>
      </c>
      <c r="O502" s="19">
        <f t="shared" si="36"/>
        <v>84000</v>
      </c>
      <c r="P502" s="19">
        <f t="shared" si="37"/>
        <v>476000</v>
      </c>
      <c r="Q502" s="19">
        <f t="shared" si="38"/>
        <v>350000</v>
      </c>
      <c r="R502" s="19">
        <f t="shared" si="39"/>
        <v>126000</v>
      </c>
    </row>
    <row r="503" spans="1:18" x14ac:dyDescent="0.25">
      <c r="A503" t="str">
        <f>_xlfn.XLOOKUP(C503,Raw_Data_Transaksi!$A$1:$A$1001,Raw_Data_Transaksi!$D$1:$D$1001,,0)</f>
        <v>PRD-111</v>
      </c>
      <c r="B503" t="str">
        <f>_xlfn.XLOOKUP(C503,Raw_Data_Transaksi!$A$1:$A$1001,Raw_Data_Transaksi!$C$1:$C$1001,,0)</f>
        <v>SLS-01</v>
      </c>
      <c r="C503" s="6" t="s">
        <v>587</v>
      </c>
      <c r="D503" s="7">
        <v>45818</v>
      </c>
      <c r="E503" s="10" t="str">
        <f>VLOOKUP(B503,Master_Sales!$A$1:$D$9,2,FALSE)</f>
        <v>Andi Pratama</v>
      </c>
      <c r="F503" s="10" t="str">
        <f>INDEX(Master_Sales!$D$1:$D$9,MATCH(Lembar_Kerja_Analisis!B503,Master_Sales!$A$1:$A$9,0))</f>
        <v>Barat</v>
      </c>
      <c r="G503" s="10" t="str">
        <f>INDEX(Master_Sales!$C$1:$C$9,MATCH(Lembar_Kerja_Analisis!B503,Master_Sales!$A$1:$A$9,0))</f>
        <v>Jakarta</v>
      </c>
      <c r="H503" s="10" t="str">
        <f>VLOOKUP(A503,Master_Produk!$A$1:$E$16,2,FALSE)</f>
        <v>Beras Premium 5kg</v>
      </c>
      <c r="I503" s="10" t="str">
        <f>INDEX(Master_Produk!$C$1:$C$16,MATCH(Lembar_Kerja_Analisis!A503,Master_Produk!$A$1:$A$16,0))</f>
        <v>F&amp;B</v>
      </c>
      <c r="J503" s="19">
        <f>_xlfn.XLOOKUP(A503,Master_Produk!$A$1:$A$16,Master_Produk!$D$1:$D$16,,0)</f>
        <v>74000</v>
      </c>
      <c r="K503" s="19">
        <f>INDEX(Master_Produk!$E$1:$E$16,MATCH(Lembar_Kerja_Analisis!A503,Master_Produk!$A$1:$A$16,0))</f>
        <v>65000</v>
      </c>
      <c r="L503" s="8">
        <v>17</v>
      </c>
      <c r="M503" s="19">
        <f t="shared" si="35"/>
        <v>1258000</v>
      </c>
      <c r="N503" s="9">
        <v>0.1</v>
      </c>
      <c r="O503" s="19">
        <f t="shared" si="36"/>
        <v>125800</v>
      </c>
      <c r="P503" s="19">
        <f t="shared" si="37"/>
        <v>1132200</v>
      </c>
      <c r="Q503" s="19">
        <f t="shared" si="38"/>
        <v>1105000</v>
      </c>
      <c r="R503" s="19">
        <f t="shared" si="39"/>
        <v>27200</v>
      </c>
    </row>
    <row r="504" spans="1:18" x14ac:dyDescent="0.25">
      <c r="A504" t="str">
        <f>_xlfn.XLOOKUP(C504,Raw_Data_Transaksi!$A$1:$A$1001,Raw_Data_Transaksi!$D$1:$D$1001,,0)</f>
        <v>PRD-113</v>
      </c>
      <c r="B504" t="str">
        <f>_xlfn.XLOOKUP(C504,Raw_Data_Transaksi!$A$1:$A$1001,Raw_Data_Transaksi!$C$1:$C$1001,,0)</f>
        <v>SLS-02</v>
      </c>
      <c r="C504" s="6" t="s">
        <v>588</v>
      </c>
      <c r="D504" s="7">
        <v>45908</v>
      </c>
      <c r="E504" s="10" t="str">
        <f>VLOOKUP(B504,Master_Sales!$A$1:$D$9,2,FALSE)</f>
        <v>Budi Santoso</v>
      </c>
      <c r="F504" s="10" t="str">
        <f>INDEX(Master_Sales!$D$1:$D$9,MATCH(Lembar_Kerja_Analisis!B504,Master_Sales!$A$1:$A$9,0))</f>
        <v>Timur</v>
      </c>
      <c r="G504" s="10" t="str">
        <f>INDEX(Master_Sales!$C$1:$C$9,MATCH(Lembar_Kerja_Analisis!B504,Master_Sales!$A$1:$A$9,0))</f>
        <v>Surabaya</v>
      </c>
      <c r="H504" s="10" t="str">
        <f>VLOOKUP(A504,Master_Produk!$A$1:$E$16,2,FALSE)</f>
        <v>Wajan Anti Lengket 28cm</v>
      </c>
      <c r="I504" s="10" t="str">
        <f>INDEX(Master_Produk!$C$1:$C$16,MATCH(Lembar_Kerja_Analisis!A504,Master_Produk!$A$1:$A$16,0))</f>
        <v>Peralatan Rumah</v>
      </c>
      <c r="J504" s="19">
        <f>_xlfn.XLOOKUP(A504,Master_Produk!$A$1:$A$16,Master_Produk!$D$1:$D$16,,0)</f>
        <v>210000</v>
      </c>
      <c r="K504" s="19">
        <f>INDEX(Master_Produk!$E$1:$E$16,MATCH(Lembar_Kerja_Analisis!A504,Master_Produk!$A$1:$A$16,0))</f>
        <v>140000</v>
      </c>
      <c r="L504" s="8">
        <v>3</v>
      </c>
      <c r="M504" s="19">
        <f t="shared" si="35"/>
        <v>630000</v>
      </c>
      <c r="N504" s="9">
        <v>0.2</v>
      </c>
      <c r="O504" s="19">
        <f t="shared" si="36"/>
        <v>126000</v>
      </c>
      <c r="P504" s="19">
        <f t="shared" si="37"/>
        <v>504000</v>
      </c>
      <c r="Q504" s="19">
        <f t="shared" si="38"/>
        <v>420000</v>
      </c>
      <c r="R504" s="19">
        <f t="shared" si="39"/>
        <v>84000</v>
      </c>
    </row>
    <row r="505" spans="1:18" x14ac:dyDescent="0.25">
      <c r="A505" t="str">
        <f>_xlfn.XLOOKUP(C505,Raw_Data_Transaksi!$A$1:$A$1001,Raw_Data_Transaksi!$D$1:$D$1001,,0)</f>
        <v>PRD-107</v>
      </c>
      <c r="B505" t="str">
        <f>_xlfn.XLOOKUP(C505,Raw_Data_Transaksi!$A$1:$A$1001,Raw_Data_Transaksi!$C$1:$C$1001,,0)</f>
        <v>SLS-08</v>
      </c>
      <c r="C505" s="6" t="s">
        <v>589</v>
      </c>
      <c r="D505" s="7">
        <v>45864</v>
      </c>
      <c r="E505" s="10" t="str">
        <f>VLOOKUP(B505,Master_Sales!$A$1:$D$9,2,FALSE)</f>
        <v>Hendra Wijaya</v>
      </c>
      <c r="F505" s="10" t="str">
        <f>INDEX(Master_Sales!$D$1:$D$9,MATCH(Lembar_Kerja_Analisis!B505,Master_Sales!$A$1:$A$9,0))</f>
        <v>Tengah</v>
      </c>
      <c r="G505" s="10" t="str">
        <f>INDEX(Master_Sales!$C$1:$C$9,MATCH(Lembar_Kerja_Analisis!B505,Master_Sales!$A$1:$A$9,0))</f>
        <v>Yogyakarta</v>
      </c>
      <c r="H505" s="10" t="str">
        <f>VLOOKUP(A505,Master_Produk!$A$1:$E$16,2,FALSE)</f>
        <v>Jaket Hoodie Casual</v>
      </c>
      <c r="I505" s="10" t="str">
        <f>INDEX(Master_Produk!$C$1:$C$16,MATCH(Lembar_Kerja_Analisis!A505,Master_Produk!$A$1:$A$16,0))</f>
        <v>Fashion</v>
      </c>
      <c r="J505" s="19">
        <f>_xlfn.XLOOKUP(A505,Master_Produk!$A$1:$A$16,Master_Produk!$D$1:$D$16,,0)</f>
        <v>350000</v>
      </c>
      <c r="K505" s="19">
        <f>INDEX(Master_Produk!$E$1:$E$16,MATCH(Lembar_Kerja_Analisis!A505,Master_Produk!$A$1:$A$16,0))</f>
        <v>220000</v>
      </c>
      <c r="L505" s="8">
        <v>7</v>
      </c>
      <c r="M505" s="19">
        <f t="shared" si="35"/>
        <v>2450000</v>
      </c>
      <c r="N505" s="9">
        <v>0</v>
      </c>
      <c r="O505" s="19">
        <f t="shared" si="36"/>
        <v>0</v>
      </c>
      <c r="P505" s="19">
        <f t="shared" si="37"/>
        <v>2450000</v>
      </c>
      <c r="Q505" s="19">
        <f t="shared" si="38"/>
        <v>1540000</v>
      </c>
      <c r="R505" s="19">
        <f t="shared" si="39"/>
        <v>910000</v>
      </c>
    </row>
    <row r="506" spans="1:18" x14ac:dyDescent="0.25">
      <c r="A506" t="str">
        <f>_xlfn.XLOOKUP(C506,Raw_Data_Transaksi!$A$1:$A$1001,Raw_Data_Transaksi!$D$1:$D$1001,,0)</f>
        <v>PRD-101</v>
      </c>
      <c r="B506" t="str">
        <f>_xlfn.XLOOKUP(C506,Raw_Data_Transaksi!$A$1:$A$1001,Raw_Data_Transaksi!$C$1:$C$1001,,0)</f>
        <v>SLS-06</v>
      </c>
      <c r="C506" s="6" t="s">
        <v>590</v>
      </c>
      <c r="D506" s="7">
        <v>45849</v>
      </c>
      <c r="E506" s="10" t="str">
        <f>VLOOKUP(B506,Master_Sales!$A$1:$D$9,2,FALSE)</f>
        <v>Fajar Nugraha</v>
      </c>
      <c r="F506" s="10" t="str">
        <f>INDEX(Master_Sales!$D$1:$D$9,MATCH(Lembar_Kerja_Analisis!B506,Master_Sales!$A$1:$A$9,0))</f>
        <v>Timur</v>
      </c>
      <c r="G506" s="10" t="str">
        <f>INDEX(Master_Sales!$C$1:$C$9,MATCH(Lembar_Kerja_Analisis!B506,Master_Sales!$A$1:$A$9,0))</f>
        <v>Makassar</v>
      </c>
      <c r="H506" s="10" t="str">
        <f>VLOOKUP(A506,Master_Produk!$A$1:$E$16,2,FALSE)</f>
        <v>Laptop Ultrabook 14"</v>
      </c>
      <c r="I506" s="10" t="str">
        <f>INDEX(Master_Produk!$C$1:$C$16,MATCH(Lembar_Kerja_Analisis!A506,Master_Produk!$A$1:$A$16,0))</f>
        <v>Elektronik</v>
      </c>
      <c r="J506" s="19">
        <f>_xlfn.XLOOKUP(A506,Master_Produk!$A$1:$A$16,Master_Produk!$D$1:$D$16,,0)</f>
        <v>8500000</v>
      </c>
      <c r="K506" s="19">
        <f>INDEX(Master_Produk!$E$1:$E$16,MATCH(Lembar_Kerja_Analisis!A506,Master_Produk!$A$1:$A$16,0))</f>
        <v>7200000</v>
      </c>
      <c r="L506" s="8">
        <v>9</v>
      </c>
      <c r="M506" s="19">
        <f t="shared" si="35"/>
        <v>76500000</v>
      </c>
      <c r="N506" s="9">
        <v>0.05</v>
      </c>
      <c r="O506" s="19">
        <f t="shared" si="36"/>
        <v>3825000</v>
      </c>
      <c r="P506" s="19">
        <f t="shared" si="37"/>
        <v>72675000</v>
      </c>
      <c r="Q506" s="19">
        <f t="shared" si="38"/>
        <v>64800000</v>
      </c>
      <c r="R506" s="19">
        <f t="shared" si="39"/>
        <v>7875000</v>
      </c>
    </row>
    <row r="507" spans="1:18" x14ac:dyDescent="0.25">
      <c r="A507" t="str">
        <f>_xlfn.XLOOKUP(C507,Raw_Data_Transaksi!$A$1:$A$1001,Raw_Data_Transaksi!$D$1:$D$1001,,0)</f>
        <v>PRD-112</v>
      </c>
      <c r="B507" t="str">
        <f>_xlfn.XLOOKUP(C507,Raw_Data_Transaksi!$A$1:$A$1001,Raw_Data_Transaksi!$C$1:$C$1001,,0)</f>
        <v>SLS-04</v>
      </c>
      <c r="C507" s="6" t="s">
        <v>591</v>
      </c>
      <c r="D507" s="7">
        <v>45978</v>
      </c>
      <c r="E507" s="10" t="str">
        <f>VLOOKUP(B507,Master_Sales!$A$1:$D$9,2,FALSE)</f>
        <v>Dewi Anggraini</v>
      </c>
      <c r="F507" s="10" t="str">
        <f>INDEX(Master_Sales!$D$1:$D$9,MATCH(Lembar_Kerja_Analisis!B507,Master_Sales!$A$1:$A$9,0))</f>
        <v>Barat</v>
      </c>
      <c r="G507" s="10" t="str">
        <f>INDEX(Master_Sales!$C$1:$C$9,MATCH(Lembar_Kerja_Analisis!B507,Master_Sales!$A$1:$A$9,0))</f>
        <v>Medan</v>
      </c>
      <c r="H507" s="10" t="str">
        <f>VLOOKUP(A507,Master_Produk!$A$1:$E$16,2,FALSE)</f>
        <v>Susu UHT Full Cream 1L</v>
      </c>
      <c r="I507" s="10" t="str">
        <f>INDEX(Master_Produk!$C$1:$C$16,MATCH(Lembar_Kerja_Analisis!A507,Master_Produk!$A$1:$A$16,0))</f>
        <v>F&amp;B</v>
      </c>
      <c r="J507" s="19">
        <f>_xlfn.XLOOKUP(A507,Master_Produk!$A$1:$A$16,Master_Produk!$D$1:$D$16,,0)</f>
        <v>22000</v>
      </c>
      <c r="K507" s="19">
        <f>INDEX(Master_Produk!$E$1:$E$16,MATCH(Lembar_Kerja_Analisis!A507,Master_Produk!$A$1:$A$16,0))</f>
        <v>18000</v>
      </c>
      <c r="L507" s="8">
        <v>25</v>
      </c>
      <c r="M507" s="19">
        <f t="shared" si="35"/>
        <v>550000</v>
      </c>
      <c r="N507" s="9">
        <v>0.1</v>
      </c>
      <c r="O507" s="19">
        <f t="shared" si="36"/>
        <v>55000</v>
      </c>
      <c r="P507" s="19">
        <f t="shared" si="37"/>
        <v>495000</v>
      </c>
      <c r="Q507" s="19">
        <f t="shared" si="38"/>
        <v>450000</v>
      </c>
      <c r="R507" s="19">
        <f t="shared" si="39"/>
        <v>45000</v>
      </c>
    </row>
    <row r="508" spans="1:18" x14ac:dyDescent="0.25">
      <c r="A508" t="str">
        <f>_xlfn.XLOOKUP(C508,Raw_Data_Transaksi!$A$1:$A$1001,Raw_Data_Transaksi!$D$1:$D$1001,,0)</f>
        <v>PRD-109</v>
      </c>
      <c r="B508" t="str">
        <f>_xlfn.XLOOKUP(C508,Raw_Data_Transaksi!$A$1:$A$1001,Raw_Data_Transaksi!$C$1:$C$1001,,0)</f>
        <v>SLS-05</v>
      </c>
      <c r="C508" s="6" t="s">
        <v>592</v>
      </c>
      <c r="D508" s="7">
        <v>45854</v>
      </c>
      <c r="E508" s="10" t="str">
        <f>VLOOKUP(B508,Master_Sales!$A$1:$D$9,2,FALSE)</f>
        <v>Eko Prasetyo</v>
      </c>
      <c r="F508" s="10" t="str">
        <f>INDEX(Master_Sales!$D$1:$D$9,MATCH(Lembar_Kerja_Analisis!B508,Master_Sales!$A$1:$A$9,0))</f>
        <v>Tengah</v>
      </c>
      <c r="G508" s="10" t="str">
        <f>INDEX(Master_Sales!$C$1:$C$9,MATCH(Lembar_Kerja_Analisis!B508,Master_Sales!$A$1:$A$9,0))</f>
        <v>Semarang</v>
      </c>
      <c r="H508" s="10" t="str">
        <f>VLOOKUP(A508,Master_Produk!$A$1:$E$16,2,FALSE)</f>
        <v>Kopi Arabika Gayo 250g</v>
      </c>
      <c r="I508" s="10" t="str">
        <f>INDEX(Master_Produk!$C$1:$C$16,MATCH(Lembar_Kerja_Analisis!A508,Master_Produk!$A$1:$A$16,0))</f>
        <v>F&amp;B</v>
      </c>
      <c r="J508" s="19">
        <f>_xlfn.XLOOKUP(A508,Master_Produk!$A$1:$A$16,Master_Produk!$D$1:$D$16,,0)</f>
        <v>85000</v>
      </c>
      <c r="K508" s="19">
        <f>INDEX(Master_Produk!$E$1:$E$16,MATCH(Lembar_Kerja_Analisis!A508,Master_Produk!$A$1:$A$16,0))</f>
        <v>55000</v>
      </c>
      <c r="L508" s="8">
        <v>5</v>
      </c>
      <c r="M508" s="19">
        <f t="shared" si="35"/>
        <v>425000</v>
      </c>
      <c r="N508" s="9">
        <v>0</v>
      </c>
      <c r="O508" s="19">
        <f t="shared" si="36"/>
        <v>0</v>
      </c>
      <c r="P508" s="19">
        <f t="shared" si="37"/>
        <v>425000</v>
      </c>
      <c r="Q508" s="19">
        <f t="shared" si="38"/>
        <v>275000</v>
      </c>
      <c r="R508" s="19">
        <f t="shared" si="39"/>
        <v>150000</v>
      </c>
    </row>
    <row r="509" spans="1:18" x14ac:dyDescent="0.25">
      <c r="A509" t="str">
        <f>_xlfn.XLOOKUP(C509,Raw_Data_Transaksi!$A$1:$A$1001,Raw_Data_Transaksi!$D$1:$D$1001,,0)</f>
        <v>PRD-110</v>
      </c>
      <c r="B509" t="str">
        <f>_xlfn.XLOOKUP(C509,Raw_Data_Transaksi!$A$1:$A$1001,Raw_Data_Transaksi!$C$1:$C$1001,,0)</f>
        <v>SLS-06</v>
      </c>
      <c r="C509" s="6" t="s">
        <v>593</v>
      </c>
      <c r="D509" s="7">
        <v>45924</v>
      </c>
      <c r="E509" s="10" t="str">
        <f>VLOOKUP(B509,Master_Sales!$A$1:$D$9,2,FALSE)</f>
        <v>Fajar Nugraha</v>
      </c>
      <c r="F509" s="10" t="str">
        <f>INDEX(Master_Sales!$D$1:$D$9,MATCH(Lembar_Kerja_Analisis!B509,Master_Sales!$A$1:$A$9,0))</f>
        <v>Timur</v>
      </c>
      <c r="G509" s="10" t="str">
        <f>INDEX(Master_Sales!$C$1:$C$9,MATCH(Lembar_Kerja_Analisis!B509,Master_Sales!$A$1:$A$9,0))</f>
        <v>Makassar</v>
      </c>
      <c r="H509" s="10" t="str">
        <f>VLOOKUP(A509,Master_Produk!$A$1:$E$16,2,FALSE)</f>
        <v>Minyak Goreng Sawit 2L</v>
      </c>
      <c r="I509" s="10" t="str">
        <f>INDEX(Master_Produk!$C$1:$C$16,MATCH(Lembar_Kerja_Analisis!A509,Master_Produk!$A$1:$A$16,0))</f>
        <v>F&amp;B</v>
      </c>
      <c r="J509" s="19">
        <f>_xlfn.XLOOKUP(A509,Master_Produk!$A$1:$A$16,Master_Produk!$D$1:$D$16,,0)</f>
        <v>36000</v>
      </c>
      <c r="K509" s="19">
        <f>INDEX(Master_Produk!$E$1:$E$16,MATCH(Lembar_Kerja_Analisis!A509,Master_Produk!$A$1:$A$16,0))</f>
        <v>31000</v>
      </c>
      <c r="L509" s="8">
        <v>24</v>
      </c>
      <c r="M509" s="19">
        <f t="shared" si="35"/>
        <v>864000</v>
      </c>
      <c r="N509" s="9">
        <v>0.05</v>
      </c>
      <c r="O509" s="19">
        <f t="shared" si="36"/>
        <v>43200</v>
      </c>
      <c r="P509" s="19">
        <f t="shared" si="37"/>
        <v>820800</v>
      </c>
      <c r="Q509" s="19">
        <f t="shared" si="38"/>
        <v>744000</v>
      </c>
      <c r="R509" s="19">
        <f t="shared" si="39"/>
        <v>76800</v>
      </c>
    </row>
    <row r="510" spans="1:18" x14ac:dyDescent="0.25">
      <c r="A510" t="str">
        <f>_xlfn.XLOOKUP(C510,Raw_Data_Transaksi!$A$1:$A$1001,Raw_Data_Transaksi!$D$1:$D$1001,,0)</f>
        <v>PRD-103</v>
      </c>
      <c r="B510" t="str">
        <f>_xlfn.XLOOKUP(C510,Raw_Data_Transaksi!$A$1:$A$1001,Raw_Data_Transaksi!$C$1:$C$1001,,0)</f>
        <v>SLS-07</v>
      </c>
      <c r="C510" s="6" t="s">
        <v>594</v>
      </c>
      <c r="D510" s="7">
        <v>45754</v>
      </c>
      <c r="E510" s="10" t="str">
        <f>VLOOKUP(B510,Master_Sales!$A$1:$D$9,2,FALSE)</f>
        <v>Gita Permata</v>
      </c>
      <c r="F510" s="10" t="str">
        <f>INDEX(Master_Sales!$D$1:$D$9,MATCH(Lembar_Kerja_Analisis!B510,Master_Sales!$A$1:$A$9,0))</f>
        <v>Tengah</v>
      </c>
      <c r="G510" s="10" t="str">
        <f>INDEX(Master_Sales!$C$1:$C$9,MATCH(Lembar_Kerja_Analisis!B510,Master_Sales!$A$1:$A$9,0))</f>
        <v>Denpasar</v>
      </c>
      <c r="H510" s="10" t="str">
        <f>VLOOKUP(A510,Master_Produk!$A$1:$E$16,2,FALSE)</f>
        <v>Mechanical Keyboard RGB</v>
      </c>
      <c r="I510" s="10" t="str">
        <f>INDEX(Master_Produk!$C$1:$C$16,MATCH(Lembar_Kerja_Analisis!A510,Master_Produk!$A$1:$A$16,0))</f>
        <v>Elektronik</v>
      </c>
      <c r="J510" s="19">
        <f>_xlfn.XLOOKUP(A510,Master_Produk!$A$1:$A$16,Master_Produk!$D$1:$D$16,,0)</f>
        <v>750000</v>
      </c>
      <c r="K510" s="19">
        <f>INDEX(Master_Produk!$E$1:$E$16,MATCH(Lembar_Kerja_Analisis!A510,Master_Produk!$A$1:$A$16,0))</f>
        <v>520000</v>
      </c>
      <c r="L510" s="8">
        <v>1</v>
      </c>
      <c r="M510" s="19">
        <f t="shared" si="35"/>
        <v>750000</v>
      </c>
      <c r="N510" s="9">
        <v>0.05</v>
      </c>
      <c r="O510" s="19">
        <f t="shared" si="36"/>
        <v>37500</v>
      </c>
      <c r="P510" s="19">
        <f t="shared" si="37"/>
        <v>712500</v>
      </c>
      <c r="Q510" s="19">
        <f t="shared" si="38"/>
        <v>520000</v>
      </c>
      <c r="R510" s="19">
        <f t="shared" si="39"/>
        <v>192500</v>
      </c>
    </row>
    <row r="511" spans="1:18" x14ac:dyDescent="0.25">
      <c r="A511" t="str">
        <f>_xlfn.XLOOKUP(C511,Raw_Data_Transaksi!$A$1:$A$1001,Raw_Data_Transaksi!$D$1:$D$1001,,0)</f>
        <v>PRD-112</v>
      </c>
      <c r="B511" t="str">
        <f>_xlfn.XLOOKUP(C511,Raw_Data_Transaksi!$A$1:$A$1001,Raw_Data_Transaksi!$C$1:$C$1001,,0)</f>
        <v>SLS-01</v>
      </c>
      <c r="C511" s="6" t="s">
        <v>595</v>
      </c>
      <c r="D511" s="7">
        <v>45766</v>
      </c>
      <c r="E511" s="10" t="str">
        <f>VLOOKUP(B511,Master_Sales!$A$1:$D$9,2,FALSE)</f>
        <v>Andi Pratama</v>
      </c>
      <c r="F511" s="10" t="str">
        <f>INDEX(Master_Sales!$D$1:$D$9,MATCH(Lembar_Kerja_Analisis!B511,Master_Sales!$A$1:$A$9,0))</f>
        <v>Barat</v>
      </c>
      <c r="G511" s="10" t="str">
        <f>INDEX(Master_Sales!$C$1:$C$9,MATCH(Lembar_Kerja_Analisis!B511,Master_Sales!$A$1:$A$9,0))</f>
        <v>Jakarta</v>
      </c>
      <c r="H511" s="10" t="str">
        <f>VLOOKUP(A511,Master_Produk!$A$1:$E$16,2,FALSE)</f>
        <v>Susu UHT Full Cream 1L</v>
      </c>
      <c r="I511" s="10" t="str">
        <f>INDEX(Master_Produk!$C$1:$C$16,MATCH(Lembar_Kerja_Analisis!A511,Master_Produk!$A$1:$A$16,0))</f>
        <v>F&amp;B</v>
      </c>
      <c r="J511" s="19">
        <f>_xlfn.XLOOKUP(A511,Master_Produk!$A$1:$A$16,Master_Produk!$D$1:$D$16,,0)</f>
        <v>22000</v>
      </c>
      <c r="K511" s="19">
        <f>INDEX(Master_Produk!$E$1:$E$16,MATCH(Lembar_Kerja_Analisis!A511,Master_Produk!$A$1:$A$16,0))</f>
        <v>18000</v>
      </c>
      <c r="L511" s="8">
        <v>19</v>
      </c>
      <c r="M511" s="19">
        <f t="shared" si="35"/>
        <v>418000</v>
      </c>
      <c r="N511" s="9">
        <v>0.05</v>
      </c>
      <c r="O511" s="19">
        <f t="shared" si="36"/>
        <v>20900</v>
      </c>
      <c r="P511" s="19">
        <f t="shared" si="37"/>
        <v>397100</v>
      </c>
      <c r="Q511" s="19">
        <f t="shared" si="38"/>
        <v>342000</v>
      </c>
      <c r="R511" s="19">
        <f t="shared" si="39"/>
        <v>55100</v>
      </c>
    </row>
    <row r="512" spans="1:18" x14ac:dyDescent="0.25">
      <c r="A512" t="str">
        <f>_xlfn.XLOOKUP(C512,Raw_Data_Transaksi!$A$1:$A$1001,Raw_Data_Transaksi!$D$1:$D$1001,,0)</f>
        <v>PRD-115</v>
      </c>
      <c r="B512" t="str">
        <f>_xlfn.XLOOKUP(C512,Raw_Data_Transaksi!$A$1:$A$1001,Raw_Data_Transaksi!$C$1:$C$1001,,0)</f>
        <v>SLS-05</v>
      </c>
      <c r="C512" s="6" t="s">
        <v>596</v>
      </c>
      <c r="D512" s="7">
        <v>45850</v>
      </c>
      <c r="E512" s="10" t="str">
        <f>VLOOKUP(B512,Master_Sales!$A$1:$D$9,2,FALSE)</f>
        <v>Eko Prasetyo</v>
      </c>
      <c r="F512" s="10" t="str">
        <f>INDEX(Master_Sales!$D$1:$D$9,MATCH(Lembar_Kerja_Analisis!B512,Master_Sales!$A$1:$A$9,0))</f>
        <v>Tengah</v>
      </c>
      <c r="G512" s="10" t="str">
        <f>INDEX(Master_Sales!$C$1:$C$9,MATCH(Lembar_Kerja_Analisis!B512,Master_Sales!$A$1:$A$9,0))</f>
        <v>Semarang</v>
      </c>
      <c r="H512" s="10" t="str">
        <f>VLOOKUP(A512,Master_Produk!$A$1:$E$16,2,FALSE)</f>
        <v>Set Pisau Dapur Stainless</v>
      </c>
      <c r="I512" s="10" t="str">
        <f>INDEX(Master_Produk!$C$1:$C$16,MATCH(Lembar_Kerja_Analisis!A512,Master_Produk!$A$1:$A$16,0))</f>
        <v>Peralatan Rumah</v>
      </c>
      <c r="J512" s="19">
        <f>_xlfn.XLOOKUP(A512,Master_Produk!$A$1:$A$16,Master_Produk!$D$1:$D$16,,0)</f>
        <v>165000</v>
      </c>
      <c r="K512" s="19">
        <f>INDEX(Master_Produk!$E$1:$E$16,MATCH(Lembar_Kerja_Analisis!A512,Master_Produk!$A$1:$A$16,0))</f>
        <v>105000</v>
      </c>
      <c r="L512" s="8">
        <v>9</v>
      </c>
      <c r="M512" s="19">
        <f t="shared" si="35"/>
        <v>1485000</v>
      </c>
      <c r="N512" s="9">
        <v>0.2</v>
      </c>
      <c r="O512" s="19">
        <f t="shared" si="36"/>
        <v>297000</v>
      </c>
      <c r="P512" s="19">
        <f t="shared" si="37"/>
        <v>1188000</v>
      </c>
      <c r="Q512" s="19">
        <f t="shared" si="38"/>
        <v>945000</v>
      </c>
      <c r="R512" s="19">
        <f t="shared" si="39"/>
        <v>243000</v>
      </c>
    </row>
    <row r="513" spans="1:18" x14ac:dyDescent="0.25">
      <c r="A513" t="str">
        <f>_xlfn.XLOOKUP(C513,Raw_Data_Transaksi!$A$1:$A$1001,Raw_Data_Transaksi!$D$1:$D$1001,,0)</f>
        <v>PRD-102</v>
      </c>
      <c r="B513" t="str">
        <f>_xlfn.XLOOKUP(C513,Raw_Data_Transaksi!$A$1:$A$1001,Raw_Data_Transaksi!$C$1:$C$1001,,0)</f>
        <v>SLS-01</v>
      </c>
      <c r="C513" s="6" t="s">
        <v>597</v>
      </c>
      <c r="D513" s="7">
        <v>45996</v>
      </c>
      <c r="E513" s="10" t="str">
        <f>VLOOKUP(B513,Master_Sales!$A$1:$D$9,2,FALSE)</f>
        <v>Andi Pratama</v>
      </c>
      <c r="F513" s="10" t="str">
        <f>INDEX(Master_Sales!$D$1:$D$9,MATCH(Lembar_Kerja_Analisis!B513,Master_Sales!$A$1:$A$9,0))</f>
        <v>Barat</v>
      </c>
      <c r="G513" s="10" t="str">
        <f>INDEX(Master_Sales!$C$1:$C$9,MATCH(Lembar_Kerja_Analisis!B513,Master_Sales!$A$1:$A$9,0))</f>
        <v>Jakarta</v>
      </c>
      <c r="H513" s="10" t="str">
        <f>VLOOKUP(A513,Master_Produk!$A$1:$E$16,2,FALSE)</f>
        <v>Wireless Mouse Ergonomic</v>
      </c>
      <c r="I513" s="10" t="str">
        <f>INDEX(Master_Produk!$C$1:$C$16,MATCH(Lembar_Kerja_Analisis!A513,Master_Produk!$A$1:$A$16,0))</f>
        <v>Elektronik</v>
      </c>
      <c r="J513" s="19">
        <f>_xlfn.XLOOKUP(A513,Master_Produk!$A$1:$A$16,Master_Produk!$D$1:$D$16,,0)</f>
        <v>250000</v>
      </c>
      <c r="K513" s="19">
        <f>INDEX(Master_Produk!$E$1:$E$16,MATCH(Lembar_Kerja_Analisis!A513,Master_Produk!$A$1:$A$16,0))</f>
        <v>160000</v>
      </c>
      <c r="L513" s="8">
        <v>1</v>
      </c>
      <c r="M513" s="19">
        <f t="shared" si="35"/>
        <v>250000</v>
      </c>
      <c r="N513" s="9">
        <v>0</v>
      </c>
      <c r="O513" s="19">
        <f t="shared" si="36"/>
        <v>0</v>
      </c>
      <c r="P513" s="19">
        <f t="shared" si="37"/>
        <v>250000</v>
      </c>
      <c r="Q513" s="19">
        <f t="shared" si="38"/>
        <v>160000</v>
      </c>
      <c r="R513" s="19">
        <f t="shared" si="39"/>
        <v>90000</v>
      </c>
    </row>
    <row r="514" spans="1:18" x14ac:dyDescent="0.25">
      <c r="A514" t="str">
        <f>_xlfn.XLOOKUP(C514,Raw_Data_Transaksi!$A$1:$A$1001,Raw_Data_Transaksi!$D$1:$D$1001,,0)</f>
        <v>PRD-109</v>
      </c>
      <c r="B514" t="str">
        <f>_xlfn.XLOOKUP(C514,Raw_Data_Transaksi!$A$1:$A$1001,Raw_Data_Transaksi!$C$1:$C$1001,,0)</f>
        <v>SLS-05</v>
      </c>
      <c r="C514" s="6" t="s">
        <v>598</v>
      </c>
      <c r="D514" s="7">
        <v>45721</v>
      </c>
      <c r="E514" s="10" t="str">
        <f>VLOOKUP(B514,Master_Sales!$A$1:$D$9,2,FALSE)</f>
        <v>Eko Prasetyo</v>
      </c>
      <c r="F514" s="10" t="str">
        <f>INDEX(Master_Sales!$D$1:$D$9,MATCH(Lembar_Kerja_Analisis!B514,Master_Sales!$A$1:$A$9,0))</f>
        <v>Tengah</v>
      </c>
      <c r="G514" s="10" t="str">
        <f>INDEX(Master_Sales!$C$1:$C$9,MATCH(Lembar_Kerja_Analisis!B514,Master_Sales!$A$1:$A$9,0))</f>
        <v>Semarang</v>
      </c>
      <c r="H514" s="10" t="str">
        <f>VLOOKUP(A514,Master_Produk!$A$1:$E$16,2,FALSE)</f>
        <v>Kopi Arabika Gayo 250g</v>
      </c>
      <c r="I514" s="10" t="str">
        <f>INDEX(Master_Produk!$C$1:$C$16,MATCH(Lembar_Kerja_Analisis!A514,Master_Produk!$A$1:$A$16,0))</f>
        <v>F&amp;B</v>
      </c>
      <c r="J514" s="19">
        <f>_xlfn.XLOOKUP(A514,Master_Produk!$A$1:$A$16,Master_Produk!$D$1:$D$16,,0)</f>
        <v>85000</v>
      </c>
      <c r="K514" s="19">
        <f>INDEX(Master_Produk!$E$1:$E$16,MATCH(Lembar_Kerja_Analisis!A514,Master_Produk!$A$1:$A$16,0))</f>
        <v>55000</v>
      </c>
      <c r="L514" s="8">
        <v>25</v>
      </c>
      <c r="M514" s="19">
        <f t="shared" si="35"/>
        <v>2125000</v>
      </c>
      <c r="N514" s="9">
        <v>0.05</v>
      </c>
      <c r="O514" s="19">
        <f t="shared" si="36"/>
        <v>106250</v>
      </c>
      <c r="P514" s="19">
        <f t="shared" si="37"/>
        <v>2018750</v>
      </c>
      <c r="Q514" s="19">
        <f t="shared" si="38"/>
        <v>1375000</v>
      </c>
      <c r="R514" s="19">
        <f t="shared" si="39"/>
        <v>643750</v>
      </c>
    </row>
    <row r="515" spans="1:18" x14ac:dyDescent="0.25">
      <c r="A515" t="str">
        <f>_xlfn.XLOOKUP(C515,Raw_Data_Transaksi!$A$1:$A$1001,Raw_Data_Transaksi!$D$1:$D$1001,,0)</f>
        <v>PRD-107</v>
      </c>
      <c r="B515" t="str">
        <f>_xlfn.XLOOKUP(C515,Raw_Data_Transaksi!$A$1:$A$1001,Raw_Data_Transaksi!$C$1:$C$1001,,0)</f>
        <v>SLS-02</v>
      </c>
      <c r="C515" s="6" t="s">
        <v>599</v>
      </c>
      <c r="D515" s="7">
        <v>45812</v>
      </c>
      <c r="E515" s="10" t="str">
        <f>VLOOKUP(B515,Master_Sales!$A$1:$D$9,2,FALSE)</f>
        <v>Budi Santoso</v>
      </c>
      <c r="F515" s="10" t="str">
        <f>INDEX(Master_Sales!$D$1:$D$9,MATCH(Lembar_Kerja_Analisis!B515,Master_Sales!$A$1:$A$9,0))</f>
        <v>Timur</v>
      </c>
      <c r="G515" s="10" t="str">
        <f>INDEX(Master_Sales!$C$1:$C$9,MATCH(Lembar_Kerja_Analisis!B515,Master_Sales!$A$1:$A$9,0))</f>
        <v>Surabaya</v>
      </c>
      <c r="H515" s="10" t="str">
        <f>VLOOKUP(A515,Master_Produk!$A$1:$E$16,2,FALSE)</f>
        <v>Jaket Hoodie Casual</v>
      </c>
      <c r="I515" s="10" t="str">
        <f>INDEX(Master_Produk!$C$1:$C$16,MATCH(Lembar_Kerja_Analisis!A515,Master_Produk!$A$1:$A$16,0))</f>
        <v>Fashion</v>
      </c>
      <c r="J515" s="19">
        <f>_xlfn.XLOOKUP(A515,Master_Produk!$A$1:$A$16,Master_Produk!$D$1:$D$16,,0)</f>
        <v>350000</v>
      </c>
      <c r="K515" s="19">
        <f>INDEX(Master_Produk!$E$1:$E$16,MATCH(Lembar_Kerja_Analisis!A515,Master_Produk!$A$1:$A$16,0))</f>
        <v>220000</v>
      </c>
      <c r="L515" s="8">
        <v>11</v>
      </c>
      <c r="M515" s="19">
        <f t="shared" ref="M515:M578" si="40">L515*J515</f>
        <v>3850000</v>
      </c>
      <c r="N515" s="9">
        <v>0.2</v>
      </c>
      <c r="O515" s="19">
        <f t="shared" ref="O515:O578" si="41">M515*N515</f>
        <v>770000</v>
      </c>
      <c r="P515" s="19">
        <f t="shared" ref="P515:P578" si="42">M515-O515</f>
        <v>3080000</v>
      </c>
      <c r="Q515" s="19">
        <f t="shared" ref="Q515:Q578" si="43">L515*K515</f>
        <v>2420000</v>
      </c>
      <c r="R515" s="19">
        <f t="shared" ref="R515:R578" si="44">P515-Q515</f>
        <v>660000</v>
      </c>
    </row>
    <row r="516" spans="1:18" x14ac:dyDescent="0.25">
      <c r="A516" t="str">
        <f>_xlfn.XLOOKUP(C516,Raw_Data_Transaksi!$A$1:$A$1001,Raw_Data_Transaksi!$D$1:$D$1001,,0)</f>
        <v>PRD-114</v>
      </c>
      <c r="B516" t="str">
        <f>_xlfn.XLOOKUP(C516,Raw_Data_Transaksi!$A$1:$A$1001,Raw_Data_Transaksi!$C$1:$C$1001,,0)</f>
        <v>SLS-02</v>
      </c>
      <c r="C516" s="6" t="s">
        <v>600</v>
      </c>
      <c r="D516" s="7">
        <v>45872</v>
      </c>
      <c r="E516" s="10" t="str">
        <f>VLOOKUP(B516,Master_Sales!$A$1:$D$9,2,FALSE)</f>
        <v>Budi Santoso</v>
      </c>
      <c r="F516" s="10" t="str">
        <f>INDEX(Master_Sales!$D$1:$D$9,MATCH(Lembar_Kerja_Analisis!B516,Master_Sales!$A$1:$A$9,0))</f>
        <v>Timur</v>
      </c>
      <c r="G516" s="10" t="str">
        <f>INDEX(Master_Sales!$C$1:$C$9,MATCH(Lembar_Kerja_Analisis!B516,Master_Sales!$A$1:$A$9,0))</f>
        <v>Surabaya</v>
      </c>
      <c r="H516" s="10" t="str">
        <f>VLOOKUP(A516,Master_Produk!$A$1:$E$16,2,FALSE)</f>
        <v>Blender Multifungsi 2-in-1</v>
      </c>
      <c r="I516" s="10" t="str">
        <f>INDEX(Master_Produk!$C$1:$C$16,MATCH(Lembar_Kerja_Analisis!A516,Master_Produk!$A$1:$A$16,0))</f>
        <v>Peralatan Rumah</v>
      </c>
      <c r="J516" s="19">
        <f>_xlfn.XLOOKUP(A516,Master_Produk!$A$1:$A$16,Master_Produk!$D$1:$D$16,,0)</f>
        <v>340000</v>
      </c>
      <c r="K516" s="19">
        <f>INDEX(Master_Produk!$E$1:$E$16,MATCH(Lembar_Kerja_Analisis!A516,Master_Produk!$A$1:$A$16,0))</f>
        <v>240000</v>
      </c>
      <c r="L516" s="8">
        <v>9</v>
      </c>
      <c r="M516" s="19">
        <f t="shared" si="40"/>
        <v>3060000</v>
      </c>
      <c r="N516" s="9">
        <v>0.2</v>
      </c>
      <c r="O516" s="19">
        <f t="shared" si="41"/>
        <v>612000</v>
      </c>
      <c r="P516" s="19">
        <f t="shared" si="42"/>
        <v>2448000</v>
      </c>
      <c r="Q516" s="19">
        <f t="shared" si="43"/>
        <v>2160000</v>
      </c>
      <c r="R516" s="19">
        <f t="shared" si="44"/>
        <v>288000</v>
      </c>
    </row>
    <row r="517" spans="1:18" x14ac:dyDescent="0.25">
      <c r="A517" t="str">
        <f>_xlfn.XLOOKUP(C517,Raw_Data_Transaksi!$A$1:$A$1001,Raw_Data_Transaksi!$D$1:$D$1001,,0)</f>
        <v>PRD-108</v>
      </c>
      <c r="B517" t="str">
        <f>_xlfn.XLOOKUP(C517,Raw_Data_Transaksi!$A$1:$A$1001,Raw_Data_Transaksi!$C$1:$C$1001,,0)</f>
        <v>SLS-04</v>
      </c>
      <c r="C517" s="6" t="s">
        <v>601</v>
      </c>
      <c r="D517" s="7">
        <v>45712</v>
      </c>
      <c r="E517" s="10" t="str">
        <f>VLOOKUP(B517,Master_Sales!$A$1:$D$9,2,FALSE)</f>
        <v>Dewi Anggraini</v>
      </c>
      <c r="F517" s="10" t="str">
        <f>INDEX(Master_Sales!$D$1:$D$9,MATCH(Lembar_Kerja_Analisis!B517,Master_Sales!$A$1:$A$9,0))</f>
        <v>Barat</v>
      </c>
      <c r="G517" s="10" t="str">
        <f>INDEX(Master_Sales!$C$1:$C$9,MATCH(Lembar_Kerja_Analisis!B517,Master_Sales!$A$1:$A$9,0))</f>
        <v>Medan</v>
      </c>
      <c r="H517" s="10" t="str">
        <f>VLOOKUP(A517,Master_Produk!$A$1:$E$16,2,FALSE)</f>
        <v>Sepatu Sneakers Pria/Wanita</v>
      </c>
      <c r="I517" s="10" t="str">
        <f>INDEX(Master_Produk!$C$1:$C$16,MATCH(Lembar_Kerja_Analisis!A517,Master_Produk!$A$1:$A$16,0))</f>
        <v>Fashion</v>
      </c>
      <c r="J517" s="19">
        <f>_xlfn.XLOOKUP(A517,Master_Produk!$A$1:$A$16,Master_Produk!$D$1:$D$16,,0)</f>
        <v>450000</v>
      </c>
      <c r="K517" s="19">
        <f>INDEX(Master_Produk!$E$1:$E$16,MATCH(Lembar_Kerja_Analisis!A517,Master_Produk!$A$1:$A$16,0))</f>
        <v>290000</v>
      </c>
      <c r="L517" s="8">
        <v>10</v>
      </c>
      <c r="M517" s="19">
        <f t="shared" si="40"/>
        <v>4500000</v>
      </c>
      <c r="N517" s="9">
        <v>0.05</v>
      </c>
      <c r="O517" s="19">
        <f t="shared" si="41"/>
        <v>225000</v>
      </c>
      <c r="P517" s="19">
        <f t="shared" si="42"/>
        <v>4275000</v>
      </c>
      <c r="Q517" s="19">
        <f t="shared" si="43"/>
        <v>2900000</v>
      </c>
      <c r="R517" s="19">
        <f t="shared" si="44"/>
        <v>1375000</v>
      </c>
    </row>
    <row r="518" spans="1:18" x14ac:dyDescent="0.25">
      <c r="A518" t="str">
        <f>_xlfn.XLOOKUP(C518,Raw_Data_Transaksi!$A$1:$A$1001,Raw_Data_Transaksi!$D$1:$D$1001,,0)</f>
        <v>PRD-112</v>
      </c>
      <c r="B518" t="str">
        <f>_xlfn.XLOOKUP(C518,Raw_Data_Transaksi!$A$1:$A$1001,Raw_Data_Transaksi!$C$1:$C$1001,,0)</f>
        <v>SLS-07</v>
      </c>
      <c r="C518" s="6" t="s">
        <v>602</v>
      </c>
      <c r="D518" s="7">
        <v>45841</v>
      </c>
      <c r="E518" s="10" t="str">
        <f>VLOOKUP(B518,Master_Sales!$A$1:$D$9,2,FALSE)</f>
        <v>Gita Permata</v>
      </c>
      <c r="F518" s="10" t="str">
        <f>INDEX(Master_Sales!$D$1:$D$9,MATCH(Lembar_Kerja_Analisis!B518,Master_Sales!$A$1:$A$9,0))</f>
        <v>Tengah</v>
      </c>
      <c r="G518" s="10" t="str">
        <f>INDEX(Master_Sales!$C$1:$C$9,MATCH(Lembar_Kerja_Analisis!B518,Master_Sales!$A$1:$A$9,0))</f>
        <v>Denpasar</v>
      </c>
      <c r="H518" s="10" t="str">
        <f>VLOOKUP(A518,Master_Produk!$A$1:$E$16,2,FALSE)</f>
        <v>Susu UHT Full Cream 1L</v>
      </c>
      <c r="I518" s="10" t="str">
        <f>INDEX(Master_Produk!$C$1:$C$16,MATCH(Lembar_Kerja_Analisis!A518,Master_Produk!$A$1:$A$16,0))</f>
        <v>F&amp;B</v>
      </c>
      <c r="J518" s="19">
        <f>_xlfn.XLOOKUP(A518,Master_Produk!$A$1:$A$16,Master_Produk!$D$1:$D$16,,0)</f>
        <v>22000</v>
      </c>
      <c r="K518" s="19">
        <f>INDEX(Master_Produk!$E$1:$E$16,MATCH(Lembar_Kerja_Analisis!A518,Master_Produk!$A$1:$A$16,0))</f>
        <v>18000</v>
      </c>
      <c r="L518" s="8">
        <v>8</v>
      </c>
      <c r="M518" s="19">
        <f t="shared" si="40"/>
        <v>176000</v>
      </c>
      <c r="N518" s="9">
        <v>0</v>
      </c>
      <c r="O518" s="19">
        <f t="shared" si="41"/>
        <v>0</v>
      </c>
      <c r="P518" s="19">
        <f t="shared" si="42"/>
        <v>176000</v>
      </c>
      <c r="Q518" s="19">
        <f t="shared" si="43"/>
        <v>144000</v>
      </c>
      <c r="R518" s="19">
        <f t="shared" si="44"/>
        <v>32000</v>
      </c>
    </row>
    <row r="519" spans="1:18" x14ac:dyDescent="0.25">
      <c r="A519" t="str">
        <f>_xlfn.XLOOKUP(C519,Raw_Data_Transaksi!$A$1:$A$1001,Raw_Data_Transaksi!$D$1:$D$1001,,0)</f>
        <v>PRD-104</v>
      </c>
      <c r="B519" t="str">
        <f>_xlfn.XLOOKUP(C519,Raw_Data_Transaksi!$A$1:$A$1001,Raw_Data_Transaksi!$C$1:$C$1001,,0)</f>
        <v>SLS-01</v>
      </c>
      <c r="C519" s="6" t="s">
        <v>603</v>
      </c>
      <c r="D519" s="7">
        <v>45827</v>
      </c>
      <c r="E519" s="10" t="str">
        <f>VLOOKUP(B519,Master_Sales!$A$1:$D$9,2,FALSE)</f>
        <v>Andi Pratama</v>
      </c>
      <c r="F519" s="10" t="str">
        <f>INDEX(Master_Sales!$D$1:$D$9,MATCH(Lembar_Kerja_Analisis!B519,Master_Sales!$A$1:$A$9,0))</f>
        <v>Barat</v>
      </c>
      <c r="G519" s="10" t="str">
        <f>INDEX(Master_Sales!$C$1:$C$9,MATCH(Lembar_Kerja_Analisis!B519,Master_Sales!$A$1:$A$9,0))</f>
        <v>Jakarta</v>
      </c>
      <c r="H519" s="10" t="str">
        <f>VLOOKUP(A519,Master_Produk!$A$1:$E$16,2,FALSE)</f>
        <v>Monitor 24" FHD 144Hz</v>
      </c>
      <c r="I519" s="10" t="str">
        <f>INDEX(Master_Produk!$C$1:$C$16,MATCH(Lembar_Kerja_Analisis!A519,Master_Produk!$A$1:$A$16,0))</f>
        <v>Elektronik</v>
      </c>
      <c r="J519" s="19">
        <f>_xlfn.XLOOKUP(A519,Master_Produk!$A$1:$A$16,Master_Produk!$D$1:$D$16,,0)</f>
        <v>1950000</v>
      </c>
      <c r="K519" s="19">
        <f>INDEX(Master_Produk!$E$1:$E$16,MATCH(Lembar_Kerja_Analisis!A519,Master_Produk!$A$1:$A$16,0))</f>
        <v>1500000</v>
      </c>
      <c r="L519" s="8">
        <v>1</v>
      </c>
      <c r="M519" s="19">
        <f t="shared" si="40"/>
        <v>1950000</v>
      </c>
      <c r="N519" s="9">
        <v>0</v>
      </c>
      <c r="O519" s="19">
        <f t="shared" si="41"/>
        <v>0</v>
      </c>
      <c r="P519" s="19">
        <f t="shared" si="42"/>
        <v>1950000</v>
      </c>
      <c r="Q519" s="19">
        <f t="shared" si="43"/>
        <v>1500000</v>
      </c>
      <c r="R519" s="19">
        <f t="shared" si="44"/>
        <v>450000</v>
      </c>
    </row>
    <row r="520" spans="1:18" x14ac:dyDescent="0.25">
      <c r="A520" t="str">
        <f>_xlfn.XLOOKUP(C520,Raw_Data_Transaksi!$A$1:$A$1001,Raw_Data_Transaksi!$D$1:$D$1001,,0)</f>
        <v>PRD-102</v>
      </c>
      <c r="B520" t="str">
        <f>_xlfn.XLOOKUP(C520,Raw_Data_Transaksi!$A$1:$A$1001,Raw_Data_Transaksi!$C$1:$C$1001,,0)</f>
        <v>SLS-02</v>
      </c>
      <c r="C520" s="6" t="s">
        <v>604</v>
      </c>
      <c r="D520" s="7">
        <v>45734</v>
      </c>
      <c r="E520" s="10" t="str">
        <f>VLOOKUP(B520,Master_Sales!$A$1:$D$9,2,FALSE)</f>
        <v>Budi Santoso</v>
      </c>
      <c r="F520" s="10" t="str">
        <f>INDEX(Master_Sales!$D$1:$D$9,MATCH(Lembar_Kerja_Analisis!B520,Master_Sales!$A$1:$A$9,0))</f>
        <v>Timur</v>
      </c>
      <c r="G520" s="10" t="str">
        <f>INDEX(Master_Sales!$C$1:$C$9,MATCH(Lembar_Kerja_Analisis!B520,Master_Sales!$A$1:$A$9,0))</f>
        <v>Surabaya</v>
      </c>
      <c r="H520" s="10" t="str">
        <f>VLOOKUP(A520,Master_Produk!$A$1:$E$16,2,FALSE)</f>
        <v>Wireless Mouse Ergonomic</v>
      </c>
      <c r="I520" s="10" t="str">
        <f>INDEX(Master_Produk!$C$1:$C$16,MATCH(Lembar_Kerja_Analisis!A520,Master_Produk!$A$1:$A$16,0))</f>
        <v>Elektronik</v>
      </c>
      <c r="J520" s="19">
        <f>_xlfn.XLOOKUP(A520,Master_Produk!$A$1:$A$16,Master_Produk!$D$1:$D$16,,0)</f>
        <v>250000</v>
      </c>
      <c r="K520" s="19">
        <f>INDEX(Master_Produk!$E$1:$E$16,MATCH(Lembar_Kerja_Analisis!A520,Master_Produk!$A$1:$A$16,0))</f>
        <v>160000</v>
      </c>
      <c r="L520" s="8">
        <v>12</v>
      </c>
      <c r="M520" s="19">
        <f t="shared" si="40"/>
        <v>3000000</v>
      </c>
      <c r="N520" s="9">
        <v>0</v>
      </c>
      <c r="O520" s="19">
        <f t="shared" si="41"/>
        <v>0</v>
      </c>
      <c r="P520" s="19">
        <f t="shared" si="42"/>
        <v>3000000</v>
      </c>
      <c r="Q520" s="19">
        <f t="shared" si="43"/>
        <v>1920000</v>
      </c>
      <c r="R520" s="19">
        <f t="shared" si="44"/>
        <v>1080000</v>
      </c>
    </row>
    <row r="521" spans="1:18" x14ac:dyDescent="0.25">
      <c r="A521" t="str">
        <f>_xlfn.XLOOKUP(C521,Raw_Data_Transaksi!$A$1:$A$1001,Raw_Data_Transaksi!$D$1:$D$1001,,0)</f>
        <v>PRD-105</v>
      </c>
      <c r="B521" t="str">
        <f>_xlfn.XLOOKUP(C521,Raw_Data_Transaksi!$A$1:$A$1001,Raw_Data_Transaksi!$C$1:$C$1001,,0)</f>
        <v>SLS-05</v>
      </c>
      <c r="C521" s="6" t="s">
        <v>605</v>
      </c>
      <c r="D521" s="7">
        <v>45891</v>
      </c>
      <c r="E521" s="10" t="str">
        <f>VLOOKUP(B521,Master_Sales!$A$1:$D$9,2,FALSE)</f>
        <v>Eko Prasetyo</v>
      </c>
      <c r="F521" s="10" t="str">
        <f>INDEX(Master_Sales!$D$1:$D$9,MATCH(Lembar_Kerja_Analisis!B521,Master_Sales!$A$1:$A$9,0))</f>
        <v>Tengah</v>
      </c>
      <c r="G521" s="10" t="str">
        <f>INDEX(Master_Sales!$C$1:$C$9,MATCH(Lembar_Kerja_Analisis!B521,Master_Sales!$A$1:$A$9,0))</f>
        <v>Semarang</v>
      </c>
      <c r="H521" s="10" t="str">
        <f>VLOOKUP(A521,Master_Produk!$A$1:$E$16,2,FALSE)</f>
        <v>Kemeja Batik Katun Premium</v>
      </c>
      <c r="I521" s="10" t="str">
        <f>INDEX(Master_Produk!$C$1:$C$16,MATCH(Lembar_Kerja_Analisis!A521,Master_Produk!$A$1:$A$16,0))</f>
        <v>Fashion</v>
      </c>
      <c r="J521" s="19">
        <f>_xlfn.XLOOKUP(A521,Master_Produk!$A$1:$A$16,Master_Produk!$D$1:$D$16,,0)</f>
        <v>320000</v>
      </c>
      <c r="K521" s="19">
        <f>INDEX(Master_Produk!$E$1:$E$16,MATCH(Lembar_Kerja_Analisis!A521,Master_Produk!$A$1:$A$16,0))</f>
        <v>190000</v>
      </c>
      <c r="L521" s="8">
        <v>8</v>
      </c>
      <c r="M521" s="19">
        <f t="shared" si="40"/>
        <v>2560000</v>
      </c>
      <c r="N521" s="9">
        <v>0</v>
      </c>
      <c r="O521" s="19">
        <f t="shared" si="41"/>
        <v>0</v>
      </c>
      <c r="P521" s="19">
        <f t="shared" si="42"/>
        <v>2560000</v>
      </c>
      <c r="Q521" s="19">
        <f t="shared" si="43"/>
        <v>1520000</v>
      </c>
      <c r="R521" s="19">
        <f t="shared" si="44"/>
        <v>1040000</v>
      </c>
    </row>
    <row r="522" spans="1:18" x14ac:dyDescent="0.25">
      <c r="A522" t="str">
        <f>_xlfn.XLOOKUP(C522,Raw_Data_Transaksi!$A$1:$A$1001,Raw_Data_Transaksi!$D$1:$D$1001,,0)</f>
        <v>PRD-106</v>
      </c>
      <c r="B522" t="str">
        <f>_xlfn.XLOOKUP(C522,Raw_Data_Transaksi!$A$1:$A$1001,Raw_Data_Transaksi!$C$1:$C$1001,,0)</f>
        <v>SLS-06</v>
      </c>
      <c r="C522" s="6" t="s">
        <v>606</v>
      </c>
      <c r="D522" s="7">
        <v>45806</v>
      </c>
      <c r="E522" s="10" t="str">
        <f>VLOOKUP(B522,Master_Sales!$A$1:$D$9,2,FALSE)</f>
        <v>Fajar Nugraha</v>
      </c>
      <c r="F522" s="10" t="str">
        <f>INDEX(Master_Sales!$D$1:$D$9,MATCH(Lembar_Kerja_Analisis!B522,Master_Sales!$A$1:$A$9,0))</f>
        <v>Timur</v>
      </c>
      <c r="G522" s="10" t="str">
        <f>INDEX(Master_Sales!$C$1:$C$9,MATCH(Lembar_Kerja_Analisis!B522,Master_Sales!$A$1:$A$9,0))</f>
        <v>Makassar</v>
      </c>
      <c r="H522" s="10" t="str">
        <f>VLOOKUP(A522,Master_Produk!$A$1:$E$16,2,FALSE)</f>
        <v>Celana Chino Slim Fit</v>
      </c>
      <c r="I522" s="10" t="str">
        <f>INDEX(Master_Produk!$C$1:$C$16,MATCH(Lembar_Kerja_Analisis!A522,Master_Produk!$A$1:$A$16,0))</f>
        <v>Fashion</v>
      </c>
      <c r="J522" s="19">
        <f>_xlfn.XLOOKUP(A522,Master_Produk!$A$1:$A$16,Master_Produk!$D$1:$D$16,,0)</f>
        <v>280000</v>
      </c>
      <c r="K522" s="19">
        <f>INDEX(Master_Produk!$E$1:$E$16,MATCH(Lembar_Kerja_Analisis!A522,Master_Produk!$A$1:$A$16,0))</f>
        <v>175000</v>
      </c>
      <c r="L522" s="8">
        <v>7</v>
      </c>
      <c r="M522" s="19">
        <f t="shared" si="40"/>
        <v>1960000</v>
      </c>
      <c r="N522" s="9">
        <v>0</v>
      </c>
      <c r="O522" s="19">
        <f t="shared" si="41"/>
        <v>0</v>
      </c>
      <c r="P522" s="19">
        <f t="shared" si="42"/>
        <v>1960000</v>
      </c>
      <c r="Q522" s="19">
        <f t="shared" si="43"/>
        <v>1225000</v>
      </c>
      <c r="R522" s="19">
        <f t="shared" si="44"/>
        <v>735000</v>
      </c>
    </row>
    <row r="523" spans="1:18" x14ac:dyDescent="0.25">
      <c r="A523" t="str">
        <f>_xlfn.XLOOKUP(C523,Raw_Data_Transaksi!$A$1:$A$1001,Raw_Data_Transaksi!$D$1:$D$1001,,0)</f>
        <v>PRD-111</v>
      </c>
      <c r="B523" t="str">
        <f>_xlfn.XLOOKUP(C523,Raw_Data_Transaksi!$A$1:$A$1001,Raw_Data_Transaksi!$C$1:$C$1001,,0)</f>
        <v>SLS-03</v>
      </c>
      <c r="C523" s="6" t="s">
        <v>607</v>
      </c>
      <c r="D523" s="7">
        <v>45728</v>
      </c>
      <c r="E523" s="10" t="str">
        <f>VLOOKUP(B523,Master_Sales!$A$1:$D$9,2,FALSE)</f>
        <v>Citra Lestari</v>
      </c>
      <c r="F523" s="10" t="str">
        <f>INDEX(Master_Sales!$D$1:$D$9,MATCH(Lembar_Kerja_Analisis!B523,Master_Sales!$A$1:$A$9,0))</f>
        <v>Barat</v>
      </c>
      <c r="G523" s="10" t="str">
        <f>INDEX(Master_Sales!$C$1:$C$9,MATCH(Lembar_Kerja_Analisis!B523,Master_Sales!$A$1:$A$9,0))</f>
        <v>Bandung</v>
      </c>
      <c r="H523" s="10" t="str">
        <f>VLOOKUP(A523,Master_Produk!$A$1:$E$16,2,FALSE)</f>
        <v>Beras Premium 5kg</v>
      </c>
      <c r="I523" s="10" t="str">
        <f>INDEX(Master_Produk!$C$1:$C$16,MATCH(Lembar_Kerja_Analisis!A523,Master_Produk!$A$1:$A$16,0))</f>
        <v>F&amp;B</v>
      </c>
      <c r="J523" s="19">
        <f>_xlfn.XLOOKUP(A523,Master_Produk!$A$1:$A$16,Master_Produk!$D$1:$D$16,,0)</f>
        <v>74000</v>
      </c>
      <c r="K523" s="19">
        <f>INDEX(Master_Produk!$E$1:$E$16,MATCH(Lembar_Kerja_Analisis!A523,Master_Produk!$A$1:$A$16,0))</f>
        <v>65000</v>
      </c>
      <c r="L523" s="8">
        <v>14</v>
      </c>
      <c r="M523" s="19">
        <f t="shared" si="40"/>
        <v>1036000</v>
      </c>
      <c r="N523" s="9">
        <v>0.15</v>
      </c>
      <c r="O523" s="19">
        <f t="shared" si="41"/>
        <v>155400</v>
      </c>
      <c r="P523" s="19">
        <f t="shared" si="42"/>
        <v>880600</v>
      </c>
      <c r="Q523" s="19">
        <f t="shared" si="43"/>
        <v>910000</v>
      </c>
      <c r="R523" s="19">
        <f t="shared" si="44"/>
        <v>-29400</v>
      </c>
    </row>
    <row r="524" spans="1:18" x14ac:dyDescent="0.25">
      <c r="A524" t="str">
        <f>_xlfn.XLOOKUP(C524,Raw_Data_Transaksi!$A$1:$A$1001,Raw_Data_Transaksi!$D$1:$D$1001,,0)</f>
        <v>PRD-114</v>
      </c>
      <c r="B524" t="str">
        <f>_xlfn.XLOOKUP(C524,Raw_Data_Transaksi!$A$1:$A$1001,Raw_Data_Transaksi!$C$1:$C$1001,,0)</f>
        <v>SLS-06</v>
      </c>
      <c r="C524" s="6" t="s">
        <v>608</v>
      </c>
      <c r="D524" s="7">
        <v>45848</v>
      </c>
      <c r="E524" s="10" t="str">
        <f>VLOOKUP(B524,Master_Sales!$A$1:$D$9,2,FALSE)</f>
        <v>Fajar Nugraha</v>
      </c>
      <c r="F524" s="10" t="str">
        <f>INDEX(Master_Sales!$D$1:$D$9,MATCH(Lembar_Kerja_Analisis!B524,Master_Sales!$A$1:$A$9,0))</f>
        <v>Timur</v>
      </c>
      <c r="G524" s="10" t="str">
        <f>INDEX(Master_Sales!$C$1:$C$9,MATCH(Lembar_Kerja_Analisis!B524,Master_Sales!$A$1:$A$9,0))</f>
        <v>Makassar</v>
      </c>
      <c r="H524" s="10" t="str">
        <f>VLOOKUP(A524,Master_Produk!$A$1:$E$16,2,FALSE)</f>
        <v>Blender Multifungsi 2-in-1</v>
      </c>
      <c r="I524" s="10" t="str">
        <f>INDEX(Master_Produk!$C$1:$C$16,MATCH(Lembar_Kerja_Analisis!A524,Master_Produk!$A$1:$A$16,0))</f>
        <v>Peralatan Rumah</v>
      </c>
      <c r="J524" s="19">
        <f>_xlfn.XLOOKUP(A524,Master_Produk!$A$1:$A$16,Master_Produk!$D$1:$D$16,,0)</f>
        <v>340000</v>
      </c>
      <c r="K524" s="19">
        <f>INDEX(Master_Produk!$E$1:$E$16,MATCH(Lembar_Kerja_Analisis!A524,Master_Produk!$A$1:$A$16,0))</f>
        <v>240000</v>
      </c>
      <c r="L524" s="8">
        <v>3</v>
      </c>
      <c r="M524" s="19">
        <f t="shared" si="40"/>
        <v>1020000</v>
      </c>
      <c r="N524" s="9">
        <v>0</v>
      </c>
      <c r="O524" s="19">
        <f t="shared" si="41"/>
        <v>0</v>
      </c>
      <c r="P524" s="19">
        <f t="shared" si="42"/>
        <v>1020000</v>
      </c>
      <c r="Q524" s="19">
        <f t="shared" si="43"/>
        <v>720000</v>
      </c>
      <c r="R524" s="19">
        <f t="shared" si="44"/>
        <v>300000</v>
      </c>
    </row>
    <row r="525" spans="1:18" x14ac:dyDescent="0.25">
      <c r="A525" t="str">
        <f>_xlfn.XLOOKUP(C525,Raw_Data_Transaksi!$A$1:$A$1001,Raw_Data_Transaksi!$D$1:$D$1001,,0)</f>
        <v>PRD-114</v>
      </c>
      <c r="B525" t="str">
        <f>_xlfn.XLOOKUP(C525,Raw_Data_Transaksi!$A$1:$A$1001,Raw_Data_Transaksi!$C$1:$C$1001,,0)</f>
        <v>SLS-07</v>
      </c>
      <c r="C525" s="6" t="s">
        <v>609</v>
      </c>
      <c r="D525" s="7">
        <v>45797</v>
      </c>
      <c r="E525" s="10" t="str">
        <f>VLOOKUP(B525,Master_Sales!$A$1:$D$9,2,FALSE)</f>
        <v>Gita Permata</v>
      </c>
      <c r="F525" s="10" t="str">
        <f>INDEX(Master_Sales!$D$1:$D$9,MATCH(Lembar_Kerja_Analisis!B525,Master_Sales!$A$1:$A$9,0))</f>
        <v>Tengah</v>
      </c>
      <c r="G525" s="10" t="str">
        <f>INDEX(Master_Sales!$C$1:$C$9,MATCH(Lembar_Kerja_Analisis!B525,Master_Sales!$A$1:$A$9,0))</f>
        <v>Denpasar</v>
      </c>
      <c r="H525" s="10" t="str">
        <f>VLOOKUP(A525,Master_Produk!$A$1:$E$16,2,FALSE)</f>
        <v>Blender Multifungsi 2-in-1</v>
      </c>
      <c r="I525" s="10" t="str">
        <f>INDEX(Master_Produk!$C$1:$C$16,MATCH(Lembar_Kerja_Analisis!A525,Master_Produk!$A$1:$A$16,0))</f>
        <v>Peralatan Rumah</v>
      </c>
      <c r="J525" s="19">
        <f>_xlfn.XLOOKUP(A525,Master_Produk!$A$1:$A$16,Master_Produk!$D$1:$D$16,,0)</f>
        <v>340000</v>
      </c>
      <c r="K525" s="19">
        <f>INDEX(Master_Produk!$E$1:$E$16,MATCH(Lembar_Kerja_Analisis!A525,Master_Produk!$A$1:$A$16,0))</f>
        <v>240000</v>
      </c>
      <c r="L525" s="8">
        <v>12</v>
      </c>
      <c r="M525" s="19">
        <f t="shared" si="40"/>
        <v>4080000</v>
      </c>
      <c r="N525" s="9">
        <v>0.15</v>
      </c>
      <c r="O525" s="19">
        <f t="shared" si="41"/>
        <v>612000</v>
      </c>
      <c r="P525" s="19">
        <f t="shared" si="42"/>
        <v>3468000</v>
      </c>
      <c r="Q525" s="19">
        <f t="shared" si="43"/>
        <v>2880000</v>
      </c>
      <c r="R525" s="19">
        <f t="shared" si="44"/>
        <v>588000</v>
      </c>
    </row>
    <row r="526" spans="1:18" x14ac:dyDescent="0.25">
      <c r="A526" t="str">
        <f>_xlfn.XLOOKUP(C526,Raw_Data_Transaksi!$A$1:$A$1001,Raw_Data_Transaksi!$D$1:$D$1001,,0)</f>
        <v>PRD-103</v>
      </c>
      <c r="B526" t="str">
        <f>_xlfn.XLOOKUP(C526,Raw_Data_Transaksi!$A$1:$A$1001,Raw_Data_Transaksi!$C$1:$C$1001,,0)</f>
        <v>SLS-01</v>
      </c>
      <c r="C526" s="6" t="s">
        <v>610</v>
      </c>
      <c r="D526" s="7">
        <v>45715</v>
      </c>
      <c r="E526" s="10" t="str">
        <f>VLOOKUP(B526,Master_Sales!$A$1:$D$9,2,FALSE)</f>
        <v>Andi Pratama</v>
      </c>
      <c r="F526" s="10" t="str">
        <f>INDEX(Master_Sales!$D$1:$D$9,MATCH(Lembar_Kerja_Analisis!B526,Master_Sales!$A$1:$A$9,0))</f>
        <v>Barat</v>
      </c>
      <c r="G526" s="10" t="str">
        <f>INDEX(Master_Sales!$C$1:$C$9,MATCH(Lembar_Kerja_Analisis!B526,Master_Sales!$A$1:$A$9,0))</f>
        <v>Jakarta</v>
      </c>
      <c r="H526" s="10" t="str">
        <f>VLOOKUP(A526,Master_Produk!$A$1:$E$16,2,FALSE)</f>
        <v>Mechanical Keyboard RGB</v>
      </c>
      <c r="I526" s="10" t="str">
        <f>INDEX(Master_Produk!$C$1:$C$16,MATCH(Lembar_Kerja_Analisis!A526,Master_Produk!$A$1:$A$16,0))</f>
        <v>Elektronik</v>
      </c>
      <c r="J526" s="19">
        <f>_xlfn.XLOOKUP(A526,Master_Produk!$A$1:$A$16,Master_Produk!$D$1:$D$16,,0)</f>
        <v>750000</v>
      </c>
      <c r="K526" s="19">
        <f>INDEX(Master_Produk!$E$1:$E$16,MATCH(Lembar_Kerja_Analisis!A526,Master_Produk!$A$1:$A$16,0))</f>
        <v>520000</v>
      </c>
      <c r="L526" s="8">
        <v>3</v>
      </c>
      <c r="M526" s="19">
        <f t="shared" si="40"/>
        <v>2250000</v>
      </c>
      <c r="N526" s="9">
        <v>0</v>
      </c>
      <c r="O526" s="19">
        <f t="shared" si="41"/>
        <v>0</v>
      </c>
      <c r="P526" s="19">
        <f t="shared" si="42"/>
        <v>2250000</v>
      </c>
      <c r="Q526" s="19">
        <f t="shared" si="43"/>
        <v>1560000</v>
      </c>
      <c r="R526" s="19">
        <f t="shared" si="44"/>
        <v>690000</v>
      </c>
    </row>
    <row r="527" spans="1:18" x14ac:dyDescent="0.25">
      <c r="A527" t="str">
        <f>_xlfn.XLOOKUP(C527,Raw_Data_Transaksi!$A$1:$A$1001,Raw_Data_Transaksi!$D$1:$D$1001,,0)</f>
        <v>PRD-111</v>
      </c>
      <c r="B527" t="str">
        <f>_xlfn.XLOOKUP(C527,Raw_Data_Transaksi!$A$1:$A$1001,Raw_Data_Transaksi!$C$1:$C$1001,,0)</f>
        <v>SLS-08</v>
      </c>
      <c r="C527" s="6" t="s">
        <v>611</v>
      </c>
      <c r="D527" s="7">
        <v>45949</v>
      </c>
      <c r="E527" s="10" t="str">
        <f>VLOOKUP(B527,Master_Sales!$A$1:$D$9,2,FALSE)</f>
        <v>Hendra Wijaya</v>
      </c>
      <c r="F527" s="10" t="str">
        <f>INDEX(Master_Sales!$D$1:$D$9,MATCH(Lembar_Kerja_Analisis!B527,Master_Sales!$A$1:$A$9,0))</f>
        <v>Tengah</v>
      </c>
      <c r="G527" s="10" t="str">
        <f>INDEX(Master_Sales!$C$1:$C$9,MATCH(Lembar_Kerja_Analisis!B527,Master_Sales!$A$1:$A$9,0))</f>
        <v>Yogyakarta</v>
      </c>
      <c r="H527" s="10" t="str">
        <f>VLOOKUP(A527,Master_Produk!$A$1:$E$16,2,FALSE)</f>
        <v>Beras Premium 5kg</v>
      </c>
      <c r="I527" s="10" t="str">
        <f>INDEX(Master_Produk!$C$1:$C$16,MATCH(Lembar_Kerja_Analisis!A527,Master_Produk!$A$1:$A$16,0))</f>
        <v>F&amp;B</v>
      </c>
      <c r="J527" s="19">
        <f>_xlfn.XLOOKUP(A527,Master_Produk!$A$1:$A$16,Master_Produk!$D$1:$D$16,,0)</f>
        <v>74000</v>
      </c>
      <c r="K527" s="19">
        <f>INDEX(Master_Produk!$E$1:$E$16,MATCH(Lembar_Kerja_Analisis!A527,Master_Produk!$A$1:$A$16,0))</f>
        <v>65000</v>
      </c>
      <c r="L527" s="8">
        <v>22</v>
      </c>
      <c r="M527" s="19">
        <f t="shared" si="40"/>
        <v>1628000</v>
      </c>
      <c r="N527" s="9">
        <v>0.15</v>
      </c>
      <c r="O527" s="19">
        <f t="shared" si="41"/>
        <v>244200</v>
      </c>
      <c r="P527" s="19">
        <f t="shared" si="42"/>
        <v>1383800</v>
      </c>
      <c r="Q527" s="19">
        <f t="shared" si="43"/>
        <v>1430000</v>
      </c>
      <c r="R527" s="19">
        <f t="shared" si="44"/>
        <v>-46200</v>
      </c>
    </row>
    <row r="528" spans="1:18" x14ac:dyDescent="0.25">
      <c r="A528" t="str">
        <f>_xlfn.XLOOKUP(C528,Raw_Data_Transaksi!$A$1:$A$1001,Raw_Data_Transaksi!$D$1:$D$1001,,0)</f>
        <v>PRD-115</v>
      </c>
      <c r="B528" t="str">
        <f>_xlfn.XLOOKUP(C528,Raw_Data_Transaksi!$A$1:$A$1001,Raw_Data_Transaksi!$C$1:$C$1001,,0)</f>
        <v>SLS-03</v>
      </c>
      <c r="C528" s="6" t="s">
        <v>612</v>
      </c>
      <c r="D528" s="7">
        <v>46008</v>
      </c>
      <c r="E528" s="10" t="str">
        <f>VLOOKUP(B528,Master_Sales!$A$1:$D$9,2,FALSE)</f>
        <v>Citra Lestari</v>
      </c>
      <c r="F528" s="10" t="str">
        <f>INDEX(Master_Sales!$D$1:$D$9,MATCH(Lembar_Kerja_Analisis!B528,Master_Sales!$A$1:$A$9,0))</f>
        <v>Barat</v>
      </c>
      <c r="G528" s="10" t="str">
        <f>INDEX(Master_Sales!$C$1:$C$9,MATCH(Lembar_Kerja_Analisis!B528,Master_Sales!$A$1:$A$9,0))</f>
        <v>Bandung</v>
      </c>
      <c r="H528" s="10" t="str">
        <f>VLOOKUP(A528,Master_Produk!$A$1:$E$16,2,FALSE)</f>
        <v>Set Pisau Dapur Stainless</v>
      </c>
      <c r="I528" s="10" t="str">
        <f>INDEX(Master_Produk!$C$1:$C$16,MATCH(Lembar_Kerja_Analisis!A528,Master_Produk!$A$1:$A$16,0))</f>
        <v>Peralatan Rumah</v>
      </c>
      <c r="J528" s="19">
        <f>_xlfn.XLOOKUP(A528,Master_Produk!$A$1:$A$16,Master_Produk!$D$1:$D$16,,0)</f>
        <v>165000</v>
      </c>
      <c r="K528" s="19">
        <f>INDEX(Master_Produk!$E$1:$E$16,MATCH(Lembar_Kerja_Analisis!A528,Master_Produk!$A$1:$A$16,0))</f>
        <v>105000</v>
      </c>
      <c r="L528" s="8">
        <v>8</v>
      </c>
      <c r="M528" s="19">
        <f t="shared" si="40"/>
        <v>1320000</v>
      </c>
      <c r="N528" s="9">
        <v>0.15</v>
      </c>
      <c r="O528" s="19">
        <f t="shared" si="41"/>
        <v>198000</v>
      </c>
      <c r="P528" s="19">
        <f t="shared" si="42"/>
        <v>1122000</v>
      </c>
      <c r="Q528" s="19">
        <f t="shared" si="43"/>
        <v>840000</v>
      </c>
      <c r="R528" s="19">
        <f t="shared" si="44"/>
        <v>282000</v>
      </c>
    </row>
    <row r="529" spans="1:18" x14ac:dyDescent="0.25">
      <c r="A529" t="str">
        <f>_xlfn.XLOOKUP(C529,Raw_Data_Transaksi!$A$1:$A$1001,Raw_Data_Transaksi!$D$1:$D$1001,,0)</f>
        <v>PRD-102</v>
      </c>
      <c r="B529" t="str">
        <f>_xlfn.XLOOKUP(C529,Raw_Data_Transaksi!$A$1:$A$1001,Raw_Data_Transaksi!$C$1:$C$1001,,0)</f>
        <v>SLS-05</v>
      </c>
      <c r="C529" s="6" t="s">
        <v>613</v>
      </c>
      <c r="D529" s="7">
        <v>45681</v>
      </c>
      <c r="E529" s="10" t="str">
        <f>VLOOKUP(B529,Master_Sales!$A$1:$D$9,2,FALSE)</f>
        <v>Eko Prasetyo</v>
      </c>
      <c r="F529" s="10" t="str">
        <f>INDEX(Master_Sales!$D$1:$D$9,MATCH(Lembar_Kerja_Analisis!B529,Master_Sales!$A$1:$A$9,0))</f>
        <v>Tengah</v>
      </c>
      <c r="G529" s="10" t="str">
        <f>INDEX(Master_Sales!$C$1:$C$9,MATCH(Lembar_Kerja_Analisis!B529,Master_Sales!$A$1:$A$9,0))</f>
        <v>Semarang</v>
      </c>
      <c r="H529" s="10" t="str">
        <f>VLOOKUP(A529,Master_Produk!$A$1:$E$16,2,FALSE)</f>
        <v>Wireless Mouse Ergonomic</v>
      </c>
      <c r="I529" s="10" t="str">
        <f>INDEX(Master_Produk!$C$1:$C$16,MATCH(Lembar_Kerja_Analisis!A529,Master_Produk!$A$1:$A$16,0))</f>
        <v>Elektronik</v>
      </c>
      <c r="J529" s="19">
        <f>_xlfn.XLOOKUP(A529,Master_Produk!$A$1:$A$16,Master_Produk!$D$1:$D$16,,0)</f>
        <v>250000</v>
      </c>
      <c r="K529" s="19">
        <f>INDEX(Master_Produk!$E$1:$E$16,MATCH(Lembar_Kerja_Analisis!A529,Master_Produk!$A$1:$A$16,0))</f>
        <v>160000</v>
      </c>
      <c r="L529" s="8">
        <v>11</v>
      </c>
      <c r="M529" s="19">
        <f t="shared" si="40"/>
        <v>2750000</v>
      </c>
      <c r="N529" s="9">
        <v>0.1</v>
      </c>
      <c r="O529" s="19">
        <f t="shared" si="41"/>
        <v>275000</v>
      </c>
      <c r="P529" s="19">
        <f t="shared" si="42"/>
        <v>2475000</v>
      </c>
      <c r="Q529" s="19">
        <f t="shared" si="43"/>
        <v>1760000</v>
      </c>
      <c r="R529" s="19">
        <f t="shared" si="44"/>
        <v>715000</v>
      </c>
    </row>
    <row r="530" spans="1:18" x14ac:dyDescent="0.25">
      <c r="A530" t="str">
        <f>_xlfn.XLOOKUP(C530,Raw_Data_Transaksi!$A$1:$A$1001,Raw_Data_Transaksi!$D$1:$D$1001,,0)</f>
        <v>PRD-114</v>
      </c>
      <c r="B530" t="str">
        <f>_xlfn.XLOOKUP(C530,Raw_Data_Transaksi!$A$1:$A$1001,Raw_Data_Transaksi!$C$1:$C$1001,,0)</f>
        <v>SLS-06</v>
      </c>
      <c r="C530" s="6" t="s">
        <v>614</v>
      </c>
      <c r="D530" s="7">
        <v>46000</v>
      </c>
      <c r="E530" s="10" t="str">
        <f>VLOOKUP(B530,Master_Sales!$A$1:$D$9,2,FALSE)</f>
        <v>Fajar Nugraha</v>
      </c>
      <c r="F530" s="10" t="str">
        <f>INDEX(Master_Sales!$D$1:$D$9,MATCH(Lembar_Kerja_Analisis!B530,Master_Sales!$A$1:$A$9,0))</f>
        <v>Timur</v>
      </c>
      <c r="G530" s="10" t="str">
        <f>INDEX(Master_Sales!$C$1:$C$9,MATCH(Lembar_Kerja_Analisis!B530,Master_Sales!$A$1:$A$9,0))</f>
        <v>Makassar</v>
      </c>
      <c r="H530" s="10" t="str">
        <f>VLOOKUP(A530,Master_Produk!$A$1:$E$16,2,FALSE)</f>
        <v>Blender Multifungsi 2-in-1</v>
      </c>
      <c r="I530" s="10" t="str">
        <f>INDEX(Master_Produk!$C$1:$C$16,MATCH(Lembar_Kerja_Analisis!A530,Master_Produk!$A$1:$A$16,0))</f>
        <v>Peralatan Rumah</v>
      </c>
      <c r="J530" s="19">
        <f>_xlfn.XLOOKUP(A530,Master_Produk!$A$1:$A$16,Master_Produk!$D$1:$D$16,,0)</f>
        <v>340000</v>
      </c>
      <c r="K530" s="19">
        <f>INDEX(Master_Produk!$E$1:$E$16,MATCH(Lembar_Kerja_Analisis!A530,Master_Produk!$A$1:$A$16,0))</f>
        <v>240000</v>
      </c>
      <c r="L530" s="8">
        <v>9</v>
      </c>
      <c r="M530" s="19">
        <f t="shared" si="40"/>
        <v>3060000</v>
      </c>
      <c r="N530" s="9">
        <v>0.2</v>
      </c>
      <c r="O530" s="19">
        <f t="shared" si="41"/>
        <v>612000</v>
      </c>
      <c r="P530" s="19">
        <f t="shared" si="42"/>
        <v>2448000</v>
      </c>
      <c r="Q530" s="19">
        <f t="shared" si="43"/>
        <v>2160000</v>
      </c>
      <c r="R530" s="19">
        <f t="shared" si="44"/>
        <v>288000</v>
      </c>
    </row>
    <row r="531" spans="1:18" x14ac:dyDescent="0.25">
      <c r="A531" t="str">
        <f>_xlfn.XLOOKUP(C531,Raw_Data_Transaksi!$A$1:$A$1001,Raw_Data_Transaksi!$D$1:$D$1001,,0)</f>
        <v>PRD-106</v>
      </c>
      <c r="B531" t="str">
        <f>_xlfn.XLOOKUP(C531,Raw_Data_Transaksi!$A$1:$A$1001,Raw_Data_Transaksi!$C$1:$C$1001,,0)</f>
        <v>SLS-07</v>
      </c>
      <c r="C531" s="6" t="s">
        <v>615</v>
      </c>
      <c r="D531" s="7">
        <v>45904</v>
      </c>
      <c r="E531" s="10" t="str">
        <f>VLOOKUP(B531,Master_Sales!$A$1:$D$9,2,FALSE)</f>
        <v>Gita Permata</v>
      </c>
      <c r="F531" s="10" t="str">
        <f>INDEX(Master_Sales!$D$1:$D$9,MATCH(Lembar_Kerja_Analisis!B531,Master_Sales!$A$1:$A$9,0))</f>
        <v>Tengah</v>
      </c>
      <c r="G531" s="10" t="str">
        <f>INDEX(Master_Sales!$C$1:$C$9,MATCH(Lembar_Kerja_Analisis!B531,Master_Sales!$A$1:$A$9,0))</f>
        <v>Denpasar</v>
      </c>
      <c r="H531" s="10" t="str">
        <f>VLOOKUP(A531,Master_Produk!$A$1:$E$16,2,FALSE)</f>
        <v>Celana Chino Slim Fit</v>
      </c>
      <c r="I531" s="10" t="str">
        <f>INDEX(Master_Produk!$C$1:$C$16,MATCH(Lembar_Kerja_Analisis!A531,Master_Produk!$A$1:$A$16,0))</f>
        <v>Fashion</v>
      </c>
      <c r="J531" s="19">
        <f>_xlfn.XLOOKUP(A531,Master_Produk!$A$1:$A$16,Master_Produk!$D$1:$D$16,,0)</f>
        <v>280000</v>
      </c>
      <c r="K531" s="19">
        <f>INDEX(Master_Produk!$E$1:$E$16,MATCH(Lembar_Kerja_Analisis!A531,Master_Produk!$A$1:$A$16,0))</f>
        <v>175000</v>
      </c>
      <c r="L531" s="8">
        <v>3</v>
      </c>
      <c r="M531" s="19">
        <f t="shared" si="40"/>
        <v>840000</v>
      </c>
      <c r="N531" s="9">
        <v>0.2</v>
      </c>
      <c r="O531" s="19">
        <f t="shared" si="41"/>
        <v>168000</v>
      </c>
      <c r="P531" s="19">
        <f t="shared" si="42"/>
        <v>672000</v>
      </c>
      <c r="Q531" s="19">
        <f t="shared" si="43"/>
        <v>525000</v>
      </c>
      <c r="R531" s="19">
        <f t="shared" si="44"/>
        <v>147000</v>
      </c>
    </row>
    <row r="532" spans="1:18" x14ac:dyDescent="0.25">
      <c r="A532" t="str">
        <f>_xlfn.XLOOKUP(C532,Raw_Data_Transaksi!$A$1:$A$1001,Raw_Data_Transaksi!$D$1:$D$1001,,0)</f>
        <v>PRD-114</v>
      </c>
      <c r="B532" t="str">
        <f>_xlfn.XLOOKUP(C532,Raw_Data_Transaksi!$A$1:$A$1001,Raw_Data_Transaksi!$C$1:$C$1001,,0)</f>
        <v>SLS-08</v>
      </c>
      <c r="C532" s="6" t="s">
        <v>616</v>
      </c>
      <c r="D532" s="7">
        <v>45916</v>
      </c>
      <c r="E532" s="10" t="str">
        <f>VLOOKUP(B532,Master_Sales!$A$1:$D$9,2,FALSE)</f>
        <v>Hendra Wijaya</v>
      </c>
      <c r="F532" s="10" t="str">
        <f>INDEX(Master_Sales!$D$1:$D$9,MATCH(Lembar_Kerja_Analisis!B532,Master_Sales!$A$1:$A$9,0))</f>
        <v>Tengah</v>
      </c>
      <c r="G532" s="10" t="str">
        <f>INDEX(Master_Sales!$C$1:$C$9,MATCH(Lembar_Kerja_Analisis!B532,Master_Sales!$A$1:$A$9,0))</f>
        <v>Yogyakarta</v>
      </c>
      <c r="H532" s="10" t="str">
        <f>VLOOKUP(A532,Master_Produk!$A$1:$E$16,2,FALSE)</f>
        <v>Blender Multifungsi 2-in-1</v>
      </c>
      <c r="I532" s="10" t="str">
        <f>INDEX(Master_Produk!$C$1:$C$16,MATCH(Lembar_Kerja_Analisis!A532,Master_Produk!$A$1:$A$16,0))</f>
        <v>Peralatan Rumah</v>
      </c>
      <c r="J532" s="19">
        <f>_xlfn.XLOOKUP(A532,Master_Produk!$A$1:$A$16,Master_Produk!$D$1:$D$16,,0)</f>
        <v>340000</v>
      </c>
      <c r="K532" s="19">
        <f>INDEX(Master_Produk!$E$1:$E$16,MATCH(Lembar_Kerja_Analisis!A532,Master_Produk!$A$1:$A$16,0))</f>
        <v>240000</v>
      </c>
      <c r="L532" s="8">
        <v>8</v>
      </c>
      <c r="M532" s="19">
        <f t="shared" si="40"/>
        <v>2720000</v>
      </c>
      <c r="N532" s="9">
        <v>0.05</v>
      </c>
      <c r="O532" s="19">
        <f t="shared" si="41"/>
        <v>136000</v>
      </c>
      <c r="P532" s="19">
        <f t="shared" si="42"/>
        <v>2584000</v>
      </c>
      <c r="Q532" s="19">
        <f t="shared" si="43"/>
        <v>1920000</v>
      </c>
      <c r="R532" s="19">
        <f t="shared" si="44"/>
        <v>664000</v>
      </c>
    </row>
    <row r="533" spans="1:18" x14ac:dyDescent="0.25">
      <c r="A533" t="str">
        <f>_xlfn.XLOOKUP(C533,Raw_Data_Transaksi!$A$1:$A$1001,Raw_Data_Transaksi!$D$1:$D$1001,,0)</f>
        <v>PRD-106</v>
      </c>
      <c r="B533" t="str">
        <f>_xlfn.XLOOKUP(C533,Raw_Data_Transaksi!$A$1:$A$1001,Raw_Data_Transaksi!$C$1:$C$1001,,0)</f>
        <v>SLS-05</v>
      </c>
      <c r="C533" s="6" t="s">
        <v>617</v>
      </c>
      <c r="D533" s="7">
        <v>45781</v>
      </c>
      <c r="E533" s="10" t="str">
        <f>VLOOKUP(B533,Master_Sales!$A$1:$D$9,2,FALSE)</f>
        <v>Eko Prasetyo</v>
      </c>
      <c r="F533" s="10" t="str">
        <f>INDEX(Master_Sales!$D$1:$D$9,MATCH(Lembar_Kerja_Analisis!B533,Master_Sales!$A$1:$A$9,0))</f>
        <v>Tengah</v>
      </c>
      <c r="G533" s="10" t="str">
        <f>INDEX(Master_Sales!$C$1:$C$9,MATCH(Lembar_Kerja_Analisis!B533,Master_Sales!$A$1:$A$9,0))</f>
        <v>Semarang</v>
      </c>
      <c r="H533" s="10" t="str">
        <f>VLOOKUP(A533,Master_Produk!$A$1:$E$16,2,FALSE)</f>
        <v>Celana Chino Slim Fit</v>
      </c>
      <c r="I533" s="10" t="str">
        <f>INDEX(Master_Produk!$C$1:$C$16,MATCH(Lembar_Kerja_Analisis!A533,Master_Produk!$A$1:$A$16,0))</f>
        <v>Fashion</v>
      </c>
      <c r="J533" s="19">
        <f>_xlfn.XLOOKUP(A533,Master_Produk!$A$1:$A$16,Master_Produk!$D$1:$D$16,,0)</f>
        <v>280000</v>
      </c>
      <c r="K533" s="19">
        <f>INDEX(Master_Produk!$E$1:$E$16,MATCH(Lembar_Kerja_Analisis!A533,Master_Produk!$A$1:$A$16,0))</f>
        <v>175000</v>
      </c>
      <c r="L533" s="8">
        <v>1</v>
      </c>
      <c r="M533" s="19">
        <f t="shared" si="40"/>
        <v>280000</v>
      </c>
      <c r="N533" s="9">
        <v>0.2</v>
      </c>
      <c r="O533" s="19">
        <f t="shared" si="41"/>
        <v>56000</v>
      </c>
      <c r="P533" s="19">
        <f t="shared" si="42"/>
        <v>224000</v>
      </c>
      <c r="Q533" s="19">
        <f t="shared" si="43"/>
        <v>175000</v>
      </c>
      <c r="R533" s="19">
        <f t="shared" si="44"/>
        <v>49000</v>
      </c>
    </row>
    <row r="534" spans="1:18" x14ac:dyDescent="0.25">
      <c r="A534" t="str">
        <f>_xlfn.XLOOKUP(C534,Raw_Data_Transaksi!$A$1:$A$1001,Raw_Data_Transaksi!$D$1:$D$1001,,0)</f>
        <v>PRD-114</v>
      </c>
      <c r="B534" t="str">
        <f>_xlfn.XLOOKUP(C534,Raw_Data_Transaksi!$A$1:$A$1001,Raw_Data_Transaksi!$C$1:$C$1001,,0)</f>
        <v>SLS-04</v>
      </c>
      <c r="C534" s="6" t="s">
        <v>618</v>
      </c>
      <c r="D534" s="7">
        <v>45864</v>
      </c>
      <c r="E534" s="10" t="str">
        <f>VLOOKUP(B534,Master_Sales!$A$1:$D$9,2,FALSE)</f>
        <v>Dewi Anggraini</v>
      </c>
      <c r="F534" s="10" t="str">
        <f>INDEX(Master_Sales!$D$1:$D$9,MATCH(Lembar_Kerja_Analisis!B534,Master_Sales!$A$1:$A$9,0))</f>
        <v>Barat</v>
      </c>
      <c r="G534" s="10" t="str">
        <f>INDEX(Master_Sales!$C$1:$C$9,MATCH(Lembar_Kerja_Analisis!B534,Master_Sales!$A$1:$A$9,0))</f>
        <v>Medan</v>
      </c>
      <c r="H534" s="10" t="str">
        <f>VLOOKUP(A534,Master_Produk!$A$1:$E$16,2,FALSE)</f>
        <v>Blender Multifungsi 2-in-1</v>
      </c>
      <c r="I534" s="10" t="str">
        <f>INDEX(Master_Produk!$C$1:$C$16,MATCH(Lembar_Kerja_Analisis!A534,Master_Produk!$A$1:$A$16,0))</f>
        <v>Peralatan Rumah</v>
      </c>
      <c r="J534" s="19">
        <f>_xlfn.XLOOKUP(A534,Master_Produk!$A$1:$A$16,Master_Produk!$D$1:$D$16,,0)</f>
        <v>340000</v>
      </c>
      <c r="K534" s="19">
        <f>INDEX(Master_Produk!$E$1:$E$16,MATCH(Lembar_Kerja_Analisis!A534,Master_Produk!$A$1:$A$16,0))</f>
        <v>240000</v>
      </c>
      <c r="L534" s="8">
        <v>2</v>
      </c>
      <c r="M534" s="19">
        <f t="shared" si="40"/>
        <v>680000</v>
      </c>
      <c r="N534" s="9">
        <v>0.15</v>
      </c>
      <c r="O534" s="19">
        <f t="shared" si="41"/>
        <v>102000</v>
      </c>
      <c r="P534" s="19">
        <f t="shared" si="42"/>
        <v>578000</v>
      </c>
      <c r="Q534" s="19">
        <f t="shared" si="43"/>
        <v>480000</v>
      </c>
      <c r="R534" s="19">
        <f t="shared" si="44"/>
        <v>98000</v>
      </c>
    </row>
    <row r="535" spans="1:18" x14ac:dyDescent="0.25">
      <c r="A535" t="str">
        <f>_xlfn.XLOOKUP(C535,Raw_Data_Transaksi!$A$1:$A$1001,Raw_Data_Transaksi!$D$1:$D$1001,,0)</f>
        <v>PRD-114</v>
      </c>
      <c r="B535" t="str">
        <f>_xlfn.XLOOKUP(C535,Raw_Data_Transaksi!$A$1:$A$1001,Raw_Data_Transaksi!$C$1:$C$1001,,0)</f>
        <v>SLS-08</v>
      </c>
      <c r="C535" s="6" t="s">
        <v>619</v>
      </c>
      <c r="D535" s="7">
        <v>45703</v>
      </c>
      <c r="E535" s="10" t="str">
        <f>VLOOKUP(B535,Master_Sales!$A$1:$D$9,2,FALSE)</f>
        <v>Hendra Wijaya</v>
      </c>
      <c r="F535" s="10" t="str">
        <f>INDEX(Master_Sales!$D$1:$D$9,MATCH(Lembar_Kerja_Analisis!B535,Master_Sales!$A$1:$A$9,0))</f>
        <v>Tengah</v>
      </c>
      <c r="G535" s="10" t="str">
        <f>INDEX(Master_Sales!$C$1:$C$9,MATCH(Lembar_Kerja_Analisis!B535,Master_Sales!$A$1:$A$9,0))</f>
        <v>Yogyakarta</v>
      </c>
      <c r="H535" s="10" t="str">
        <f>VLOOKUP(A535,Master_Produk!$A$1:$E$16,2,FALSE)</f>
        <v>Blender Multifungsi 2-in-1</v>
      </c>
      <c r="I535" s="10" t="str">
        <f>INDEX(Master_Produk!$C$1:$C$16,MATCH(Lembar_Kerja_Analisis!A535,Master_Produk!$A$1:$A$16,0))</f>
        <v>Peralatan Rumah</v>
      </c>
      <c r="J535" s="19">
        <f>_xlfn.XLOOKUP(A535,Master_Produk!$A$1:$A$16,Master_Produk!$D$1:$D$16,,0)</f>
        <v>340000</v>
      </c>
      <c r="K535" s="19">
        <f>INDEX(Master_Produk!$E$1:$E$16,MATCH(Lembar_Kerja_Analisis!A535,Master_Produk!$A$1:$A$16,0))</f>
        <v>240000</v>
      </c>
      <c r="L535" s="8">
        <v>8</v>
      </c>
      <c r="M535" s="19">
        <f t="shared" si="40"/>
        <v>2720000</v>
      </c>
      <c r="N535" s="9">
        <v>0.1</v>
      </c>
      <c r="O535" s="19">
        <f t="shared" si="41"/>
        <v>272000</v>
      </c>
      <c r="P535" s="19">
        <f t="shared" si="42"/>
        <v>2448000</v>
      </c>
      <c r="Q535" s="19">
        <f t="shared" si="43"/>
        <v>1920000</v>
      </c>
      <c r="R535" s="19">
        <f t="shared" si="44"/>
        <v>528000</v>
      </c>
    </row>
    <row r="536" spans="1:18" x14ac:dyDescent="0.25">
      <c r="A536" t="str">
        <f>_xlfn.XLOOKUP(C536,Raw_Data_Transaksi!$A$1:$A$1001,Raw_Data_Transaksi!$D$1:$D$1001,,0)</f>
        <v>PRD-107</v>
      </c>
      <c r="B536" t="str">
        <f>_xlfn.XLOOKUP(C536,Raw_Data_Transaksi!$A$1:$A$1001,Raw_Data_Transaksi!$C$1:$C$1001,,0)</f>
        <v>SLS-07</v>
      </c>
      <c r="C536" s="6" t="s">
        <v>620</v>
      </c>
      <c r="D536" s="7">
        <v>45710</v>
      </c>
      <c r="E536" s="10" t="str">
        <f>VLOOKUP(B536,Master_Sales!$A$1:$D$9,2,FALSE)</f>
        <v>Gita Permata</v>
      </c>
      <c r="F536" s="10" t="str">
        <f>INDEX(Master_Sales!$D$1:$D$9,MATCH(Lembar_Kerja_Analisis!B536,Master_Sales!$A$1:$A$9,0))</f>
        <v>Tengah</v>
      </c>
      <c r="G536" s="10" t="str">
        <f>INDEX(Master_Sales!$C$1:$C$9,MATCH(Lembar_Kerja_Analisis!B536,Master_Sales!$A$1:$A$9,0))</f>
        <v>Denpasar</v>
      </c>
      <c r="H536" s="10" t="str">
        <f>VLOOKUP(A536,Master_Produk!$A$1:$E$16,2,FALSE)</f>
        <v>Jaket Hoodie Casual</v>
      </c>
      <c r="I536" s="10" t="str">
        <f>INDEX(Master_Produk!$C$1:$C$16,MATCH(Lembar_Kerja_Analisis!A536,Master_Produk!$A$1:$A$16,0))</f>
        <v>Fashion</v>
      </c>
      <c r="J536" s="19">
        <f>_xlfn.XLOOKUP(A536,Master_Produk!$A$1:$A$16,Master_Produk!$D$1:$D$16,,0)</f>
        <v>350000</v>
      </c>
      <c r="K536" s="19">
        <f>INDEX(Master_Produk!$E$1:$E$16,MATCH(Lembar_Kerja_Analisis!A536,Master_Produk!$A$1:$A$16,0))</f>
        <v>220000</v>
      </c>
      <c r="L536" s="8">
        <v>1</v>
      </c>
      <c r="M536" s="19">
        <f t="shared" si="40"/>
        <v>350000</v>
      </c>
      <c r="N536" s="9">
        <v>0.2</v>
      </c>
      <c r="O536" s="19">
        <f t="shared" si="41"/>
        <v>70000</v>
      </c>
      <c r="P536" s="19">
        <f t="shared" si="42"/>
        <v>280000</v>
      </c>
      <c r="Q536" s="19">
        <f t="shared" si="43"/>
        <v>220000</v>
      </c>
      <c r="R536" s="19">
        <f t="shared" si="44"/>
        <v>60000</v>
      </c>
    </row>
    <row r="537" spans="1:18" x14ac:dyDescent="0.25">
      <c r="A537" t="str">
        <f>_xlfn.XLOOKUP(C537,Raw_Data_Transaksi!$A$1:$A$1001,Raw_Data_Transaksi!$D$1:$D$1001,,0)</f>
        <v>PRD-109</v>
      </c>
      <c r="B537" t="str">
        <f>_xlfn.XLOOKUP(C537,Raw_Data_Transaksi!$A$1:$A$1001,Raw_Data_Transaksi!$C$1:$C$1001,,0)</f>
        <v>SLS-04</v>
      </c>
      <c r="C537" s="6" t="s">
        <v>621</v>
      </c>
      <c r="D537" s="7">
        <v>45918</v>
      </c>
      <c r="E537" s="10" t="str">
        <f>VLOOKUP(B537,Master_Sales!$A$1:$D$9,2,FALSE)</f>
        <v>Dewi Anggraini</v>
      </c>
      <c r="F537" s="10" t="str">
        <f>INDEX(Master_Sales!$D$1:$D$9,MATCH(Lembar_Kerja_Analisis!B537,Master_Sales!$A$1:$A$9,0))</f>
        <v>Barat</v>
      </c>
      <c r="G537" s="10" t="str">
        <f>INDEX(Master_Sales!$C$1:$C$9,MATCH(Lembar_Kerja_Analisis!B537,Master_Sales!$A$1:$A$9,0))</f>
        <v>Medan</v>
      </c>
      <c r="H537" s="10" t="str">
        <f>VLOOKUP(A537,Master_Produk!$A$1:$E$16,2,FALSE)</f>
        <v>Kopi Arabika Gayo 250g</v>
      </c>
      <c r="I537" s="10" t="str">
        <f>INDEX(Master_Produk!$C$1:$C$16,MATCH(Lembar_Kerja_Analisis!A537,Master_Produk!$A$1:$A$16,0))</f>
        <v>F&amp;B</v>
      </c>
      <c r="J537" s="19">
        <f>_xlfn.XLOOKUP(A537,Master_Produk!$A$1:$A$16,Master_Produk!$D$1:$D$16,,0)</f>
        <v>85000</v>
      </c>
      <c r="K537" s="19">
        <f>INDEX(Master_Produk!$E$1:$E$16,MATCH(Lembar_Kerja_Analisis!A537,Master_Produk!$A$1:$A$16,0))</f>
        <v>55000</v>
      </c>
      <c r="L537" s="8">
        <v>24</v>
      </c>
      <c r="M537" s="19">
        <f t="shared" si="40"/>
        <v>2040000</v>
      </c>
      <c r="N537" s="9">
        <v>0.15</v>
      </c>
      <c r="O537" s="19">
        <f t="shared" si="41"/>
        <v>306000</v>
      </c>
      <c r="P537" s="19">
        <f t="shared" si="42"/>
        <v>1734000</v>
      </c>
      <c r="Q537" s="19">
        <f t="shared" si="43"/>
        <v>1320000</v>
      </c>
      <c r="R537" s="19">
        <f t="shared" si="44"/>
        <v>414000</v>
      </c>
    </row>
    <row r="538" spans="1:18" x14ac:dyDescent="0.25">
      <c r="A538" t="str">
        <f>_xlfn.XLOOKUP(C538,Raw_Data_Transaksi!$A$1:$A$1001,Raw_Data_Transaksi!$D$1:$D$1001,,0)</f>
        <v>PRD-114</v>
      </c>
      <c r="B538" t="str">
        <f>_xlfn.XLOOKUP(C538,Raw_Data_Transaksi!$A$1:$A$1001,Raw_Data_Transaksi!$C$1:$C$1001,,0)</f>
        <v>SLS-08</v>
      </c>
      <c r="C538" s="6" t="s">
        <v>622</v>
      </c>
      <c r="D538" s="7">
        <v>45772</v>
      </c>
      <c r="E538" s="10" t="str">
        <f>VLOOKUP(B538,Master_Sales!$A$1:$D$9,2,FALSE)</f>
        <v>Hendra Wijaya</v>
      </c>
      <c r="F538" s="10" t="str">
        <f>INDEX(Master_Sales!$D$1:$D$9,MATCH(Lembar_Kerja_Analisis!B538,Master_Sales!$A$1:$A$9,0))</f>
        <v>Tengah</v>
      </c>
      <c r="G538" s="10" t="str">
        <f>INDEX(Master_Sales!$C$1:$C$9,MATCH(Lembar_Kerja_Analisis!B538,Master_Sales!$A$1:$A$9,0))</f>
        <v>Yogyakarta</v>
      </c>
      <c r="H538" s="10" t="str">
        <f>VLOOKUP(A538,Master_Produk!$A$1:$E$16,2,FALSE)</f>
        <v>Blender Multifungsi 2-in-1</v>
      </c>
      <c r="I538" s="10" t="str">
        <f>INDEX(Master_Produk!$C$1:$C$16,MATCH(Lembar_Kerja_Analisis!A538,Master_Produk!$A$1:$A$16,0))</f>
        <v>Peralatan Rumah</v>
      </c>
      <c r="J538" s="19">
        <f>_xlfn.XLOOKUP(A538,Master_Produk!$A$1:$A$16,Master_Produk!$D$1:$D$16,,0)</f>
        <v>340000</v>
      </c>
      <c r="K538" s="19">
        <f>INDEX(Master_Produk!$E$1:$E$16,MATCH(Lembar_Kerja_Analisis!A538,Master_Produk!$A$1:$A$16,0))</f>
        <v>240000</v>
      </c>
      <c r="L538" s="8">
        <v>6</v>
      </c>
      <c r="M538" s="19">
        <f t="shared" si="40"/>
        <v>2040000</v>
      </c>
      <c r="N538" s="9">
        <v>0.2</v>
      </c>
      <c r="O538" s="19">
        <f t="shared" si="41"/>
        <v>408000</v>
      </c>
      <c r="P538" s="19">
        <f t="shared" si="42"/>
        <v>1632000</v>
      </c>
      <c r="Q538" s="19">
        <f t="shared" si="43"/>
        <v>1440000</v>
      </c>
      <c r="R538" s="19">
        <f t="shared" si="44"/>
        <v>192000</v>
      </c>
    </row>
    <row r="539" spans="1:18" x14ac:dyDescent="0.25">
      <c r="A539" t="str">
        <f>_xlfn.XLOOKUP(C539,Raw_Data_Transaksi!$A$1:$A$1001,Raw_Data_Transaksi!$D$1:$D$1001,,0)</f>
        <v>PRD-102</v>
      </c>
      <c r="B539" t="str">
        <f>_xlfn.XLOOKUP(C539,Raw_Data_Transaksi!$A$1:$A$1001,Raw_Data_Transaksi!$C$1:$C$1001,,0)</f>
        <v>SLS-02</v>
      </c>
      <c r="C539" s="6" t="s">
        <v>623</v>
      </c>
      <c r="D539" s="7">
        <v>45889</v>
      </c>
      <c r="E539" s="10" t="str">
        <f>VLOOKUP(B539,Master_Sales!$A$1:$D$9,2,FALSE)</f>
        <v>Budi Santoso</v>
      </c>
      <c r="F539" s="10" t="str">
        <f>INDEX(Master_Sales!$D$1:$D$9,MATCH(Lembar_Kerja_Analisis!B539,Master_Sales!$A$1:$A$9,0))</f>
        <v>Timur</v>
      </c>
      <c r="G539" s="10" t="str">
        <f>INDEX(Master_Sales!$C$1:$C$9,MATCH(Lembar_Kerja_Analisis!B539,Master_Sales!$A$1:$A$9,0))</f>
        <v>Surabaya</v>
      </c>
      <c r="H539" s="10" t="str">
        <f>VLOOKUP(A539,Master_Produk!$A$1:$E$16,2,FALSE)</f>
        <v>Wireless Mouse Ergonomic</v>
      </c>
      <c r="I539" s="10" t="str">
        <f>INDEX(Master_Produk!$C$1:$C$16,MATCH(Lembar_Kerja_Analisis!A539,Master_Produk!$A$1:$A$16,0))</f>
        <v>Elektronik</v>
      </c>
      <c r="J539" s="19">
        <f>_xlfn.XLOOKUP(A539,Master_Produk!$A$1:$A$16,Master_Produk!$D$1:$D$16,,0)</f>
        <v>250000</v>
      </c>
      <c r="K539" s="19">
        <f>INDEX(Master_Produk!$E$1:$E$16,MATCH(Lembar_Kerja_Analisis!A539,Master_Produk!$A$1:$A$16,0))</f>
        <v>160000</v>
      </c>
      <c r="L539" s="8">
        <v>11</v>
      </c>
      <c r="M539" s="19">
        <f t="shared" si="40"/>
        <v>2750000</v>
      </c>
      <c r="N539" s="9">
        <v>0.05</v>
      </c>
      <c r="O539" s="19">
        <f t="shared" si="41"/>
        <v>137500</v>
      </c>
      <c r="P539" s="19">
        <f t="shared" si="42"/>
        <v>2612500</v>
      </c>
      <c r="Q539" s="19">
        <f t="shared" si="43"/>
        <v>1760000</v>
      </c>
      <c r="R539" s="19">
        <f t="shared" si="44"/>
        <v>852500</v>
      </c>
    </row>
    <row r="540" spans="1:18" x14ac:dyDescent="0.25">
      <c r="A540" t="str">
        <f>_xlfn.XLOOKUP(C540,Raw_Data_Transaksi!$A$1:$A$1001,Raw_Data_Transaksi!$D$1:$D$1001,,0)</f>
        <v>PRD-113</v>
      </c>
      <c r="B540" t="str">
        <f>_xlfn.XLOOKUP(C540,Raw_Data_Transaksi!$A$1:$A$1001,Raw_Data_Transaksi!$C$1:$C$1001,,0)</f>
        <v>SLS-05</v>
      </c>
      <c r="C540" s="6" t="s">
        <v>624</v>
      </c>
      <c r="D540" s="7">
        <v>45982</v>
      </c>
      <c r="E540" s="10" t="str">
        <f>VLOOKUP(B540,Master_Sales!$A$1:$D$9,2,FALSE)</f>
        <v>Eko Prasetyo</v>
      </c>
      <c r="F540" s="10" t="str">
        <f>INDEX(Master_Sales!$D$1:$D$9,MATCH(Lembar_Kerja_Analisis!B540,Master_Sales!$A$1:$A$9,0))</f>
        <v>Tengah</v>
      </c>
      <c r="G540" s="10" t="str">
        <f>INDEX(Master_Sales!$C$1:$C$9,MATCH(Lembar_Kerja_Analisis!B540,Master_Sales!$A$1:$A$9,0))</f>
        <v>Semarang</v>
      </c>
      <c r="H540" s="10" t="str">
        <f>VLOOKUP(A540,Master_Produk!$A$1:$E$16,2,FALSE)</f>
        <v>Wajan Anti Lengket 28cm</v>
      </c>
      <c r="I540" s="10" t="str">
        <f>INDEX(Master_Produk!$C$1:$C$16,MATCH(Lembar_Kerja_Analisis!A540,Master_Produk!$A$1:$A$16,0))</f>
        <v>Peralatan Rumah</v>
      </c>
      <c r="J540" s="19">
        <f>_xlfn.XLOOKUP(A540,Master_Produk!$A$1:$A$16,Master_Produk!$D$1:$D$16,,0)</f>
        <v>210000</v>
      </c>
      <c r="K540" s="19">
        <f>INDEX(Master_Produk!$E$1:$E$16,MATCH(Lembar_Kerja_Analisis!A540,Master_Produk!$A$1:$A$16,0))</f>
        <v>140000</v>
      </c>
      <c r="L540" s="8">
        <v>9</v>
      </c>
      <c r="M540" s="19">
        <f t="shared" si="40"/>
        <v>1890000</v>
      </c>
      <c r="N540" s="9">
        <v>0.2</v>
      </c>
      <c r="O540" s="19">
        <f t="shared" si="41"/>
        <v>378000</v>
      </c>
      <c r="P540" s="19">
        <f t="shared" si="42"/>
        <v>1512000</v>
      </c>
      <c r="Q540" s="19">
        <f t="shared" si="43"/>
        <v>1260000</v>
      </c>
      <c r="R540" s="19">
        <f t="shared" si="44"/>
        <v>252000</v>
      </c>
    </row>
    <row r="541" spans="1:18" x14ac:dyDescent="0.25">
      <c r="A541" t="str">
        <f>_xlfn.XLOOKUP(C541,Raw_Data_Transaksi!$A$1:$A$1001,Raw_Data_Transaksi!$D$1:$D$1001,,0)</f>
        <v>PRD-115</v>
      </c>
      <c r="B541" t="str">
        <f>_xlfn.XLOOKUP(C541,Raw_Data_Transaksi!$A$1:$A$1001,Raw_Data_Transaksi!$C$1:$C$1001,,0)</f>
        <v>SLS-03</v>
      </c>
      <c r="C541" s="6" t="s">
        <v>625</v>
      </c>
      <c r="D541" s="7">
        <v>45681</v>
      </c>
      <c r="E541" s="10" t="str">
        <f>VLOOKUP(B541,Master_Sales!$A$1:$D$9,2,FALSE)</f>
        <v>Citra Lestari</v>
      </c>
      <c r="F541" s="10" t="str">
        <f>INDEX(Master_Sales!$D$1:$D$9,MATCH(Lembar_Kerja_Analisis!B541,Master_Sales!$A$1:$A$9,0))</f>
        <v>Barat</v>
      </c>
      <c r="G541" s="10" t="str">
        <f>INDEX(Master_Sales!$C$1:$C$9,MATCH(Lembar_Kerja_Analisis!B541,Master_Sales!$A$1:$A$9,0))</f>
        <v>Bandung</v>
      </c>
      <c r="H541" s="10" t="str">
        <f>VLOOKUP(A541,Master_Produk!$A$1:$E$16,2,FALSE)</f>
        <v>Set Pisau Dapur Stainless</v>
      </c>
      <c r="I541" s="10" t="str">
        <f>INDEX(Master_Produk!$C$1:$C$16,MATCH(Lembar_Kerja_Analisis!A541,Master_Produk!$A$1:$A$16,0))</f>
        <v>Peralatan Rumah</v>
      </c>
      <c r="J541" s="19">
        <f>_xlfn.XLOOKUP(A541,Master_Produk!$A$1:$A$16,Master_Produk!$D$1:$D$16,,0)</f>
        <v>165000</v>
      </c>
      <c r="K541" s="19">
        <f>INDEX(Master_Produk!$E$1:$E$16,MATCH(Lembar_Kerja_Analisis!A541,Master_Produk!$A$1:$A$16,0))</f>
        <v>105000</v>
      </c>
      <c r="L541" s="8">
        <v>8</v>
      </c>
      <c r="M541" s="19">
        <f t="shared" si="40"/>
        <v>1320000</v>
      </c>
      <c r="N541" s="9">
        <v>0.05</v>
      </c>
      <c r="O541" s="19">
        <f t="shared" si="41"/>
        <v>66000</v>
      </c>
      <c r="P541" s="19">
        <f t="shared" si="42"/>
        <v>1254000</v>
      </c>
      <c r="Q541" s="19">
        <f t="shared" si="43"/>
        <v>840000</v>
      </c>
      <c r="R541" s="19">
        <f t="shared" si="44"/>
        <v>414000</v>
      </c>
    </row>
    <row r="542" spans="1:18" x14ac:dyDescent="0.25">
      <c r="A542" t="str">
        <f>_xlfn.XLOOKUP(C542,Raw_Data_Transaksi!$A$1:$A$1001,Raw_Data_Transaksi!$D$1:$D$1001,,0)</f>
        <v>PRD-104</v>
      </c>
      <c r="B542" t="str">
        <f>_xlfn.XLOOKUP(C542,Raw_Data_Transaksi!$A$1:$A$1001,Raw_Data_Transaksi!$C$1:$C$1001,,0)</f>
        <v>SLS-04</v>
      </c>
      <c r="C542" s="6" t="s">
        <v>626</v>
      </c>
      <c r="D542" s="7">
        <v>45970</v>
      </c>
      <c r="E542" s="10" t="str">
        <f>VLOOKUP(B542,Master_Sales!$A$1:$D$9,2,FALSE)</f>
        <v>Dewi Anggraini</v>
      </c>
      <c r="F542" s="10" t="str">
        <f>INDEX(Master_Sales!$D$1:$D$9,MATCH(Lembar_Kerja_Analisis!B542,Master_Sales!$A$1:$A$9,0))</f>
        <v>Barat</v>
      </c>
      <c r="G542" s="10" t="str">
        <f>INDEX(Master_Sales!$C$1:$C$9,MATCH(Lembar_Kerja_Analisis!B542,Master_Sales!$A$1:$A$9,0))</f>
        <v>Medan</v>
      </c>
      <c r="H542" s="10" t="str">
        <f>VLOOKUP(A542,Master_Produk!$A$1:$E$16,2,FALSE)</f>
        <v>Monitor 24" FHD 144Hz</v>
      </c>
      <c r="I542" s="10" t="str">
        <f>INDEX(Master_Produk!$C$1:$C$16,MATCH(Lembar_Kerja_Analisis!A542,Master_Produk!$A$1:$A$16,0))</f>
        <v>Elektronik</v>
      </c>
      <c r="J542" s="19">
        <f>_xlfn.XLOOKUP(A542,Master_Produk!$A$1:$A$16,Master_Produk!$D$1:$D$16,,0)</f>
        <v>1950000</v>
      </c>
      <c r="K542" s="19">
        <f>INDEX(Master_Produk!$E$1:$E$16,MATCH(Lembar_Kerja_Analisis!A542,Master_Produk!$A$1:$A$16,0))</f>
        <v>1500000</v>
      </c>
      <c r="L542" s="8">
        <v>2</v>
      </c>
      <c r="M542" s="19">
        <f t="shared" si="40"/>
        <v>3900000</v>
      </c>
      <c r="N542" s="9">
        <v>0.15</v>
      </c>
      <c r="O542" s="19">
        <f t="shared" si="41"/>
        <v>585000</v>
      </c>
      <c r="P542" s="19">
        <f t="shared" si="42"/>
        <v>3315000</v>
      </c>
      <c r="Q542" s="19">
        <f t="shared" si="43"/>
        <v>3000000</v>
      </c>
      <c r="R542" s="19">
        <f t="shared" si="44"/>
        <v>315000</v>
      </c>
    </row>
    <row r="543" spans="1:18" x14ac:dyDescent="0.25">
      <c r="A543" t="str">
        <f>_xlfn.XLOOKUP(C543,Raw_Data_Transaksi!$A$1:$A$1001,Raw_Data_Transaksi!$D$1:$D$1001,,0)</f>
        <v>PRD-102</v>
      </c>
      <c r="B543" t="str">
        <f>_xlfn.XLOOKUP(C543,Raw_Data_Transaksi!$A$1:$A$1001,Raw_Data_Transaksi!$C$1:$C$1001,,0)</f>
        <v>SLS-07</v>
      </c>
      <c r="C543" s="6" t="s">
        <v>627</v>
      </c>
      <c r="D543" s="7">
        <v>45831</v>
      </c>
      <c r="E543" s="10" t="str">
        <f>VLOOKUP(B543,Master_Sales!$A$1:$D$9,2,FALSE)</f>
        <v>Gita Permata</v>
      </c>
      <c r="F543" s="10" t="str">
        <f>INDEX(Master_Sales!$D$1:$D$9,MATCH(Lembar_Kerja_Analisis!B543,Master_Sales!$A$1:$A$9,0))</f>
        <v>Tengah</v>
      </c>
      <c r="G543" s="10" t="str">
        <f>INDEX(Master_Sales!$C$1:$C$9,MATCH(Lembar_Kerja_Analisis!B543,Master_Sales!$A$1:$A$9,0))</f>
        <v>Denpasar</v>
      </c>
      <c r="H543" s="10" t="str">
        <f>VLOOKUP(A543,Master_Produk!$A$1:$E$16,2,FALSE)</f>
        <v>Wireless Mouse Ergonomic</v>
      </c>
      <c r="I543" s="10" t="str">
        <f>INDEX(Master_Produk!$C$1:$C$16,MATCH(Lembar_Kerja_Analisis!A543,Master_Produk!$A$1:$A$16,0))</f>
        <v>Elektronik</v>
      </c>
      <c r="J543" s="19">
        <f>_xlfn.XLOOKUP(A543,Master_Produk!$A$1:$A$16,Master_Produk!$D$1:$D$16,,0)</f>
        <v>250000</v>
      </c>
      <c r="K543" s="19">
        <f>INDEX(Master_Produk!$E$1:$E$16,MATCH(Lembar_Kerja_Analisis!A543,Master_Produk!$A$1:$A$16,0))</f>
        <v>160000</v>
      </c>
      <c r="L543" s="8">
        <v>1</v>
      </c>
      <c r="M543" s="19">
        <f t="shared" si="40"/>
        <v>250000</v>
      </c>
      <c r="N543" s="9">
        <v>0.2</v>
      </c>
      <c r="O543" s="19">
        <f t="shared" si="41"/>
        <v>50000</v>
      </c>
      <c r="P543" s="19">
        <f t="shared" si="42"/>
        <v>200000</v>
      </c>
      <c r="Q543" s="19">
        <f t="shared" si="43"/>
        <v>160000</v>
      </c>
      <c r="R543" s="19">
        <f t="shared" si="44"/>
        <v>40000</v>
      </c>
    </row>
    <row r="544" spans="1:18" x14ac:dyDescent="0.25">
      <c r="A544" t="str">
        <f>_xlfn.XLOOKUP(C544,Raw_Data_Transaksi!$A$1:$A$1001,Raw_Data_Transaksi!$D$1:$D$1001,,0)</f>
        <v>PRD-110</v>
      </c>
      <c r="B544" t="str">
        <f>_xlfn.XLOOKUP(C544,Raw_Data_Transaksi!$A$1:$A$1001,Raw_Data_Transaksi!$C$1:$C$1001,,0)</f>
        <v>SLS-03</v>
      </c>
      <c r="C544" s="6" t="s">
        <v>628</v>
      </c>
      <c r="D544" s="7">
        <v>45995</v>
      </c>
      <c r="E544" s="10" t="str">
        <f>VLOOKUP(B544,Master_Sales!$A$1:$D$9,2,FALSE)</f>
        <v>Citra Lestari</v>
      </c>
      <c r="F544" s="10" t="str">
        <f>INDEX(Master_Sales!$D$1:$D$9,MATCH(Lembar_Kerja_Analisis!B544,Master_Sales!$A$1:$A$9,0))</f>
        <v>Barat</v>
      </c>
      <c r="G544" s="10" t="str">
        <f>INDEX(Master_Sales!$C$1:$C$9,MATCH(Lembar_Kerja_Analisis!B544,Master_Sales!$A$1:$A$9,0))</f>
        <v>Bandung</v>
      </c>
      <c r="H544" s="10" t="str">
        <f>VLOOKUP(A544,Master_Produk!$A$1:$E$16,2,FALSE)</f>
        <v>Minyak Goreng Sawit 2L</v>
      </c>
      <c r="I544" s="10" t="str">
        <f>INDEX(Master_Produk!$C$1:$C$16,MATCH(Lembar_Kerja_Analisis!A544,Master_Produk!$A$1:$A$16,0))</f>
        <v>F&amp;B</v>
      </c>
      <c r="J544" s="19">
        <f>_xlfn.XLOOKUP(A544,Master_Produk!$A$1:$A$16,Master_Produk!$D$1:$D$16,,0)</f>
        <v>36000</v>
      </c>
      <c r="K544" s="19">
        <f>INDEX(Master_Produk!$E$1:$E$16,MATCH(Lembar_Kerja_Analisis!A544,Master_Produk!$A$1:$A$16,0))</f>
        <v>31000</v>
      </c>
      <c r="L544" s="8">
        <v>3</v>
      </c>
      <c r="M544" s="19">
        <f t="shared" si="40"/>
        <v>108000</v>
      </c>
      <c r="N544" s="9">
        <v>0.2</v>
      </c>
      <c r="O544" s="19">
        <f t="shared" si="41"/>
        <v>21600</v>
      </c>
      <c r="P544" s="19">
        <f t="shared" si="42"/>
        <v>86400</v>
      </c>
      <c r="Q544" s="19">
        <f t="shared" si="43"/>
        <v>93000</v>
      </c>
      <c r="R544" s="19">
        <f t="shared" si="44"/>
        <v>-6600</v>
      </c>
    </row>
    <row r="545" spans="1:18" x14ac:dyDescent="0.25">
      <c r="A545" t="str">
        <f>_xlfn.XLOOKUP(C545,Raw_Data_Transaksi!$A$1:$A$1001,Raw_Data_Transaksi!$D$1:$D$1001,,0)</f>
        <v>PRD-108</v>
      </c>
      <c r="B545" t="str">
        <f>_xlfn.XLOOKUP(C545,Raw_Data_Transaksi!$A$1:$A$1001,Raw_Data_Transaksi!$C$1:$C$1001,,0)</f>
        <v>SLS-03</v>
      </c>
      <c r="C545" s="6" t="s">
        <v>629</v>
      </c>
      <c r="D545" s="7">
        <v>45957</v>
      </c>
      <c r="E545" s="10" t="str">
        <f>VLOOKUP(B545,Master_Sales!$A$1:$D$9,2,FALSE)</f>
        <v>Citra Lestari</v>
      </c>
      <c r="F545" s="10" t="str">
        <f>INDEX(Master_Sales!$D$1:$D$9,MATCH(Lembar_Kerja_Analisis!B545,Master_Sales!$A$1:$A$9,0))</f>
        <v>Barat</v>
      </c>
      <c r="G545" s="10" t="str">
        <f>INDEX(Master_Sales!$C$1:$C$9,MATCH(Lembar_Kerja_Analisis!B545,Master_Sales!$A$1:$A$9,0))</f>
        <v>Bandung</v>
      </c>
      <c r="H545" s="10" t="str">
        <f>VLOOKUP(A545,Master_Produk!$A$1:$E$16,2,FALSE)</f>
        <v>Sepatu Sneakers Pria/Wanita</v>
      </c>
      <c r="I545" s="10" t="str">
        <f>INDEX(Master_Produk!$C$1:$C$16,MATCH(Lembar_Kerja_Analisis!A545,Master_Produk!$A$1:$A$16,0))</f>
        <v>Fashion</v>
      </c>
      <c r="J545" s="19">
        <f>_xlfn.XLOOKUP(A545,Master_Produk!$A$1:$A$16,Master_Produk!$D$1:$D$16,,0)</f>
        <v>450000</v>
      </c>
      <c r="K545" s="19">
        <f>INDEX(Master_Produk!$E$1:$E$16,MATCH(Lembar_Kerja_Analisis!A545,Master_Produk!$A$1:$A$16,0))</f>
        <v>290000</v>
      </c>
      <c r="L545" s="8">
        <v>12</v>
      </c>
      <c r="M545" s="19">
        <f t="shared" si="40"/>
        <v>5400000</v>
      </c>
      <c r="N545" s="9">
        <v>0.2</v>
      </c>
      <c r="O545" s="19">
        <f t="shared" si="41"/>
        <v>1080000</v>
      </c>
      <c r="P545" s="19">
        <f t="shared" si="42"/>
        <v>4320000</v>
      </c>
      <c r="Q545" s="19">
        <f t="shared" si="43"/>
        <v>3480000</v>
      </c>
      <c r="R545" s="19">
        <f t="shared" si="44"/>
        <v>840000</v>
      </c>
    </row>
    <row r="546" spans="1:18" x14ac:dyDescent="0.25">
      <c r="A546" t="str">
        <f>_xlfn.XLOOKUP(C546,Raw_Data_Transaksi!$A$1:$A$1001,Raw_Data_Transaksi!$D$1:$D$1001,,0)</f>
        <v>PRD-107</v>
      </c>
      <c r="B546" t="str">
        <f>_xlfn.XLOOKUP(C546,Raw_Data_Transaksi!$A$1:$A$1001,Raw_Data_Transaksi!$C$1:$C$1001,,0)</f>
        <v>SLS-06</v>
      </c>
      <c r="C546" s="6" t="s">
        <v>630</v>
      </c>
      <c r="D546" s="7">
        <v>45711</v>
      </c>
      <c r="E546" s="10" t="str">
        <f>VLOOKUP(B546,Master_Sales!$A$1:$D$9,2,FALSE)</f>
        <v>Fajar Nugraha</v>
      </c>
      <c r="F546" s="10" t="str">
        <f>INDEX(Master_Sales!$D$1:$D$9,MATCH(Lembar_Kerja_Analisis!B546,Master_Sales!$A$1:$A$9,0))</f>
        <v>Timur</v>
      </c>
      <c r="G546" s="10" t="str">
        <f>INDEX(Master_Sales!$C$1:$C$9,MATCH(Lembar_Kerja_Analisis!B546,Master_Sales!$A$1:$A$9,0))</f>
        <v>Makassar</v>
      </c>
      <c r="H546" s="10" t="str">
        <f>VLOOKUP(A546,Master_Produk!$A$1:$E$16,2,FALSE)</f>
        <v>Jaket Hoodie Casual</v>
      </c>
      <c r="I546" s="10" t="str">
        <f>INDEX(Master_Produk!$C$1:$C$16,MATCH(Lembar_Kerja_Analisis!A546,Master_Produk!$A$1:$A$16,0))</f>
        <v>Fashion</v>
      </c>
      <c r="J546" s="19">
        <f>_xlfn.XLOOKUP(A546,Master_Produk!$A$1:$A$16,Master_Produk!$D$1:$D$16,,0)</f>
        <v>350000</v>
      </c>
      <c r="K546" s="19">
        <f>INDEX(Master_Produk!$E$1:$E$16,MATCH(Lembar_Kerja_Analisis!A546,Master_Produk!$A$1:$A$16,0))</f>
        <v>220000</v>
      </c>
      <c r="L546" s="8">
        <v>9</v>
      </c>
      <c r="M546" s="19">
        <f t="shared" si="40"/>
        <v>3150000</v>
      </c>
      <c r="N546" s="9">
        <v>0.15</v>
      </c>
      <c r="O546" s="19">
        <f t="shared" si="41"/>
        <v>472500</v>
      </c>
      <c r="P546" s="19">
        <f t="shared" si="42"/>
        <v>2677500</v>
      </c>
      <c r="Q546" s="19">
        <f t="shared" si="43"/>
        <v>1980000</v>
      </c>
      <c r="R546" s="19">
        <f t="shared" si="44"/>
        <v>697500</v>
      </c>
    </row>
    <row r="547" spans="1:18" x14ac:dyDescent="0.25">
      <c r="A547" t="str">
        <f>_xlfn.XLOOKUP(C547,Raw_Data_Transaksi!$A$1:$A$1001,Raw_Data_Transaksi!$D$1:$D$1001,,0)</f>
        <v>PRD-107</v>
      </c>
      <c r="B547" t="str">
        <f>_xlfn.XLOOKUP(C547,Raw_Data_Transaksi!$A$1:$A$1001,Raw_Data_Transaksi!$C$1:$C$1001,,0)</f>
        <v>SLS-06</v>
      </c>
      <c r="C547" s="6" t="s">
        <v>631</v>
      </c>
      <c r="D547" s="7">
        <v>45798</v>
      </c>
      <c r="E547" s="10" t="str">
        <f>VLOOKUP(B547,Master_Sales!$A$1:$D$9,2,FALSE)</f>
        <v>Fajar Nugraha</v>
      </c>
      <c r="F547" s="10" t="str">
        <f>INDEX(Master_Sales!$D$1:$D$9,MATCH(Lembar_Kerja_Analisis!B547,Master_Sales!$A$1:$A$9,0))</f>
        <v>Timur</v>
      </c>
      <c r="G547" s="10" t="str">
        <f>INDEX(Master_Sales!$C$1:$C$9,MATCH(Lembar_Kerja_Analisis!B547,Master_Sales!$A$1:$A$9,0))</f>
        <v>Makassar</v>
      </c>
      <c r="H547" s="10" t="str">
        <f>VLOOKUP(A547,Master_Produk!$A$1:$E$16,2,FALSE)</f>
        <v>Jaket Hoodie Casual</v>
      </c>
      <c r="I547" s="10" t="str">
        <f>INDEX(Master_Produk!$C$1:$C$16,MATCH(Lembar_Kerja_Analisis!A547,Master_Produk!$A$1:$A$16,0))</f>
        <v>Fashion</v>
      </c>
      <c r="J547" s="19">
        <f>_xlfn.XLOOKUP(A547,Master_Produk!$A$1:$A$16,Master_Produk!$D$1:$D$16,,0)</f>
        <v>350000</v>
      </c>
      <c r="K547" s="19">
        <f>INDEX(Master_Produk!$E$1:$E$16,MATCH(Lembar_Kerja_Analisis!A547,Master_Produk!$A$1:$A$16,0))</f>
        <v>220000</v>
      </c>
      <c r="L547" s="8">
        <v>5</v>
      </c>
      <c r="M547" s="19">
        <f t="shared" si="40"/>
        <v>1750000</v>
      </c>
      <c r="N547" s="9">
        <v>0.15</v>
      </c>
      <c r="O547" s="19">
        <f t="shared" si="41"/>
        <v>262500</v>
      </c>
      <c r="P547" s="19">
        <f t="shared" si="42"/>
        <v>1487500</v>
      </c>
      <c r="Q547" s="19">
        <f t="shared" si="43"/>
        <v>1100000</v>
      </c>
      <c r="R547" s="19">
        <f t="shared" si="44"/>
        <v>387500</v>
      </c>
    </row>
    <row r="548" spans="1:18" x14ac:dyDescent="0.25">
      <c r="A548" t="str">
        <f>_xlfn.XLOOKUP(C548,Raw_Data_Transaksi!$A$1:$A$1001,Raw_Data_Transaksi!$D$1:$D$1001,,0)</f>
        <v>PRD-112</v>
      </c>
      <c r="B548" t="str">
        <f>_xlfn.XLOOKUP(C548,Raw_Data_Transaksi!$A$1:$A$1001,Raw_Data_Transaksi!$C$1:$C$1001,,0)</f>
        <v>SLS-05</v>
      </c>
      <c r="C548" s="6" t="s">
        <v>632</v>
      </c>
      <c r="D548" s="7">
        <v>45966</v>
      </c>
      <c r="E548" s="10" t="str">
        <f>VLOOKUP(B548,Master_Sales!$A$1:$D$9,2,FALSE)</f>
        <v>Eko Prasetyo</v>
      </c>
      <c r="F548" s="10" t="str">
        <f>INDEX(Master_Sales!$D$1:$D$9,MATCH(Lembar_Kerja_Analisis!B548,Master_Sales!$A$1:$A$9,0))</f>
        <v>Tengah</v>
      </c>
      <c r="G548" s="10" t="str">
        <f>INDEX(Master_Sales!$C$1:$C$9,MATCH(Lembar_Kerja_Analisis!B548,Master_Sales!$A$1:$A$9,0))</f>
        <v>Semarang</v>
      </c>
      <c r="H548" s="10" t="str">
        <f>VLOOKUP(A548,Master_Produk!$A$1:$E$16,2,FALSE)</f>
        <v>Susu UHT Full Cream 1L</v>
      </c>
      <c r="I548" s="10" t="str">
        <f>INDEX(Master_Produk!$C$1:$C$16,MATCH(Lembar_Kerja_Analisis!A548,Master_Produk!$A$1:$A$16,0))</f>
        <v>F&amp;B</v>
      </c>
      <c r="J548" s="19">
        <f>_xlfn.XLOOKUP(A548,Master_Produk!$A$1:$A$16,Master_Produk!$D$1:$D$16,,0)</f>
        <v>22000</v>
      </c>
      <c r="K548" s="19">
        <f>INDEX(Master_Produk!$E$1:$E$16,MATCH(Lembar_Kerja_Analisis!A548,Master_Produk!$A$1:$A$16,0))</f>
        <v>18000</v>
      </c>
      <c r="L548" s="8">
        <v>20</v>
      </c>
      <c r="M548" s="19">
        <f t="shared" si="40"/>
        <v>440000</v>
      </c>
      <c r="N548" s="9">
        <v>0.1</v>
      </c>
      <c r="O548" s="19">
        <f t="shared" si="41"/>
        <v>44000</v>
      </c>
      <c r="P548" s="19">
        <f t="shared" si="42"/>
        <v>396000</v>
      </c>
      <c r="Q548" s="19">
        <f t="shared" si="43"/>
        <v>360000</v>
      </c>
      <c r="R548" s="19">
        <f t="shared" si="44"/>
        <v>36000</v>
      </c>
    </row>
    <row r="549" spans="1:18" x14ac:dyDescent="0.25">
      <c r="A549" t="str">
        <f>_xlfn.XLOOKUP(C549,Raw_Data_Transaksi!$A$1:$A$1001,Raw_Data_Transaksi!$D$1:$D$1001,,0)</f>
        <v>PRD-112</v>
      </c>
      <c r="B549" t="str">
        <f>_xlfn.XLOOKUP(C549,Raw_Data_Transaksi!$A$1:$A$1001,Raw_Data_Transaksi!$C$1:$C$1001,,0)</f>
        <v>SLS-05</v>
      </c>
      <c r="C549" s="6" t="s">
        <v>633</v>
      </c>
      <c r="D549" s="7">
        <v>45977</v>
      </c>
      <c r="E549" s="10" t="str">
        <f>VLOOKUP(B549,Master_Sales!$A$1:$D$9,2,FALSE)</f>
        <v>Eko Prasetyo</v>
      </c>
      <c r="F549" s="10" t="str">
        <f>INDEX(Master_Sales!$D$1:$D$9,MATCH(Lembar_Kerja_Analisis!B549,Master_Sales!$A$1:$A$9,0))</f>
        <v>Tengah</v>
      </c>
      <c r="G549" s="10" t="str">
        <f>INDEX(Master_Sales!$C$1:$C$9,MATCH(Lembar_Kerja_Analisis!B549,Master_Sales!$A$1:$A$9,0))</f>
        <v>Semarang</v>
      </c>
      <c r="H549" s="10" t="str">
        <f>VLOOKUP(A549,Master_Produk!$A$1:$E$16,2,FALSE)</f>
        <v>Susu UHT Full Cream 1L</v>
      </c>
      <c r="I549" s="10" t="str">
        <f>INDEX(Master_Produk!$C$1:$C$16,MATCH(Lembar_Kerja_Analisis!A549,Master_Produk!$A$1:$A$16,0))</f>
        <v>F&amp;B</v>
      </c>
      <c r="J549" s="19">
        <f>_xlfn.XLOOKUP(A549,Master_Produk!$A$1:$A$16,Master_Produk!$D$1:$D$16,,0)</f>
        <v>22000</v>
      </c>
      <c r="K549" s="19">
        <f>INDEX(Master_Produk!$E$1:$E$16,MATCH(Lembar_Kerja_Analisis!A549,Master_Produk!$A$1:$A$16,0))</f>
        <v>18000</v>
      </c>
      <c r="L549" s="8">
        <v>14</v>
      </c>
      <c r="M549" s="19">
        <f t="shared" si="40"/>
        <v>308000</v>
      </c>
      <c r="N549" s="9">
        <v>0.05</v>
      </c>
      <c r="O549" s="19">
        <f t="shared" si="41"/>
        <v>15400</v>
      </c>
      <c r="P549" s="19">
        <f t="shared" si="42"/>
        <v>292600</v>
      </c>
      <c r="Q549" s="19">
        <f t="shared" si="43"/>
        <v>252000</v>
      </c>
      <c r="R549" s="19">
        <f t="shared" si="44"/>
        <v>40600</v>
      </c>
    </row>
    <row r="550" spans="1:18" x14ac:dyDescent="0.25">
      <c r="A550" t="str">
        <f>_xlfn.XLOOKUP(C550,Raw_Data_Transaksi!$A$1:$A$1001,Raw_Data_Transaksi!$D$1:$D$1001,,0)</f>
        <v>PRD-102</v>
      </c>
      <c r="B550" t="str">
        <f>_xlfn.XLOOKUP(C550,Raw_Data_Transaksi!$A$1:$A$1001,Raw_Data_Transaksi!$C$1:$C$1001,,0)</f>
        <v>SLS-06</v>
      </c>
      <c r="C550" s="6" t="s">
        <v>634</v>
      </c>
      <c r="D550" s="7">
        <v>46021</v>
      </c>
      <c r="E550" s="10" t="str">
        <f>VLOOKUP(B550,Master_Sales!$A$1:$D$9,2,FALSE)</f>
        <v>Fajar Nugraha</v>
      </c>
      <c r="F550" s="10" t="str">
        <f>INDEX(Master_Sales!$D$1:$D$9,MATCH(Lembar_Kerja_Analisis!B550,Master_Sales!$A$1:$A$9,0))</f>
        <v>Timur</v>
      </c>
      <c r="G550" s="10" t="str">
        <f>INDEX(Master_Sales!$C$1:$C$9,MATCH(Lembar_Kerja_Analisis!B550,Master_Sales!$A$1:$A$9,0))</f>
        <v>Makassar</v>
      </c>
      <c r="H550" s="10" t="str">
        <f>VLOOKUP(A550,Master_Produk!$A$1:$E$16,2,FALSE)</f>
        <v>Wireless Mouse Ergonomic</v>
      </c>
      <c r="I550" s="10" t="str">
        <f>INDEX(Master_Produk!$C$1:$C$16,MATCH(Lembar_Kerja_Analisis!A550,Master_Produk!$A$1:$A$16,0))</f>
        <v>Elektronik</v>
      </c>
      <c r="J550" s="19">
        <f>_xlfn.XLOOKUP(A550,Master_Produk!$A$1:$A$16,Master_Produk!$D$1:$D$16,,0)</f>
        <v>250000</v>
      </c>
      <c r="K550" s="19">
        <f>INDEX(Master_Produk!$E$1:$E$16,MATCH(Lembar_Kerja_Analisis!A550,Master_Produk!$A$1:$A$16,0))</f>
        <v>160000</v>
      </c>
      <c r="L550" s="8">
        <v>9</v>
      </c>
      <c r="M550" s="19">
        <f t="shared" si="40"/>
        <v>2250000</v>
      </c>
      <c r="N550" s="9">
        <v>0.15</v>
      </c>
      <c r="O550" s="19">
        <f t="shared" si="41"/>
        <v>337500</v>
      </c>
      <c r="P550" s="19">
        <f t="shared" si="42"/>
        <v>1912500</v>
      </c>
      <c r="Q550" s="19">
        <f t="shared" si="43"/>
        <v>1440000</v>
      </c>
      <c r="R550" s="19">
        <f t="shared" si="44"/>
        <v>472500</v>
      </c>
    </row>
    <row r="551" spans="1:18" x14ac:dyDescent="0.25">
      <c r="A551" t="str">
        <f>_xlfn.XLOOKUP(C551,Raw_Data_Transaksi!$A$1:$A$1001,Raw_Data_Transaksi!$D$1:$D$1001,,0)</f>
        <v>PRD-113</v>
      </c>
      <c r="B551" t="str">
        <f>_xlfn.XLOOKUP(C551,Raw_Data_Transaksi!$A$1:$A$1001,Raw_Data_Transaksi!$C$1:$C$1001,,0)</f>
        <v>SLS-01</v>
      </c>
      <c r="C551" s="6" t="s">
        <v>635</v>
      </c>
      <c r="D551" s="7">
        <v>45874</v>
      </c>
      <c r="E551" s="10" t="str">
        <f>VLOOKUP(B551,Master_Sales!$A$1:$D$9,2,FALSE)</f>
        <v>Andi Pratama</v>
      </c>
      <c r="F551" s="10" t="str">
        <f>INDEX(Master_Sales!$D$1:$D$9,MATCH(Lembar_Kerja_Analisis!B551,Master_Sales!$A$1:$A$9,0))</f>
        <v>Barat</v>
      </c>
      <c r="G551" s="10" t="str">
        <f>INDEX(Master_Sales!$C$1:$C$9,MATCH(Lembar_Kerja_Analisis!B551,Master_Sales!$A$1:$A$9,0))</f>
        <v>Jakarta</v>
      </c>
      <c r="H551" s="10" t="str">
        <f>VLOOKUP(A551,Master_Produk!$A$1:$E$16,2,FALSE)</f>
        <v>Wajan Anti Lengket 28cm</v>
      </c>
      <c r="I551" s="10" t="str">
        <f>INDEX(Master_Produk!$C$1:$C$16,MATCH(Lembar_Kerja_Analisis!A551,Master_Produk!$A$1:$A$16,0))</f>
        <v>Peralatan Rumah</v>
      </c>
      <c r="J551" s="19">
        <f>_xlfn.XLOOKUP(A551,Master_Produk!$A$1:$A$16,Master_Produk!$D$1:$D$16,,0)</f>
        <v>210000</v>
      </c>
      <c r="K551" s="19">
        <f>INDEX(Master_Produk!$E$1:$E$16,MATCH(Lembar_Kerja_Analisis!A551,Master_Produk!$A$1:$A$16,0))</f>
        <v>140000</v>
      </c>
      <c r="L551" s="8">
        <v>9</v>
      </c>
      <c r="M551" s="19">
        <f t="shared" si="40"/>
        <v>1890000</v>
      </c>
      <c r="N551" s="9">
        <v>0</v>
      </c>
      <c r="O551" s="19">
        <f t="shared" si="41"/>
        <v>0</v>
      </c>
      <c r="P551" s="19">
        <f t="shared" si="42"/>
        <v>1890000</v>
      </c>
      <c r="Q551" s="19">
        <f t="shared" si="43"/>
        <v>1260000</v>
      </c>
      <c r="R551" s="19">
        <f t="shared" si="44"/>
        <v>630000</v>
      </c>
    </row>
    <row r="552" spans="1:18" x14ac:dyDescent="0.25">
      <c r="A552" t="str">
        <f>_xlfn.XLOOKUP(C552,Raw_Data_Transaksi!$A$1:$A$1001,Raw_Data_Transaksi!$D$1:$D$1001,,0)</f>
        <v>PRD-111</v>
      </c>
      <c r="B552" t="str">
        <f>_xlfn.XLOOKUP(C552,Raw_Data_Transaksi!$A$1:$A$1001,Raw_Data_Transaksi!$C$1:$C$1001,,0)</f>
        <v>SLS-01</v>
      </c>
      <c r="C552" s="6" t="s">
        <v>636</v>
      </c>
      <c r="D552" s="7">
        <v>45685</v>
      </c>
      <c r="E552" s="10" t="str">
        <f>VLOOKUP(B552,Master_Sales!$A$1:$D$9,2,FALSE)</f>
        <v>Andi Pratama</v>
      </c>
      <c r="F552" s="10" t="str">
        <f>INDEX(Master_Sales!$D$1:$D$9,MATCH(Lembar_Kerja_Analisis!B552,Master_Sales!$A$1:$A$9,0))</f>
        <v>Barat</v>
      </c>
      <c r="G552" s="10" t="str">
        <f>INDEX(Master_Sales!$C$1:$C$9,MATCH(Lembar_Kerja_Analisis!B552,Master_Sales!$A$1:$A$9,0))</f>
        <v>Jakarta</v>
      </c>
      <c r="H552" s="10" t="str">
        <f>VLOOKUP(A552,Master_Produk!$A$1:$E$16,2,FALSE)</f>
        <v>Beras Premium 5kg</v>
      </c>
      <c r="I552" s="10" t="str">
        <f>INDEX(Master_Produk!$C$1:$C$16,MATCH(Lembar_Kerja_Analisis!A552,Master_Produk!$A$1:$A$16,0))</f>
        <v>F&amp;B</v>
      </c>
      <c r="J552" s="19">
        <f>_xlfn.XLOOKUP(A552,Master_Produk!$A$1:$A$16,Master_Produk!$D$1:$D$16,,0)</f>
        <v>74000</v>
      </c>
      <c r="K552" s="19">
        <f>INDEX(Master_Produk!$E$1:$E$16,MATCH(Lembar_Kerja_Analisis!A552,Master_Produk!$A$1:$A$16,0))</f>
        <v>65000</v>
      </c>
      <c r="L552" s="8">
        <v>11</v>
      </c>
      <c r="M552" s="19">
        <f t="shared" si="40"/>
        <v>814000</v>
      </c>
      <c r="N552" s="9">
        <v>0.05</v>
      </c>
      <c r="O552" s="19">
        <f t="shared" si="41"/>
        <v>40700</v>
      </c>
      <c r="P552" s="19">
        <f t="shared" si="42"/>
        <v>773300</v>
      </c>
      <c r="Q552" s="19">
        <f t="shared" si="43"/>
        <v>715000</v>
      </c>
      <c r="R552" s="19">
        <f t="shared" si="44"/>
        <v>58300</v>
      </c>
    </row>
    <row r="553" spans="1:18" x14ac:dyDescent="0.25">
      <c r="A553" t="str">
        <f>_xlfn.XLOOKUP(C553,Raw_Data_Transaksi!$A$1:$A$1001,Raw_Data_Transaksi!$D$1:$D$1001,,0)</f>
        <v>PRD-114</v>
      </c>
      <c r="B553" t="str">
        <f>_xlfn.XLOOKUP(C553,Raw_Data_Transaksi!$A$1:$A$1001,Raw_Data_Transaksi!$C$1:$C$1001,,0)</f>
        <v>SLS-01</v>
      </c>
      <c r="C553" s="6" t="s">
        <v>637</v>
      </c>
      <c r="D553" s="7">
        <v>45732</v>
      </c>
      <c r="E553" s="10" t="str">
        <f>VLOOKUP(B553,Master_Sales!$A$1:$D$9,2,FALSE)</f>
        <v>Andi Pratama</v>
      </c>
      <c r="F553" s="10" t="str">
        <f>INDEX(Master_Sales!$D$1:$D$9,MATCH(Lembar_Kerja_Analisis!B553,Master_Sales!$A$1:$A$9,0))</f>
        <v>Barat</v>
      </c>
      <c r="G553" s="10" t="str">
        <f>INDEX(Master_Sales!$C$1:$C$9,MATCH(Lembar_Kerja_Analisis!B553,Master_Sales!$A$1:$A$9,0))</f>
        <v>Jakarta</v>
      </c>
      <c r="H553" s="10" t="str">
        <f>VLOOKUP(A553,Master_Produk!$A$1:$E$16,2,FALSE)</f>
        <v>Blender Multifungsi 2-in-1</v>
      </c>
      <c r="I553" s="10" t="str">
        <f>INDEX(Master_Produk!$C$1:$C$16,MATCH(Lembar_Kerja_Analisis!A553,Master_Produk!$A$1:$A$16,0))</f>
        <v>Peralatan Rumah</v>
      </c>
      <c r="J553" s="19">
        <f>_xlfn.XLOOKUP(A553,Master_Produk!$A$1:$A$16,Master_Produk!$D$1:$D$16,,0)</f>
        <v>340000</v>
      </c>
      <c r="K553" s="19">
        <f>INDEX(Master_Produk!$E$1:$E$16,MATCH(Lembar_Kerja_Analisis!A553,Master_Produk!$A$1:$A$16,0))</f>
        <v>240000</v>
      </c>
      <c r="L553" s="8">
        <v>12</v>
      </c>
      <c r="M553" s="19">
        <f t="shared" si="40"/>
        <v>4080000</v>
      </c>
      <c r="N553" s="9">
        <v>0.1</v>
      </c>
      <c r="O553" s="19">
        <f t="shared" si="41"/>
        <v>408000</v>
      </c>
      <c r="P553" s="19">
        <f t="shared" si="42"/>
        <v>3672000</v>
      </c>
      <c r="Q553" s="19">
        <f t="shared" si="43"/>
        <v>2880000</v>
      </c>
      <c r="R553" s="19">
        <f t="shared" si="44"/>
        <v>792000</v>
      </c>
    </row>
    <row r="554" spans="1:18" x14ac:dyDescent="0.25">
      <c r="A554" t="str">
        <f>_xlfn.XLOOKUP(C554,Raw_Data_Transaksi!$A$1:$A$1001,Raw_Data_Transaksi!$D$1:$D$1001,,0)</f>
        <v>PRD-114</v>
      </c>
      <c r="B554" t="str">
        <f>_xlfn.XLOOKUP(C554,Raw_Data_Transaksi!$A$1:$A$1001,Raw_Data_Transaksi!$C$1:$C$1001,,0)</f>
        <v>SLS-08</v>
      </c>
      <c r="C554" s="6" t="s">
        <v>638</v>
      </c>
      <c r="D554" s="7">
        <v>45841</v>
      </c>
      <c r="E554" s="10" t="str">
        <f>VLOOKUP(B554,Master_Sales!$A$1:$D$9,2,FALSE)</f>
        <v>Hendra Wijaya</v>
      </c>
      <c r="F554" s="10" t="str">
        <f>INDEX(Master_Sales!$D$1:$D$9,MATCH(Lembar_Kerja_Analisis!B554,Master_Sales!$A$1:$A$9,0))</f>
        <v>Tengah</v>
      </c>
      <c r="G554" s="10" t="str">
        <f>INDEX(Master_Sales!$C$1:$C$9,MATCH(Lembar_Kerja_Analisis!B554,Master_Sales!$A$1:$A$9,0))</f>
        <v>Yogyakarta</v>
      </c>
      <c r="H554" s="10" t="str">
        <f>VLOOKUP(A554,Master_Produk!$A$1:$E$16,2,FALSE)</f>
        <v>Blender Multifungsi 2-in-1</v>
      </c>
      <c r="I554" s="10" t="str">
        <f>INDEX(Master_Produk!$C$1:$C$16,MATCH(Lembar_Kerja_Analisis!A554,Master_Produk!$A$1:$A$16,0))</f>
        <v>Peralatan Rumah</v>
      </c>
      <c r="J554" s="19">
        <f>_xlfn.XLOOKUP(A554,Master_Produk!$A$1:$A$16,Master_Produk!$D$1:$D$16,,0)</f>
        <v>340000</v>
      </c>
      <c r="K554" s="19">
        <f>INDEX(Master_Produk!$E$1:$E$16,MATCH(Lembar_Kerja_Analisis!A554,Master_Produk!$A$1:$A$16,0))</f>
        <v>240000</v>
      </c>
      <c r="L554" s="8">
        <v>2</v>
      </c>
      <c r="M554" s="19">
        <f t="shared" si="40"/>
        <v>680000</v>
      </c>
      <c r="N554" s="9">
        <v>0.2</v>
      </c>
      <c r="O554" s="19">
        <f t="shared" si="41"/>
        <v>136000</v>
      </c>
      <c r="P554" s="19">
        <f t="shared" si="42"/>
        <v>544000</v>
      </c>
      <c r="Q554" s="19">
        <f t="shared" si="43"/>
        <v>480000</v>
      </c>
      <c r="R554" s="19">
        <f t="shared" si="44"/>
        <v>64000</v>
      </c>
    </row>
    <row r="555" spans="1:18" x14ac:dyDescent="0.25">
      <c r="A555" t="str">
        <f>_xlfn.XLOOKUP(C555,Raw_Data_Transaksi!$A$1:$A$1001,Raw_Data_Transaksi!$D$1:$D$1001,,0)</f>
        <v>PRD-109</v>
      </c>
      <c r="B555" t="str">
        <f>_xlfn.XLOOKUP(C555,Raw_Data_Transaksi!$A$1:$A$1001,Raw_Data_Transaksi!$C$1:$C$1001,,0)</f>
        <v>SLS-05</v>
      </c>
      <c r="C555" s="6" t="s">
        <v>639</v>
      </c>
      <c r="D555" s="7">
        <v>45779</v>
      </c>
      <c r="E555" s="10" t="str">
        <f>VLOOKUP(B555,Master_Sales!$A$1:$D$9,2,FALSE)</f>
        <v>Eko Prasetyo</v>
      </c>
      <c r="F555" s="10" t="str">
        <f>INDEX(Master_Sales!$D$1:$D$9,MATCH(Lembar_Kerja_Analisis!B555,Master_Sales!$A$1:$A$9,0))</f>
        <v>Tengah</v>
      </c>
      <c r="G555" s="10" t="str">
        <f>INDEX(Master_Sales!$C$1:$C$9,MATCH(Lembar_Kerja_Analisis!B555,Master_Sales!$A$1:$A$9,0))</f>
        <v>Semarang</v>
      </c>
      <c r="H555" s="10" t="str">
        <f>VLOOKUP(A555,Master_Produk!$A$1:$E$16,2,FALSE)</f>
        <v>Kopi Arabika Gayo 250g</v>
      </c>
      <c r="I555" s="10" t="str">
        <f>INDEX(Master_Produk!$C$1:$C$16,MATCH(Lembar_Kerja_Analisis!A555,Master_Produk!$A$1:$A$16,0))</f>
        <v>F&amp;B</v>
      </c>
      <c r="J555" s="19">
        <f>_xlfn.XLOOKUP(A555,Master_Produk!$A$1:$A$16,Master_Produk!$D$1:$D$16,,0)</f>
        <v>85000</v>
      </c>
      <c r="K555" s="19">
        <f>INDEX(Master_Produk!$E$1:$E$16,MATCH(Lembar_Kerja_Analisis!A555,Master_Produk!$A$1:$A$16,0))</f>
        <v>55000</v>
      </c>
      <c r="L555" s="8">
        <v>24</v>
      </c>
      <c r="M555" s="19">
        <f t="shared" si="40"/>
        <v>2040000</v>
      </c>
      <c r="N555" s="9">
        <v>0</v>
      </c>
      <c r="O555" s="19">
        <f t="shared" si="41"/>
        <v>0</v>
      </c>
      <c r="P555" s="19">
        <f t="shared" si="42"/>
        <v>2040000</v>
      </c>
      <c r="Q555" s="19">
        <f t="shared" si="43"/>
        <v>1320000</v>
      </c>
      <c r="R555" s="19">
        <f t="shared" si="44"/>
        <v>720000</v>
      </c>
    </row>
    <row r="556" spans="1:18" x14ac:dyDescent="0.25">
      <c r="A556" t="str">
        <f>_xlfn.XLOOKUP(C556,Raw_Data_Transaksi!$A$1:$A$1001,Raw_Data_Transaksi!$D$1:$D$1001,,0)</f>
        <v>PRD-106</v>
      </c>
      <c r="B556" t="str">
        <f>_xlfn.XLOOKUP(C556,Raw_Data_Transaksi!$A$1:$A$1001,Raw_Data_Transaksi!$C$1:$C$1001,,0)</f>
        <v>SLS-01</v>
      </c>
      <c r="C556" s="6" t="s">
        <v>640</v>
      </c>
      <c r="D556" s="7">
        <v>46008</v>
      </c>
      <c r="E556" s="10" t="str">
        <f>VLOOKUP(B556,Master_Sales!$A$1:$D$9,2,FALSE)</f>
        <v>Andi Pratama</v>
      </c>
      <c r="F556" s="10" t="str">
        <f>INDEX(Master_Sales!$D$1:$D$9,MATCH(Lembar_Kerja_Analisis!B556,Master_Sales!$A$1:$A$9,0))</f>
        <v>Barat</v>
      </c>
      <c r="G556" s="10" t="str">
        <f>INDEX(Master_Sales!$C$1:$C$9,MATCH(Lembar_Kerja_Analisis!B556,Master_Sales!$A$1:$A$9,0))</f>
        <v>Jakarta</v>
      </c>
      <c r="H556" s="10" t="str">
        <f>VLOOKUP(A556,Master_Produk!$A$1:$E$16,2,FALSE)</f>
        <v>Celana Chino Slim Fit</v>
      </c>
      <c r="I556" s="10" t="str">
        <f>INDEX(Master_Produk!$C$1:$C$16,MATCH(Lembar_Kerja_Analisis!A556,Master_Produk!$A$1:$A$16,0))</f>
        <v>Fashion</v>
      </c>
      <c r="J556" s="19">
        <f>_xlfn.XLOOKUP(A556,Master_Produk!$A$1:$A$16,Master_Produk!$D$1:$D$16,,0)</f>
        <v>280000</v>
      </c>
      <c r="K556" s="19">
        <f>INDEX(Master_Produk!$E$1:$E$16,MATCH(Lembar_Kerja_Analisis!A556,Master_Produk!$A$1:$A$16,0))</f>
        <v>175000</v>
      </c>
      <c r="L556" s="8">
        <v>1</v>
      </c>
      <c r="M556" s="19">
        <f t="shared" si="40"/>
        <v>280000</v>
      </c>
      <c r="N556" s="9">
        <v>0.1</v>
      </c>
      <c r="O556" s="19">
        <f t="shared" si="41"/>
        <v>28000</v>
      </c>
      <c r="P556" s="19">
        <f t="shared" si="42"/>
        <v>252000</v>
      </c>
      <c r="Q556" s="19">
        <f t="shared" si="43"/>
        <v>175000</v>
      </c>
      <c r="R556" s="19">
        <f t="shared" si="44"/>
        <v>77000</v>
      </c>
    </row>
    <row r="557" spans="1:18" x14ac:dyDescent="0.25">
      <c r="A557" t="str">
        <f>_xlfn.XLOOKUP(C557,Raw_Data_Transaksi!$A$1:$A$1001,Raw_Data_Transaksi!$D$1:$D$1001,,0)</f>
        <v>PRD-115</v>
      </c>
      <c r="B557" t="str">
        <f>_xlfn.XLOOKUP(C557,Raw_Data_Transaksi!$A$1:$A$1001,Raw_Data_Transaksi!$C$1:$C$1001,,0)</f>
        <v>SLS-06</v>
      </c>
      <c r="C557" s="6" t="s">
        <v>641</v>
      </c>
      <c r="D557" s="7">
        <v>45773</v>
      </c>
      <c r="E557" s="10" t="str">
        <f>VLOOKUP(B557,Master_Sales!$A$1:$D$9,2,FALSE)</f>
        <v>Fajar Nugraha</v>
      </c>
      <c r="F557" s="10" t="str">
        <f>INDEX(Master_Sales!$D$1:$D$9,MATCH(Lembar_Kerja_Analisis!B557,Master_Sales!$A$1:$A$9,0))</f>
        <v>Timur</v>
      </c>
      <c r="G557" s="10" t="str">
        <f>INDEX(Master_Sales!$C$1:$C$9,MATCH(Lembar_Kerja_Analisis!B557,Master_Sales!$A$1:$A$9,0))</f>
        <v>Makassar</v>
      </c>
      <c r="H557" s="10" t="str">
        <f>VLOOKUP(A557,Master_Produk!$A$1:$E$16,2,FALSE)</f>
        <v>Set Pisau Dapur Stainless</v>
      </c>
      <c r="I557" s="10" t="str">
        <f>INDEX(Master_Produk!$C$1:$C$16,MATCH(Lembar_Kerja_Analisis!A557,Master_Produk!$A$1:$A$16,0))</f>
        <v>Peralatan Rumah</v>
      </c>
      <c r="J557" s="19">
        <f>_xlfn.XLOOKUP(A557,Master_Produk!$A$1:$A$16,Master_Produk!$D$1:$D$16,,0)</f>
        <v>165000</v>
      </c>
      <c r="K557" s="19">
        <f>INDEX(Master_Produk!$E$1:$E$16,MATCH(Lembar_Kerja_Analisis!A557,Master_Produk!$A$1:$A$16,0))</f>
        <v>105000</v>
      </c>
      <c r="L557" s="8">
        <v>10</v>
      </c>
      <c r="M557" s="19">
        <f t="shared" si="40"/>
        <v>1650000</v>
      </c>
      <c r="N557" s="9">
        <v>0.2</v>
      </c>
      <c r="O557" s="19">
        <f t="shared" si="41"/>
        <v>330000</v>
      </c>
      <c r="P557" s="19">
        <f t="shared" si="42"/>
        <v>1320000</v>
      </c>
      <c r="Q557" s="19">
        <f t="shared" si="43"/>
        <v>1050000</v>
      </c>
      <c r="R557" s="19">
        <f t="shared" si="44"/>
        <v>270000</v>
      </c>
    </row>
    <row r="558" spans="1:18" x14ac:dyDescent="0.25">
      <c r="A558" t="str">
        <f>_xlfn.XLOOKUP(C558,Raw_Data_Transaksi!$A$1:$A$1001,Raw_Data_Transaksi!$D$1:$D$1001,,0)</f>
        <v>PRD-108</v>
      </c>
      <c r="B558" t="str">
        <f>_xlfn.XLOOKUP(C558,Raw_Data_Transaksi!$A$1:$A$1001,Raw_Data_Transaksi!$C$1:$C$1001,,0)</f>
        <v>SLS-03</v>
      </c>
      <c r="C558" s="6" t="s">
        <v>642</v>
      </c>
      <c r="D558" s="7">
        <v>45808</v>
      </c>
      <c r="E558" s="10" t="str">
        <f>VLOOKUP(B558,Master_Sales!$A$1:$D$9,2,FALSE)</f>
        <v>Citra Lestari</v>
      </c>
      <c r="F558" s="10" t="str">
        <f>INDEX(Master_Sales!$D$1:$D$9,MATCH(Lembar_Kerja_Analisis!B558,Master_Sales!$A$1:$A$9,0))</f>
        <v>Barat</v>
      </c>
      <c r="G558" s="10" t="str">
        <f>INDEX(Master_Sales!$C$1:$C$9,MATCH(Lembar_Kerja_Analisis!B558,Master_Sales!$A$1:$A$9,0))</f>
        <v>Bandung</v>
      </c>
      <c r="H558" s="10" t="str">
        <f>VLOOKUP(A558,Master_Produk!$A$1:$E$16,2,FALSE)</f>
        <v>Sepatu Sneakers Pria/Wanita</v>
      </c>
      <c r="I558" s="10" t="str">
        <f>INDEX(Master_Produk!$C$1:$C$16,MATCH(Lembar_Kerja_Analisis!A558,Master_Produk!$A$1:$A$16,0))</f>
        <v>Fashion</v>
      </c>
      <c r="J558" s="19">
        <f>_xlfn.XLOOKUP(A558,Master_Produk!$A$1:$A$16,Master_Produk!$D$1:$D$16,,0)</f>
        <v>450000</v>
      </c>
      <c r="K558" s="19">
        <f>INDEX(Master_Produk!$E$1:$E$16,MATCH(Lembar_Kerja_Analisis!A558,Master_Produk!$A$1:$A$16,0))</f>
        <v>290000</v>
      </c>
      <c r="L558" s="8">
        <v>11</v>
      </c>
      <c r="M558" s="19">
        <f t="shared" si="40"/>
        <v>4950000</v>
      </c>
      <c r="N558" s="9">
        <v>0</v>
      </c>
      <c r="O558" s="19">
        <f t="shared" si="41"/>
        <v>0</v>
      </c>
      <c r="P558" s="19">
        <f t="shared" si="42"/>
        <v>4950000</v>
      </c>
      <c r="Q558" s="19">
        <f t="shared" si="43"/>
        <v>3190000</v>
      </c>
      <c r="R558" s="19">
        <f t="shared" si="44"/>
        <v>1760000</v>
      </c>
    </row>
    <row r="559" spans="1:18" x14ac:dyDescent="0.25">
      <c r="A559" t="str">
        <f>_xlfn.XLOOKUP(C559,Raw_Data_Transaksi!$A$1:$A$1001,Raw_Data_Transaksi!$D$1:$D$1001,,0)</f>
        <v>PRD-101</v>
      </c>
      <c r="B559" t="str">
        <f>_xlfn.XLOOKUP(C559,Raw_Data_Transaksi!$A$1:$A$1001,Raw_Data_Transaksi!$C$1:$C$1001,,0)</f>
        <v>SLS-07</v>
      </c>
      <c r="C559" s="6" t="s">
        <v>643</v>
      </c>
      <c r="D559" s="7">
        <v>45851</v>
      </c>
      <c r="E559" s="10" t="str">
        <f>VLOOKUP(B559,Master_Sales!$A$1:$D$9,2,FALSE)</f>
        <v>Gita Permata</v>
      </c>
      <c r="F559" s="10" t="str">
        <f>INDEX(Master_Sales!$D$1:$D$9,MATCH(Lembar_Kerja_Analisis!B559,Master_Sales!$A$1:$A$9,0))</f>
        <v>Tengah</v>
      </c>
      <c r="G559" s="10" t="str">
        <f>INDEX(Master_Sales!$C$1:$C$9,MATCH(Lembar_Kerja_Analisis!B559,Master_Sales!$A$1:$A$9,0))</f>
        <v>Denpasar</v>
      </c>
      <c r="H559" s="10" t="str">
        <f>VLOOKUP(A559,Master_Produk!$A$1:$E$16,2,FALSE)</f>
        <v>Laptop Ultrabook 14"</v>
      </c>
      <c r="I559" s="10" t="str">
        <f>INDEX(Master_Produk!$C$1:$C$16,MATCH(Lembar_Kerja_Analisis!A559,Master_Produk!$A$1:$A$16,0))</f>
        <v>Elektronik</v>
      </c>
      <c r="J559" s="19">
        <f>_xlfn.XLOOKUP(A559,Master_Produk!$A$1:$A$16,Master_Produk!$D$1:$D$16,,0)</f>
        <v>8500000</v>
      </c>
      <c r="K559" s="19">
        <f>INDEX(Master_Produk!$E$1:$E$16,MATCH(Lembar_Kerja_Analisis!A559,Master_Produk!$A$1:$A$16,0))</f>
        <v>7200000</v>
      </c>
      <c r="L559" s="8">
        <v>5</v>
      </c>
      <c r="M559" s="19">
        <f t="shared" si="40"/>
        <v>42500000</v>
      </c>
      <c r="N559" s="9">
        <v>0.2</v>
      </c>
      <c r="O559" s="19">
        <f t="shared" si="41"/>
        <v>8500000</v>
      </c>
      <c r="P559" s="19">
        <f t="shared" si="42"/>
        <v>34000000</v>
      </c>
      <c r="Q559" s="19">
        <f t="shared" si="43"/>
        <v>36000000</v>
      </c>
      <c r="R559" s="19">
        <f t="shared" si="44"/>
        <v>-2000000</v>
      </c>
    </row>
    <row r="560" spans="1:18" x14ac:dyDescent="0.25">
      <c r="A560" t="str">
        <f>_xlfn.XLOOKUP(C560,Raw_Data_Transaksi!$A$1:$A$1001,Raw_Data_Transaksi!$D$1:$D$1001,,0)</f>
        <v>PRD-114</v>
      </c>
      <c r="B560" t="str">
        <f>_xlfn.XLOOKUP(C560,Raw_Data_Transaksi!$A$1:$A$1001,Raw_Data_Transaksi!$C$1:$C$1001,,0)</f>
        <v>SLS-05</v>
      </c>
      <c r="C560" s="6" t="s">
        <v>644</v>
      </c>
      <c r="D560" s="7">
        <v>45957</v>
      </c>
      <c r="E560" s="10" t="str">
        <f>VLOOKUP(B560,Master_Sales!$A$1:$D$9,2,FALSE)</f>
        <v>Eko Prasetyo</v>
      </c>
      <c r="F560" s="10" t="str">
        <f>INDEX(Master_Sales!$D$1:$D$9,MATCH(Lembar_Kerja_Analisis!B560,Master_Sales!$A$1:$A$9,0))</f>
        <v>Tengah</v>
      </c>
      <c r="G560" s="10" t="str">
        <f>INDEX(Master_Sales!$C$1:$C$9,MATCH(Lembar_Kerja_Analisis!B560,Master_Sales!$A$1:$A$9,0))</f>
        <v>Semarang</v>
      </c>
      <c r="H560" s="10" t="str">
        <f>VLOOKUP(A560,Master_Produk!$A$1:$E$16,2,FALSE)</f>
        <v>Blender Multifungsi 2-in-1</v>
      </c>
      <c r="I560" s="10" t="str">
        <f>INDEX(Master_Produk!$C$1:$C$16,MATCH(Lembar_Kerja_Analisis!A560,Master_Produk!$A$1:$A$16,0))</f>
        <v>Peralatan Rumah</v>
      </c>
      <c r="J560" s="19">
        <f>_xlfn.XLOOKUP(A560,Master_Produk!$A$1:$A$16,Master_Produk!$D$1:$D$16,,0)</f>
        <v>340000</v>
      </c>
      <c r="K560" s="19">
        <f>INDEX(Master_Produk!$E$1:$E$16,MATCH(Lembar_Kerja_Analisis!A560,Master_Produk!$A$1:$A$16,0))</f>
        <v>240000</v>
      </c>
      <c r="L560" s="8">
        <v>1</v>
      </c>
      <c r="M560" s="19">
        <f t="shared" si="40"/>
        <v>340000</v>
      </c>
      <c r="N560" s="9">
        <v>0.1</v>
      </c>
      <c r="O560" s="19">
        <f t="shared" si="41"/>
        <v>34000</v>
      </c>
      <c r="P560" s="19">
        <f t="shared" si="42"/>
        <v>306000</v>
      </c>
      <c r="Q560" s="19">
        <f t="shared" si="43"/>
        <v>240000</v>
      </c>
      <c r="R560" s="19">
        <f t="shared" si="44"/>
        <v>66000</v>
      </c>
    </row>
    <row r="561" spans="1:18" x14ac:dyDescent="0.25">
      <c r="A561" t="str">
        <f>_xlfn.XLOOKUP(C561,Raw_Data_Transaksi!$A$1:$A$1001,Raw_Data_Transaksi!$D$1:$D$1001,,0)</f>
        <v>PRD-103</v>
      </c>
      <c r="B561" t="str">
        <f>_xlfn.XLOOKUP(C561,Raw_Data_Transaksi!$A$1:$A$1001,Raw_Data_Transaksi!$C$1:$C$1001,,0)</f>
        <v>SLS-06</v>
      </c>
      <c r="C561" s="6" t="s">
        <v>645</v>
      </c>
      <c r="D561" s="7">
        <v>45678</v>
      </c>
      <c r="E561" s="10" t="str">
        <f>VLOOKUP(B561,Master_Sales!$A$1:$D$9,2,FALSE)</f>
        <v>Fajar Nugraha</v>
      </c>
      <c r="F561" s="10" t="str">
        <f>INDEX(Master_Sales!$D$1:$D$9,MATCH(Lembar_Kerja_Analisis!B561,Master_Sales!$A$1:$A$9,0))</f>
        <v>Timur</v>
      </c>
      <c r="G561" s="10" t="str">
        <f>INDEX(Master_Sales!$C$1:$C$9,MATCH(Lembar_Kerja_Analisis!B561,Master_Sales!$A$1:$A$9,0))</f>
        <v>Makassar</v>
      </c>
      <c r="H561" s="10" t="str">
        <f>VLOOKUP(A561,Master_Produk!$A$1:$E$16,2,FALSE)</f>
        <v>Mechanical Keyboard RGB</v>
      </c>
      <c r="I561" s="10" t="str">
        <f>INDEX(Master_Produk!$C$1:$C$16,MATCH(Lembar_Kerja_Analisis!A561,Master_Produk!$A$1:$A$16,0))</f>
        <v>Elektronik</v>
      </c>
      <c r="J561" s="19">
        <f>_xlfn.XLOOKUP(A561,Master_Produk!$A$1:$A$16,Master_Produk!$D$1:$D$16,,0)</f>
        <v>750000</v>
      </c>
      <c r="K561" s="19">
        <f>INDEX(Master_Produk!$E$1:$E$16,MATCH(Lembar_Kerja_Analisis!A561,Master_Produk!$A$1:$A$16,0))</f>
        <v>520000</v>
      </c>
      <c r="L561" s="8">
        <v>10</v>
      </c>
      <c r="M561" s="19">
        <f t="shared" si="40"/>
        <v>7500000</v>
      </c>
      <c r="N561" s="9">
        <v>0</v>
      </c>
      <c r="O561" s="19">
        <f t="shared" si="41"/>
        <v>0</v>
      </c>
      <c r="P561" s="19">
        <f t="shared" si="42"/>
        <v>7500000</v>
      </c>
      <c r="Q561" s="19">
        <f t="shared" si="43"/>
        <v>5200000</v>
      </c>
      <c r="R561" s="19">
        <f t="shared" si="44"/>
        <v>2300000</v>
      </c>
    </row>
    <row r="562" spans="1:18" x14ac:dyDescent="0.25">
      <c r="A562" t="str">
        <f>_xlfn.XLOOKUP(C562,Raw_Data_Transaksi!$A$1:$A$1001,Raw_Data_Transaksi!$D$1:$D$1001,,0)</f>
        <v>PRD-113</v>
      </c>
      <c r="B562" t="str">
        <f>_xlfn.XLOOKUP(C562,Raw_Data_Transaksi!$A$1:$A$1001,Raw_Data_Transaksi!$C$1:$C$1001,,0)</f>
        <v>SLS-06</v>
      </c>
      <c r="C562" s="6" t="s">
        <v>646</v>
      </c>
      <c r="D562" s="7">
        <v>45695</v>
      </c>
      <c r="E562" s="10" t="str">
        <f>VLOOKUP(B562,Master_Sales!$A$1:$D$9,2,FALSE)</f>
        <v>Fajar Nugraha</v>
      </c>
      <c r="F562" s="10" t="str">
        <f>INDEX(Master_Sales!$D$1:$D$9,MATCH(Lembar_Kerja_Analisis!B562,Master_Sales!$A$1:$A$9,0))</f>
        <v>Timur</v>
      </c>
      <c r="G562" s="10" t="str">
        <f>INDEX(Master_Sales!$C$1:$C$9,MATCH(Lembar_Kerja_Analisis!B562,Master_Sales!$A$1:$A$9,0))</f>
        <v>Makassar</v>
      </c>
      <c r="H562" s="10" t="str">
        <f>VLOOKUP(A562,Master_Produk!$A$1:$E$16,2,FALSE)</f>
        <v>Wajan Anti Lengket 28cm</v>
      </c>
      <c r="I562" s="10" t="str">
        <f>INDEX(Master_Produk!$C$1:$C$16,MATCH(Lembar_Kerja_Analisis!A562,Master_Produk!$A$1:$A$16,0))</f>
        <v>Peralatan Rumah</v>
      </c>
      <c r="J562" s="19">
        <f>_xlfn.XLOOKUP(A562,Master_Produk!$A$1:$A$16,Master_Produk!$D$1:$D$16,,0)</f>
        <v>210000</v>
      </c>
      <c r="K562" s="19">
        <f>INDEX(Master_Produk!$E$1:$E$16,MATCH(Lembar_Kerja_Analisis!A562,Master_Produk!$A$1:$A$16,0))</f>
        <v>140000</v>
      </c>
      <c r="L562" s="8">
        <v>9</v>
      </c>
      <c r="M562" s="19">
        <f t="shared" si="40"/>
        <v>1890000</v>
      </c>
      <c r="N562" s="9">
        <v>0.05</v>
      </c>
      <c r="O562" s="19">
        <f t="shared" si="41"/>
        <v>94500</v>
      </c>
      <c r="P562" s="19">
        <f t="shared" si="42"/>
        <v>1795500</v>
      </c>
      <c r="Q562" s="19">
        <f t="shared" si="43"/>
        <v>1260000</v>
      </c>
      <c r="R562" s="19">
        <f t="shared" si="44"/>
        <v>535500</v>
      </c>
    </row>
    <row r="563" spans="1:18" x14ac:dyDescent="0.25">
      <c r="A563" t="str">
        <f>_xlfn.XLOOKUP(C563,Raw_Data_Transaksi!$A$1:$A$1001,Raw_Data_Transaksi!$D$1:$D$1001,,0)</f>
        <v>PRD-103</v>
      </c>
      <c r="B563" t="str">
        <f>_xlfn.XLOOKUP(C563,Raw_Data_Transaksi!$A$1:$A$1001,Raw_Data_Transaksi!$C$1:$C$1001,,0)</f>
        <v>SLS-07</v>
      </c>
      <c r="C563" s="6" t="s">
        <v>647</v>
      </c>
      <c r="D563" s="7">
        <v>45916</v>
      </c>
      <c r="E563" s="10" t="str">
        <f>VLOOKUP(B563,Master_Sales!$A$1:$D$9,2,FALSE)</f>
        <v>Gita Permata</v>
      </c>
      <c r="F563" s="10" t="str">
        <f>INDEX(Master_Sales!$D$1:$D$9,MATCH(Lembar_Kerja_Analisis!B563,Master_Sales!$A$1:$A$9,0))</f>
        <v>Tengah</v>
      </c>
      <c r="G563" s="10" t="str">
        <f>INDEX(Master_Sales!$C$1:$C$9,MATCH(Lembar_Kerja_Analisis!B563,Master_Sales!$A$1:$A$9,0))</f>
        <v>Denpasar</v>
      </c>
      <c r="H563" s="10" t="str">
        <f>VLOOKUP(A563,Master_Produk!$A$1:$E$16,2,FALSE)</f>
        <v>Mechanical Keyboard RGB</v>
      </c>
      <c r="I563" s="10" t="str">
        <f>INDEX(Master_Produk!$C$1:$C$16,MATCH(Lembar_Kerja_Analisis!A563,Master_Produk!$A$1:$A$16,0))</f>
        <v>Elektronik</v>
      </c>
      <c r="J563" s="19">
        <f>_xlfn.XLOOKUP(A563,Master_Produk!$A$1:$A$16,Master_Produk!$D$1:$D$16,,0)</f>
        <v>750000</v>
      </c>
      <c r="K563" s="19">
        <f>INDEX(Master_Produk!$E$1:$E$16,MATCH(Lembar_Kerja_Analisis!A563,Master_Produk!$A$1:$A$16,0))</f>
        <v>520000</v>
      </c>
      <c r="L563" s="8">
        <v>9</v>
      </c>
      <c r="M563" s="19">
        <f t="shared" si="40"/>
        <v>6750000</v>
      </c>
      <c r="N563" s="9">
        <v>0.2</v>
      </c>
      <c r="O563" s="19">
        <f t="shared" si="41"/>
        <v>1350000</v>
      </c>
      <c r="P563" s="19">
        <f t="shared" si="42"/>
        <v>5400000</v>
      </c>
      <c r="Q563" s="19">
        <f t="shared" si="43"/>
        <v>4680000</v>
      </c>
      <c r="R563" s="19">
        <f t="shared" si="44"/>
        <v>720000</v>
      </c>
    </row>
    <row r="564" spans="1:18" x14ac:dyDescent="0.25">
      <c r="A564" t="str">
        <f>_xlfn.XLOOKUP(C564,Raw_Data_Transaksi!$A$1:$A$1001,Raw_Data_Transaksi!$D$1:$D$1001,,0)</f>
        <v>PRD-115</v>
      </c>
      <c r="B564" t="str">
        <f>_xlfn.XLOOKUP(C564,Raw_Data_Transaksi!$A$1:$A$1001,Raw_Data_Transaksi!$C$1:$C$1001,,0)</f>
        <v>SLS-04</v>
      </c>
      <c r="C564" s="6" t="s">
        <v>648</v>
      </c>
      <c r="D564" s="7">
        <v>45771</v>
      </c>
      <c r="E564" s="10" t="str">
        <f>VLOOKUP(B564,Master_Sales!$A$1:$D$9,2,FALSE)</f>
        <v>Dewi Anggraini</v>
      </c>
      <c r="F564" s="10" t="str">
        <f>INDEX(Master_Sales!$D$1:$D$9,MATCH(Lembar_Kerja_Analisis!B564,Master_Sales!$A$1:$A$9,0))</f>
        <v>Barat</v>
      </c>
      <c r="G564" s="10" t="str">
        <f>INDEX(Master_Sales!$C$1:$C$9,MATCH(Lembar_Kerja_Analisis!B564,Master_Sales!$A$1:$A$9,0))</f>
        <v>Medan</v>
      </c>
      <c r="H564" s="10" t="str">
        <f>VLOOKUP(A564,Master_Produk!$A$1:$E$16,2,FALSE)</f>
        <v>Set Pisau Dapur Stainless</v>
      </c>
      <c r="I564" s="10" t="str">
        <f>INDEX(Master_Produk!$C$1:$C$16,MATCH(Lembar_Kerja_Analisis!A564,Master_Produk!$A$1:$A$16,0))</f>
        <v>Peralatan Rumah</v>
      </c>
      <c r="J564" s="19">
        <f>_xlfn.XLOOKUP(A564,Master_Produk!$A$1:$A$16,Master_Produk!$D$1:$D$16,,0)</f>
        <v>165000</v>
      </c>
      <c r="K564" s="19">
        <f>INDEX(Master_Produk!$E$1:$E$16,MATCH(Lembar_Kerja_Analisis!A564,Master_Produk!$A$1:$A$16,0))</f>
        <v>105000</v>
      </c>
      <c r="L564" s="8">
        <v>11</v>
      </c>
      <c r="M564" s="19">
        <f t="shared" si="40"/>
        <v>1815000</v>
      </c>
      <c r="N564" s="9">
        <v>0.1</v>
      </c>
      <c r="O564" s="19">
        <f t="shared" si="41"/>
        <v>181500</v>
      </c>
      <c r="P564" s="19">
        <f t="shared" si="42"/>
        <v>1633500</v>
      </c>
      <c r="Q564" s="19">
        <f t="shared" si="43"/>
        <v>1155000</v>
      </c>
      <c r="R564" s="19">
        <f t="shared" si="44"/>
        <v>478500</v>
      </c>
    </row>
    <row r="565" spans="1:18" x14ac:dyDescent="0.25">
      <c r="A565" t="str">
        <f>_xlfn.XLOOKUP(C565,Raw_Data_Transaksi!$A$1:$A$1001,Raw_Data_Transaksi!$D$1:$D$1001,,0)</f>
        <v>PRD-113</v>
      </c>
      <c r="B565" t="str">
        <f>_xlfn.XLOOKUP(C565,Raw_Data_Transaksi!$A$1:$A$1001,Raw_Data_Transaksi!$C$1:$C$1001,,0)</f>
        <v>SLS-08</v>
      </c>
      <c r="C565" s="6" t="s">
        <v>649</v>
      </c>
      <c r="D565" s="7">
        <v>45769</v>
      </c>
      <c r="E565" s="10" t="str">
        <f>VLOOKUP(B565,Master_Sales!$A$1:$D$9,2,FALSE)</f>
        <v>Hendra Wijaya</v>
      </c>
      <c r="F565" s="10" t="str">
        <f>INDEX(Master_Sales!$D$1:$D$9,MATCH(Lembar_Kerja_Analisis!B565,Master_Sales!$A$1:$A$9,0))</f>
        <v>Tengah</v>
      </c>
      <c r="G565" s="10" t="str">
        <f>INDEX(Master_Sales!$C$1:$C$9,MATCH(Lembar_Kerja_Analisis!B565,Master_Sales!$A$1:$A$9,0))</f>
        <v>Yogyakarta</v>
      </c>
      <c r="H565" s="10" t="str">
        <f>VLOOKUP(A565,Master_Produk!$A$1:$E$16,2,FALSE)</f>
        <v>Wajan Anti Lengket 28cm</v>
      </c>
      <c r="I565" s="10" t="str">
        <f>INDEX(Master_Produk!$C$1:$C$16,MATCH(Lembar_Kerja_Analisis!A565,Master_Produk!$A$1:$A$16,0))</f>
        <v>Peralatan Rumah</v>
      </c>
      <c r="J565" s="19">
        <f>_xlfn.XLOOKUP(A565,Master_Produk!$A$1:$A$16,Master_Produk!$D$1:$D$16,,0)</f>
        <v>210000</v>
      </c>
      <c r="K565" s="19">
        <f>INDEX(Master_Produk!$E$1:$E$16,MATCH(Lembar_Kerja_Analisis!A565,Master_Produk!$A$1:$A$16,0))</f>
        <v>140000</v>
      </c>
      <c r="L565" s="8">
        <v>9</v>
      </c>
      <c r="M565" s="19">
        <f t="shared" si="40"/>
        <v>1890000</v>
      </c>
      <c r="N565" s="9">
        <v>0</v>
      </c>
      <c r="O565" s="19">
        <f t="shared" si="41"/>
        <v>0</v>
      </c>
      <c r="P565" s="19">
        <f t="shared" si="42"/>
        <v>1890000</v>
      </c>
      <c r="Q565" s="19">
        <f t="shared" si="43"/>
        <v>1260000</v>
      </c>
      <c r="R565" s="19">
        <f t="shared" si="44"/>
        <v>630000</v>
      </c>
    </row>
    <row r="566" spans="1:18" x14ac:dyDescent="0.25">
      <c r="A566" t="str">
        <f>_xlfn.XLOOKUP(C566,Raw_Data_Transaksi!$A$1:$A$1001,Raw_Data_Transaksi!$D$1:$D$1001,,0)</f>
        <v>PRD-104</v>
      </c>
      <c r="B566" t="str">
        <f>_xlfn.XLOOKUP(C566,Raw_Data_Transaksi!$A$1:$A$1001,Raw_Data_Transaksi!$C$1:$C$1001,,0)</f>
        <v>SLS-04</v>
      </c>
      <c r="C566" s="6" t="s">
        <v>650</v>
      </c>
      <c r="D566" s="7">
        <v>45886</v>
      </c>
      <c r="E566" s="10" t="str">
        <f>VLOOKUP(B566,Master_Sales!$A$1:$D$9,2,FALSE)</f>
        <v>Dewi Anggraini</v>
      </c>
      <c r="F566" s="10" t="str">
        <f>INDEX(Master_Sales!$D$1:$D$9,MATCH(Lembar_Kerja_Analisis!B566,Master_Sales!$A$1:$A$9,0))</f>
        <v>Barat</v>
      </c>
      <c r="G566" s="10" t="str">
        <f>INDEX(Master_Sales!$C$1:$C$9,MATCH(Lembar_Kerja_Analisis!B566,Master_Sales!$A$1:$A$9,0))</f>
        <v>Medan</v>
      </c>
      <c r="H566" s="10" t="str">
        <f>VLOOKUP(A566,Master_Produk!$A$1:$E$16,2,FALSE)</f>
        <v>Monitor 24" FHD 144Hz</v>
      </c>
      <c r="I566" s="10" t="str">
        <f>INDEX(Master_Produk!$C$1:$C$16,MATCH(Lembar_Kerja_Analisis!A566,Master_Produk!$A$1:$A$16,0))</f>
        <v>Elektronik</v>
      </c>
      <c r="J566" s="19">
        <f>_xlfn.XLOOKUP(A566,Master_Produk!$A$1:$A$16,Master_Produk!$D$1:$D$16,,0)</f>
        <v>1950000</v>
      </c>
      <c r="K566" s="19">
        <f>INDEX(Master_Produk!$E$1:$E$16,MATCH(Lembar_Kerja_Analisis!A566,Master_Produk!$A$1:$A$16,0))</f>
        <v>1500000</v>
      </c>
      <c r="L566" s="8">
        <v>1</v>
      </c>
      <c r="M566" s="19">
        <f t="shared" si="40"/>
        <v>1950000</v>
      </c>
      <c r="N566" s="9">
        <v>0.1</v>
      </c>
      <c r="O566" s="19">
        <f t="shared" si="41"/>
        <v>195000</v>
      </c>
      <c r="P566" s="19">
        <f t="shared" si="42"/>
        <v>1755000</v>
      </c>
      <c r="Q566" s="19">
        <f t="shared" si="43"/>
        <v>1500000</v>
      </c>
      <c r="R566" s="19">
        <f t="shared" si="44"/>
        <v>255000</v>
      </c>
    </row>
    <row r="567" spans="1:18" x14ac:dyDescent="0.25">
      <c r="A567" t="str">
        <f>_xlfn.XLOOKUP(C567,Raw_Data_Transaksi!$A$1:$A$1001,Raw_Data_Transaksi!$D$1:$D$1001,,0)</f>
        <v>PRD-109</v>
      </c>
      <c r="B567" t="str">
        <f>_xlfn.XLOOKUP(C567,Raw_Data_Transaksi!$A$1:$A$1001,Raw_Data_Transaksi!$C$1:$C$1001,,0)</f>
        <v>SLS-05</v>
      </c>
      <c r="C567" s="6" t="s">
        <v>651</v>
      </c>
      <c r="D567" s="7">
        <v>45789</v>
      </c>
      <c r="E567" s="10" t="str">
        <f>VLOOKUP(B567,Master_Sales!$A$1:$D$9,2,FALSE)</f>
        <v>Eko Prasetyo</v>
      </c>
      <c r="F567" s="10" t="str">
        <f>INDEX(Master_Sales!$D$1:$D$9,MATCH(Lembar_Kerja_Analisis!B567,Master_Sales!$A$1:$A$9,0))</f>
        <v>Tengah</v>
      </c>
      <c r="G567" s="10" t="str">
        <f>INDEX(Master_Sales!$C$1:$C$9,MATCH(Lembar_Kerja_Analisis!B567,Master_Sales!$A$1:$A$9,0))</f>
        <v>Semarang</v>
      </c>
      <c r="H567" s="10" t="str">
        <f>VLOOKUP(A567,Master_Produk!$A$1:$E$16,2,FALSE)</f>
        <v>Kopi Arabika Gayo 250g</v>
      </c>
      <c r="I567" s="10" t="str">
        <f>INDEX(Master_Produk!$C$1:$C$16,MATCH(Lembar_Kerja_Analisis!A567,Master_Produk!$A$1:$A$16,0))</f>
        <v>F&amp;B</v>
      </c>
      <c r="J567" s="19">
        <f>_xlfn.XLOOKUP(A567,Master_Produk!$A$1:$A$16,Master_Produk!$D$1:$D$16,,0)</f>
        <v>85000</v>
      </c>
      <c r="K567" s="19">
        <f>INDEX(Master_Produk!$E$1:$E$16,MATCH(Lembar_Kerja_Analisis!A567,Master_Produk!$A$1:$A$16,0))</f>
        <v>55000</v>
      </c>
      <c r="L567" s="8">
        <v>19</v>
      </c>
      <c r="M567" s="19">
        <f t="shared" si="40"/>
        <v>1615000</v>
      </c>
      <c r="N567" s="9">
        <v>0.1</v>
      </c>
      <c r="O567" s="19">
        <f t="shared" si="41"/>
        <v>161500</v>
      </c>
      <c r="P567" s="19">
        <f t="shared" si="42"/>
        <v>1453500</v>
      </c>
      <c r="Q567" s="19">
        <f t="shared" si="43"/>
        <v>1045000</v>
      </c>
      <c r="R567" s="19">
        <f t="shared" si="44"/>
        <v>408500</v>
      </c>
    </row>
    <row r="568" spans="1:18" x14ac:dyDescent="0.25">
      <c r="A568" t="str">
        <f>_xlfn.XLOOKUP(C568,Raw_Data_Transaksi!$A$1:$A$1001,Raw_Data_Transaksi!$D$1:$D$1001,,0)</f>
        <v>PRD-115</v>
      </c>
      <c r="B568" t="str">
        <f>_xlfn.XLOOKUP(C568,Raw_Data_Transaksi!$A$1:$A$1001,Raw_Data_Transaksi!$C$1:$C$1001,,0)</f>
        <v>SLS-04</v>
      </c>
      <c r="C568" s="6" t="s">
        <v>652</v>
      </c>
      <c r="D568" s="7">
        <v>45809</v>
      </c>
      <c r="E568" s="10" t="str">
        <f>VLOOKUP(B568,Master_Sales!$A$1:$D$9,2,FALSE)</f>
        <v>Dewi Anggraini</v>
      </c>
      <c r="F568" s="10" t="str">
        <f>INDEX(Master_Sales!$D$1:$D$9,MATCH(Lembar_Kerja_Analisis!B568,Master_Sales!$A$1:$A$9,0))</f>
        <v>Barat</v>
      </c>
      <c r="G568" s="10" t="str">
        <f>INDEX(Master_Sales!$C$1:$C$9,MATCH(Lembar_Kerja_Analisis!B568,Master_Sales!$A$1:$A$9,0))</f>
        <v>Medan</v>
      </c>
      <c r="H568" s="10" t="str">
        <f>VLOOKUP(A568,Master_Produk!$A$1:$E$16,2,FALSE)</f>
        <v>Set Pisau Dapur Stainless</v>
      </c>
      <c r="I568" s="10" t="str">
        <f>INDEX(Master_Produk!$C$1:$C$16,MATCH(Lembar_Kerja_Analisis!A568,Master_Produk!$A$1:$A$16,0))</f>
        <v>Peralatan Rumah</v>
      </c>
      <c r="J568" s="19">
        <f>_xlfn.XLOOKUP(A568,Master_Produk!$A$1:$A$16,Master_Produk!$D$1:$D$16,,0)</f>
        <v>165000</v>
      </c>
      <c r="K568" s="19">
        <f>INDEX(Master_Produk!$E$1:$E$16,MATCH(Lembar_Kerja_Analisis!A568,Master_Produk!$A$1:$A$16,0))</f>
        <v>105000</v>
      </c>
      <c r="L568" s="8">
        <v>6</v>
      </c>
      <c r="M568" s="19">
        <f t="shared" si="40"/>
        <v>990000</v>
      </c>
      <c r="N568" s="9">
        <v>0.2</v>
      </c>
      <c r="O568" s="19">
        <f t="shared" si="41"/>
        <v>198000</v>
      </c>
      <c r="P568" s="19">
        <f t="shared" si="42"/>
        <v>792000</v>
      </c>
      <c r="Q568" s="19">
        <f t="shared" si="43"/>
        <v>630000</v>
      </c>
      <c r="R568" s="19">
        <f t="shared" si="44"/>
        <v>162000</v>
      </c>
    </row>
    <row r="569" spans="1:18" x14ac:dyDescent="0.25">
      <c r="A569" t="str">
        <f>_xlfn.XLOOKUP(C569,Raw_Data_Transaksi!$A$1:$A$1001,Raw_Data_Transaksi!$D$1:$D$1001,,0)</f>
        <v>PRD-109</v>
      </c>
      <c r="B569" t="str">
        <f>_xlfn.XLOOKUP(C569,Raw_Data_Transaksi!$A$1:$A$1001,Raw_Data_Transaksi!$C$1:$C$1001,,0)</f>
        <v>SLS-01</v>
      </c>
      <c r="C569" s="6" t="s">
        <v>653</v>
      </c>
      <c r="D569" s="7">
        <v>45933</v>
      </c>
      <c r="E569" s="10" t="str">
        <f>VLOOKUP(B569,Master_Sales!$A$1:$D$9,2,FALSE)</f>
        <v>Andi Pratama</v>
      </c>
      <c r="F569" s="10" t="str">
        <f>INDEX(Master_Sales!$D$1:$D$9,MATCH(Lembar_Kerja_Analisis!B569,Master_Sales!$A$1:$A$9,0))</f>
        <v>Barat</v>
      </c>
      <c r="G569" s="10" t="str">
        <f>INDEX(Master_Sales!$C$1:$C$9,MATCH(Lembar_Kerja_Analisis!B569,Master_Sales!$A$1:$A$9,0))</f>
        <v>Jakarta</v>
      </c>
      <c r="H569" s="10" t="str">
        <f>VLOOKUP(A569,Master_Produk!$A$1:$E$16,2,FALSE)</f>
        <v>Kopi Arabika Gayo 250g</v>
      </c>
      <c r="I569" s="10" t="str">
        <f>INDEX(Master_Produk!$C$1:$C$16,MATCH(Lembar_Kerja_Analisis!A569,Master_Produk!$A$1:$A$16,0))</f>
        <v>F&amp;B</v>
      </c>
      <c r="J569" s="19">
        <f>_xlfn.XLOOKUP(A569,Master_Produk!$A$1:$A$16,Master_Produk!$D$1:$D$16,,0)</f>
        <v>85000</v>
      </c>
      <c r="K569" s="19">
        <f>INDEX(Master_Produk!$E$1:$E$16,MATCH(Lembar_Kerja_Analisis!A569,Master_Produk!$A$1:$A$16,0))</f>
        <v>55000</v>
      </c>
      <c r="L569" s="8">
        <v>5</v>
      </c>
      <c r="M569" s="19">
        <f t="shared" si="40"/>
        <v>425000</v>
      </c>
      <c r="N569" s="9">
        <v>0.05</v>
      </c>
      <c r="O569" s="19">
        <f t="shared" si="41"/>
        <v>21250</v>
      </c>
      <c r="P569" s="19">
        <f t="shared" si="42"/>
        <v>403750</v>
      </c>
      <c r="Q569" s="19">
        <f t="shared" si="43"/>
        <v>275000</v>
      </c>
      <c r="R569" s="19">
        <f t="shared" si="44"/>
        <v>128750</v>
      </c>
    </row>
    <row r="570" spans="1:18" x14ac:dyDescent="0.25">
      <c r="A570" t="str">
        <f>_xlfn.XLOOKUP(C570,Raw_Data_Transaksi!$A$1:$A$1001,Raw_Data_Transaksi!$D$1:$D$1001,,0)</f>
        <v>PRD-104</v>
      </c>
      <c r="B570" t="str">
        <f>_xlfn.XLOOKUP(C570,Raw_Data_Transaksi!$A$1:$A$1001,Raw_Data_Transaksi!$C$1:$C$1001,,0)</f>
        <v>SLS-07</v>
      </c>
      <c r="C570" s="6" t="s">
        <v>654</v>
      </c>
      <c r="D570" s="7">
        <v>45711</v>
      </c>
      <c r="E570" s="10" t="str">
        <f>VLOOKUP(B570,Master_Sales!$A$1:$D$9,2,FALSE)</f>
        <v>Gita Permata</v>
      </c>
      <c r="F570" s="10" t="str">
        <f>INDEX(Master_Sales!$D$1:$D$9,MATCH(Lembar_Kerja_Analisis!B570,Master_Sales!$A$1:$A$9,0))</f>
        <v>Tengah</v>
      </c>
      <c r="G570" s="10" t="str">
        <f>INDEX(Master_Sales!$C$1:$C$9,MATCH(Lembar_Kerja_Analisis!B570,Master_Sales!$A$1:$A$9,0))</f>
        <v>Denpasar</v>
      </c>
      <c r="H570" s="10" t="str">
        <f>VLOOKUP(A570,Master_Produk!$A$1:$E$16,2,FALSE)</f>
        <v>Monitor 24" FHD 144Hz</v>
      </c>
      <c r="I570" s="10" t="str">
        <f>INDEX(Master_Produk!$C$1:$C$16,MATCH(Lembar_Kerja_Analisis!A570,Master_Produk!$A$1:$A$16,0))</f>
        <v>Elektronik</v>
      </c>
      <c r="J570" s="19">
        <f>_xlfn.XLOOKUP(A570,Master_Produk!$A$1:$A$16,Master_Produk!$D$1:$D$16,,0)</f>
        <v>1950000</v>
      </c>
      <c r="K570" s="19">
        <f>INDEX(Master_Produk!$E$1:$E$16,MATCH(Lembar_Kerja_Analisis!A570,Master_Produk!$A$1:$A$16,0))</f>
        <v>1500000</v>
      </c>
      <c r="L570" s="8">
        <v>11</v>
      </c>
      <c r="M570" s="19">
        <f t="shared" si="40"/>
        <v>21450000</v>
      </c>
      <c r="N570" s="9">
        <v>0</v>
      </c>
      <c r="O570" s="19">
        <f t="shared" si="41"/>
        <v>0</v>
      </c>
      <c r="P570" s="19">
        <f t="shared" si="42"/>
        <v>21450000</v>
      </c>
      <c r="Q570" s="19">
        <f t="shared" si="43"/>
        <v>16500000</v>
      </c>
      <c r="R570" s="19">
        <f t="shared" si="44"/>
        <v>4950000</v>
      </c>
    </row>
    <row r="571" spans="1:18" x14ac:dyDescent="0.25">
      <c r="A571" t="str">
        <f>_xlfn.XLOOKUP(C571,Raw_Data_Transaksi!$A$1:$A$1001,Raw_Data_Transaksi!$D$1:$D$1001,,0)</f>
        <v>PRD-101</v>
      </c>
      <c r="B571" t="str">
        <f>_xlfn.XLOOKUP(C571,Raw_Data_Transaksi!$A$1:$A$1001,Raw_Data_Transaksi!$C$1:$C$1001,,0)</f>
        <v>SLS-02</v>
      </c>
      <c r="C571" s="6" t="s">
        <v>655</v>
      </c>
      <c r="D571" s="7">
        <v>45827</v>
      </c>
      <c r="E571" s="10" t="str">
        <f>VLOOKUP(B571,Master_Sales!$A$1:$D$9,2,FALSE)</f>
        <v>Budi Santoso</v>
      </c>
      <c r="F571" s="10" t="str">
        <f>INDEX(Master_Sales!$D$1:$D$9,MATCH(Lembar_Kerja_Analisis!B571,Master_Sales!$A$1:$A$9,0))</f>
        <v>Timur</v>
      </c>
      <c r="G571" s="10" t="str">
        <f>INDEX(Master_Sales!$C$1:$C$9,MATCH(Lembar_Kerja_Analisis!B571,Master_Sales!$A$1:$A$9,0))</f>
        <v>Surabaya</v>
      </c>
      <c r="H571" s="10" t="str">
        <f>VLOOKUP(A571,Master_Produk!$A$1:$E$16,2,FALSE)</f>
        <v>Laptop Ultrabook 14"</v>
      </c>
      <c r="I571" s="10" t="str">
        <f>INDEX(Master_Produk!$C$1:$C$16,MATCH(Lembar_Kerja_Analisis!A571,Master_Produk!$A$1:$A$16,0))</f>
        <v>Elektronik</v>
      </c>
      <c r="J571" s="19">
        <f>_xlfn.XLOOKUP(A571,Master_Produk!$A$1:$A$16,Master_Produk!$D$1:$D$16,,0)</f>
        <v>8500000</v>
      </c>
      <c r="K571" s="19">
        <f>INDEX(Master_Produk!$E$1:$E$16,MATCH(Lembar_Kerja_Analisis!A571,Master_Produk!$A$1:$A$16,0))</f>
        <v>7200000</v>
      </c>
      <c r="L571" s="8">
        <v>2</v>
      </c>
      <c r="M571" s="19">
        <f t="shared" si="40"/>
        <v>17000000</v>
      </c>
      <c r="N571" s="9">
        <v>0</v>
      </c>
      <c r="O571" s="19">
        <f t="shared" si="41"/>
        <v>0</v>
      </c>
      <c r="P571" s="19">
        <f t="shared" si="42"/>
        <v>17000000</v>
      </c>
      <c r="Q571" s="19">
        <f t="shared" si="43"/>
        <v>14400000</v>
      </c>
      <c r="R571" s="19">
        <f t="shared" si="44"/>
        <v>2600000</v>
      </c>
    </row>
    <row r="572" spans="1:18" x14ac:dyDescent="0.25">
      <c r="A572" t="str">
        <f>_xlfn.XLOOKUP(C572,Raw_Data_Transaksi!$A$1:$A$1001,Raw_Data_Transaksi!$D$1:$D$1001,,0)</f>
        <v>PRD-114</v>
      </c>
      <c r="B572" t="str">
        <f>_xlfn.XLOOKUP(C572,Raw_Data_Transaksi!$A$1:$A$1001,Raw_Data_Transaksi!$C$1:$C$1001,,0)</f>
        <v>SLS-04</v>
      </c>
      <c r="C572" s="6" t="s">
        <v>656</v>
      </c>
      <c r="D572" s="7">
        <v>45952</v>
      </c>
      <c r="E572" s="10" t="str">
        <f>VLOOKUP(B572,Master_Sales!$A$1:$D$9,2,FALSE)</f>
        <v>Dewi Anggraini</v>
      </c>
      <c r="F572" s="10" t="str">
        <f>INDEX(Master_Sales!$D$1:$D$9,MATCH(Lembar_Kerja_Analisis!B572,Master_Sales!$A$1:$A$9,0))</f>
        <v>Barat</v>
      </c>
      <c r="G572" s="10" t="str">
        <f>INDEX(Master_Sales!$C$1:$C$9,MATCH(Lembar_Kerja_Analisis!B572,Master_Sales!$A$1:$A$9,0))</f>
        <v>Medan</v>
      </c>
      <c r="H572" s="10" t="str">
        <f>VLOOKUP(A572,Master_Produk!$A$1:$E$16,2,FALSE)</f>
        <v>Blender Multifungsi 2-in-1</v>
      </c>
      <c r="I572" s="10" t="str">
        <f>INDEX(Master_Produk!$C$1:$C$16,MATCH(Lembar_Kerja_Analisis!A572,Master_Produk!$A$1:$A$16,0))</f>
        <v>Peralatan Rumah</v>
      </c>
      <c r="J572" s="19">
        <f>_xlfn.XLOOKUP(A572,Master_Produk!$A$1:$A$16,Master_Produk!$D$1:$D$16,,0)</f>
        <v>340000</v>
      </c>
      <c r="K572" s="19">
        <f>INDEX(Master_Produk!$E$1:$E$16,MATCH(Lembar_Kerja_Analisis!A572,Master_Produk!$A$1:$A$16,0))</f>
        <v>240000</v>
      </c>
      <c r="L572" s="8">
        <v>5</v>
      </c>
      <c r="M572" s="19">
        <f t="shared" si="40"/>
        <v>1700000</v>
      </c>
      <c r="N572" s="9">
        <v>0.15</v>
      </c>
      <c r="O572" s="19">
        <f t="shared" si="41"/>
        <v>255000</v>
      </c>
      <c r="P572" s="19">
        <f t="shared" si="42"/>
        <v>1445000</v>
      </c>
      <c r="Q572" s="19">
        <f t="shared" si="43"/>
        <v>1200000</v>
      </c>
      <c r="R572" s="19">
        <f t="shared" si="44"/>
        <v>245000</v>
      </c>
    </row>
    <row r="573" spans="1:18" x14ac:dyDescent="0.25">
      <c r="A573" t="str">
        <f>_xlfn.XLOOKUP(C573,Raw_Data_Transaksi!$A$1:$A$1001,Raw_Data_Transaksi!$D$1:$D$1001,,0)</f>
        <v>PRD-106</v>
      </c>
      <c r="B573" t="str">
        <f>_xlfn.XLOOKUP(C573,Raw_Data_Transaksi!$A$1:$A$1001,Raw_Data_Transaksi!$C$1:$C$1001,,0)</f>
        <v>SLS-01</v>
      </c>
      <c r="C573" s="6" t="s">
        <v>657</v>
      </c>
      <c r="D573" s="7">
        <v>45879</v>
      </c>
      <c r="E573" s="10" t="str">
        <f>VLOOKUP(B573,Master_Sales!$A$1:$D$9,2,FALSE)</f>
        <v>Andi Pratama</v>
      </c>
      <c r="F573" s="10" t="str">
        <f>INDEX(Master_Sales!$D$1:$D$9,MATCH(Lembar_Kerja_Analisis!B573,Master_Sales!$A$1:$A$9,0))</f>
        <v>Barat</v>
      </c>
      <c r="G573" s="10" t="str">
        <f>INDEX(Master_Sales!$C$1:$C$9,MATCH(Lembar_Kerja_Analisis!B573,Master_Sales!$A$1:$A$9,0))</f>
        <v>Jakarta</v>
      </c>
      <c r="H573" s="10" t="str">
        <f>VLOOKUP(A573,Master_Produk!$A$1:$E$16,2,FALSE)</f>
        <v>Celana Chino Slim Fit</v>
      </c>
      <c r="I573" s="10" t="str">
        <f>INDEX(Master_Produk!$C$1:$C$16,MATCH(Lembar_Kerja_Analisis!A573,Master_Produk!$A$1:$A$16,0))</f>
        <v>Fashion</v>
      </c>
      <c r="J573" s="19">
        <f>_xlfn.XLOOKUP(A573,Master_Produk!$A$1:$A$16,Master_Produk!$D$1:$D$16,,0)</f>
        <v>280000</v>
      </c>
      <c r="K573" s="19">
        <f>INDEX(Master_Produk!$E$1:$E$16,MATCH(Lembar_Kerja_Analisis!A573,Master_Produk!$A$1:$A$16,0))</f>
        <v>175000</v>
      </c>
      <c r="L573" s="8">
        <v>7</v>
      </c>
      <c r="M573" s="19">
        <f t="shared" si="40"/>
        <v>1960000</v>
      </c>
      <c r="N573" s="9">
        <v>0</v>
      </c>
      <c r="O573" s="19">
        <f t="shared" si="41"/>
        <v>0</v>
      </c>
      <c r="P573" s="19">
        <f t="shared" si="42"/>
        <v>1960000</v>
      </c>
      <c r="Q573" s="19">
        <f t="shared" si="43"/>
        <v>1225000</v>
      </c>
      <c r="R573" s="19">
        <f t="shared" si="44"/>
        <v>735000</v>
      </c>
    </row>
    <row r="574" spans="1:18" x14ac:dyDescent="0.25">
      <c r="A574" t="str">
        <f>_xlfn.XLOOKUP(C574,Raw_Data_Transaksi!$A$1:$A$1001,Raw_Data_Transaksi!$D$1:$D$1001,,0)</f>
        <v>PRD-101</v>
      </c>
      <c r="B574" t="str">
        <f>_xlfn.XLOOKUP(C574,Raw_Data_Transaksi!$A$1:$A$1001,Raw_Data_Transaksi!$C$1:$C$1001,,0)</f>
        <v>SLS-02</v>
      </c>
      <c r="C574" s="6" t="s">
        <v>658</v>
      </c>
      <c r="D574" s="7">
        <v>45957</v>
      </c>
      <c r="E574" s="10" t="str">
        <f>VLOOKUP(B574,Master_Sales!$A$1:$D$9,2,FALSE)</f>
        <v>Budi Santoso</v>
      </c>
      <c r="F574" s="10" t="str">
        <f>INDEX(Master_Sales!$D$1:$D$9,MATCH(Lembar_Kerja_Analisis!B574,Master_Sales!$A$1:$A$9,0))</f>
        <v>Timur</v>
      </c>
      <c r="G574" s="10" t="str">
        <f>INDEX(Master_Sales!$C$1:$C$9,MATCH(Lembar_Kerja_Analisis!B574,Master_Sales!$A$1:$A$9,0))</f>
        <v>Surabaya</v>
      </c>
      <c r="H574" s="10" t="str">
        <f>VLOOKUP(A574,Master_Produk!$A$1:$E$16,2,FALSE)</f>
        <v>Laptop Ultrabook 14"</v>
      </c>
      <c r="I574" s="10" t="str">
        <f>INDEX(Master_Produk!$C$1:$C$16,MATCH(Lembar_Kerja_Analisis!A574,Master_Produk!$A$1:$A$16,0))</f>
        <v>Elektronik</v>
      </c>
      <c r="J574" s="19">
        <f>_xlfn.XLOOKUP(A574,Master_Produk!$A$1:$A$16,Master_Produk!$D$1:$D$16,,0)</f>
        <v>8500000</v>
      </c>
      <c r="K574" s="19">
        <f>INDEX(Master_Produk!$E$1:$E$16,MATCH(Lembar_Kerja_Analisis!A574,Master_Produk!$A$1:$A$16,0))</f>
        <v>7200000</v>
      </c>
      <c r="L574" s="8">
        <v>6</v>
      </c>
      <c r="M574" s="19">
        <f t="shared" si="40"/>
        <v>51000000</v>
      </c>
      <c r="N574" s="9">
        <v>0.2</v>
      </c>
      <c r="O574" s="19">
        <f t="shared" si="41"/>
        <v>10200000</v>
      </c>
      <c r="P574" s="19">
        <f t="shared" si="42"/>
        <v>40800000</v>
      </c>
      <c r="Q574" s="19">
        <f t="shared" si="43"/>
        <v>43200000</v>
      </c>
      <c r="R574" s="19">
        <f t="shared" si="44"/>
        <v>-2400000</v>
      </c>
    </row>
    <row r="575" spans="1:18" x14ac:dyDescent="0.25">
      <c r="A575" t="str">
        <f>_xlfn.XLOOKUP(C575,Raw_Data_Transaksi!$A$1:$A$1001,Raw_Data_Transaksi!$D$1:$D$1001,,0)</f>
        <v>PRD-102</v>
      </c>
      <c r="B575" t="str">
        <f>_xlfn.XLOOKUP(C575,Raw_Data_Transaksi!$A$1:$A$1001,Raw_Data_Transaksi!$C$1:$C$1001,,0)</f>
        <v>SLS-05</v>
      </c>
      <c r="C575" s="6" t="s">
        <v>659</v>
      </c>
      <c r="D575" s="7">
        <v>45968</v>
      </c>
      <c r="E575" s="10" t="str">
        <f>VLOOKUP(B575,Master_Sales!$A$1:$D$9,2,FALSE)</f>
        <v>Eko Prasetyo</v>
      </c>
      <c r="F575" s="10" t="str">
        <f>INDEX(Master_Sales!$D$1:$D$9,MATCH(Lembar_Kerja_Analisis!B575,Master_Sales!$A$1:$A$9,0))</f>
        <v>Tengah</v>
      </c>
      <c r="G575" s="10" t="str">
        <f>INDEX(Master_Sales!$C$1:$C$9,MATCH(Lembar_Kerja_Analisis!B575,Master_Sales!$A$1:$A$9,0))</f>
        <v>Semarang</v>
      </c>
      <c r="H575" s="10" t="str">
        <f>VLOOKUP(A575,Master_Produk!$A$1:$E$16,2,FALSE)</f>
        <v>Wireless Mouse Ergonomic</v>
      </c>
      <c r="I575" s="10" t="str">
        <f>INDEX(Master_Produk!$C$1:$C$16,MATCH(Lembar_Kerja_Analisis!A575,Master_Produk!$A$1:$A$16,0))</f>
        <v>Elektronik</v>
      </c>
      <c r="J575" s="19">
        <f>_xlfn.XLOOKUP(A575,Master_Produk!$A$1:$A$16,Master_Produk!$D$1:$D$16,,0)</f>
        <v>250000</v>
      </c>
      <c r="K575" s="19">
        <f>INDEX(Master_Produk!$E$1:$E$16,MATCH(Lembar_Kerja_Analisis!A575,Master_Produk!$A$1:$A$16,0))</f>
        <v>160000</v>
      </c>
      <c r="L575" s="8">
        <v>8</v>
      </c>
      <c r="M575" s="19">
        <f t="shared" si="40"/>
        <v>2000000</v>
      </c>
      <c r="N575" s="9">
        <v>0.15</v>
      </c>
      <c r="O575" s="19">
        <f t="shared" si="41"/>
        <v>300000</v>
      </c>
      <c r="P575" s="19">
        <f t="shared" si="42"/>
        <v>1700000</v>
      </c>
      <c r="Q575" s="19">
        <f t="shared" si="43"/>
        <v>1280000</v>
      </c>
      <c r="R575" s="19">
        <f t="shared" si="44"/>
        <v>420000</v>
      </c>
    </row>
    <row r="576" spans="1:18" x14ac:dyDescent="0.25">
      <c r="A576" t="str">
        <f>_xlfn.XLOOKUP(C576,Raw_Data_Transaksi!$A$1:$A$1001,Raw_Data_Transaksi!$D$1:$D$1001,,0)</f>
        <v>PRD-103</v>
      </c>
      <c r="B576" t="str">
        <f>_xlfn.XLOOKUP(C576,Raw_Data_Transaksi!$A$1:$A$1001,Raw_Data_Transaksi!$C$1:$C$1001,,0)</f>
        <v>SLS-04</v>
      </c>
      <c r="C576" s="6" t="s">
        <v>660</v>
      </c>
      <c r="D576" s="7">
        <v>45900</v>
      </c>
      <c r="E576" s="10" t="str">
        <f>VLOOKUP(B576,Master_Sales!$A$1:$D$9,2,FALSE)</f>
        <v>Dewi Anggraini</v>
      </c>
      <c r="F576" s="10" t="str">
        <f>INDEX(Master_Sales!$D$1:$D$9,MATCH(Lembar_Kerja_Analisis!B576,Master_Sales!$A$1:$A$9,0))</f>
        <v>Barat</v>
      </c>
      <c r="G576" s="10" t="str">
        <f>INDEX(Master_Sales!$C$1:$C$9,MATCH(Lembar_Kerja_Analisis!B576,Master_Sales!$A$1:$A$9,0))</f>
        <v>Medan</v>
      </c>
      <c r="H576" s="10" t="str">
        <f>VLOOKUP(A576,Master_Produk!$A$1:$E$16,2,FALSE)</f>
        <v>Mechanical Keyboard RGB</v>
      </c>
      <c r="I576" s="10" t="str">
        <f>INDEX(Master_Produk!$C$1:$C$16,MATCH(Lembar_Kerja_Analisis!A576,Master_Produk!$A$1:$A$16,0))</f>
        <v>Elektronik</v>
      </c>
      <c r="J576" s="19">
        <f>_xlfn.XLOOKUP(A576,Master_Produk!$A$1:$A$16,Master_Produk!$D$1:$D$16,,0)</f>
        <v>750000</v>
      </c>
      <c r="K576" s="19">
        <f>INDEX(Master_Produk!$E$1:$E$16,MATCH(Lembar_Kerja_Analisis!A576,Master_Produk!$A$1:$A$16,0))</f>
        <v>520000</v>
      </c>
      <c r="L576" s="8">
        <v>3</v>
      </c>
      <c r="M576" s="19">
        <f t="shared" si="40"/>
        <v>2250000</v>
      </c>
      <c r="N576" s="9">
        <v>0.15</v>
      </c>
      <c r="O576" s="19">
        <f t="shared" si="41"/>
        <v>337500</v>
      </c>
      <c r="P576" s="19">
        <f t="shared" si="42"/>
        <v>1912500</v>
      </c>
      <c r="Q576" s="19">
        <f t="shared" si="43"/>
        <v>1560000</v>
      </c>
      <c r="R576" s="19">
        <f t="shared" si="44"/>
        <v>352500</v>
      </c>
    </row>
    <row r="577" spans="1:18" x14ac:dyDescent="0.25">
      <c r="A577" t="str">
        <f>_xlfn.XLOOKUP(C577,Raw_Data_Transaksi!$A$1:$A$1001,Raw_Data_Transaksi!$D$1:$D$1001,,0)</f>
        <v>PRD-111</v>
      </c>
      <c r="B577" t="str">
        <f>_xlfn.XLOOKUP(C577,Raw_Data_Transaksi!$A$1:$A$1001,Raw_Data_Transaksi!$C$1:$C$1001,,0)</f>
        <v>SLS-06</v>
      </c>
      <c r="C577" s="6" t="s">
        <v>661</v>
      </c>
      <c r="D577" s="7">
        <v>45810</v>
      </c>
      <c r="E577" s="10" t="str">
        <f>VLOOKUP(B577,Master_Sales!$A$1:$D$9,2,FALSE)</f>
        <v>Fajar Nugraha</v>
      </c>
      <c r="F577" s="10" t="str">
        <f>INDEX(Master_Sales!$D$1:$D$9,MATCH(Lembar_Kerja_Analisis!B577,Master_Sales!$A$1:$A$9,0))</f>
        <v>Timur</v>
      </c>
      <c r="G577" s="10" t="str">
        <f>INDEX(Master_Sales!$C$1:$C$9,MATCH(Lembar_Kerja_Analisis!B577,Master_Sales!$A$1:$A$9,0))</f>
        <v>Makassar</v>
      </c>
      <c r="H577" s="10" t="str">
        <f>VLOOKUP(A577,Master_Produk!$A$1:$E$16,2,FALSE)</f>
        <v>Beras Premium 5kg</v>
      </c>
      <c r="I577" s="10" t="str">
        <f>INDEX(Master_Produk!$C$1:$C$16,MATCH(Lembar_Kerja_Analisis!A577,Master_Produk!$A$1:$A$16,0))</f>
        <v>F&amp;B</v>
      </c>
      <c r="J577" s="19">
        <f>_xlfn.XLOOKUP(A577,Master_Produk!$A$1:$A$16,Master_Produk!$D$1:$D$16,,0)</f>
        <v>74000</v>
      </c>
      <c r="K577" s="19">
        <f>INDEX(Master_Produk!$E$1:$E$16,MATCH(Lembar_Kerja_Analisis!A577,Master_Produk!$A$1:$A$16,0))</f>
        <v>65000</v>
      </c>
      <c r="L577" s="8">
        <v>20</v>
      </c>
      <c r="M577" s="19">
        <f t="shared" si="40"/>
        <v>1480000</v>
      </c>
      <c r="N577" s="9">
        <v>0.2</v>
      </c>
      <c r="O577" s="19">
        <f t="shared" si="41"/>
        <v>296000</v>
      </c>
      <c r="P577" s="19">
        <f t="shared" si="42"/>
        <v>1184000</v>
      </c>
      <c r="Q577" s="19">
        <f t="shared" si="43"/>
        <v>1300000</v>
      </c>
      <c r="R577" s="19">
        <f t="shared" si="44"/>
        <v>-116000</v>
      </c>
    </row>
    <row r="578" spans="1:18" x14ac:dyDescent="0.25">
      <c r="A578" t="str">
        <f>_xlfn.XLOOKUP(C578,Raw_Data_Transaksi!$A$1:$A$1001,Raw_Data_Transaksi!$D$1:$D$1001,,0)</f>
        <v>PRD-110</v>
      </c>
      <c r="B578" t="str">
        <f>_xlfn.XLOOKUP(C578,Raw_Data_Transaksi!$A$1:$A$1001,Raw_Data_Transaksi!$C$1:$C$1001,,0)</f>
        <v>SLS-07</v>
      </c>
      <c r="C578" s="6" t="s">
        <v>662</v>
      </c>
      <c r="D578" s="7">
        <v>45660</v>
      </c>
      <c r="E578" s="10" t="str">
        <f>VLOOKUP(B578,Master_Sales!$A$1:$D$9,2,FALSE)</f>
        <v>Gita Permata</v>
      </c>
      <c r="F578" s="10" t="str">
        <f>INDEX(Master_Sales!$D$1:$D$9,MATCH(Lembar_Kerja_Analisis!B578,Master_Sales!$A$1:$A$9,0))</f>
        <v>Tengah</v>
      </c>
      <c r="G578" s="10" t="str">
        <f>INDEX(Master_Sales!$C$1:$C$9,MATCH(Lembar_Kerja_Analisis!B578,Master_Sales!$A$1:$A$9,0))</f>
        <v>Denpasar</v>
      </c>
      <c r="H578" s="10" t="str">
        <f>VLOOKUP(A578,Master_Produk!$A$1:$E$16,2,FALSE)</f>
        <v>Minyak Goreng Sawit 2L</v>
      </c>
      <c r="I578" s="10" t="str">
        <f>INDEX(Master_Produk!$C$1:$C$16,MATCH(Lembar_Kerja_Analisis!A578,Master_Produk!$A$1:$A$16,0))</f>
        <v>F&amp;B</v>
      </c>
      <c r="J578" s="19">
        <f>_xlfn.XLOOKUP(A578,Master_Produk!$A$1:$A$16,Master_Produk!$D$1:$D$16,,0)</f>
        <v>36000</v>
      </c>
      <c r="K578" s="19">
        <f>INDEX(Master_Produk!$E$1:$E$16,MATCH(Lembar_Kerja_Analisis!A578,Master_Produk!$A$1:$A$16,0))</f>
        <v>31000</v>
      </c>
      <c r="L578" s="8">
        <v>20</v>
      </c>
      <c r="M578" s="19">
        <f t="shared" si="40"/>
        <v>720000</v>
      </c>
      <c r="N578" s="9">
        <v>0</v>
      </c>
      <c r="O578" s="19">
        <f t="shared" si="41"/>
        <v>0</v>
      </c>
      <c r="P578" s="19">
        <f t="shared" si="42"/>
        <v>720000</v>
      </c>
      <c r="Q578" s="19">
        <f t="shared" si="43"/>
        <v>620000</v>
      </c>
      <c r="R578" s="19">
        <f t="shared" si="44"/>
        <v>100000</v>
      </c>
    </row>
    <row r="579" spans="1:18" x14ac:dyDescent="0.25">
      <c r="A579" t="str">
        <f>_xlfn.XLOOKUP(C579,Raw_Data_Transaksi!$A$1:$A$1001,Raw_Data_Transaksi!$D$1:$D$1001,,0)</f>
        <v>PRD-107</v>
      </c>
      <c r="B579" t="str">
        <f>_xlfn.XLOOKUP(C579,Raw_Data_Transaksi!$A$1:$A$1001,Raw_Data_Transaksi!$C$1:$C$1001,,0)</f>
        <v>SLS-03</v>
      </c>
      <c r="C579" s="6" t="s">
        <v>663</v>
      </c>
      <c r="D579" s="7">
        <v>45766</v>
      </c>
      <c r="E579" s="10" t="str">
        <f>VLOOKUP(B579,Master_Sales!$A$1:$D$9,2,FALSE)</f>
        <v>Citra Lestari</v>
      </c>
      <c r="F579" s="10" t="str">
        <f>INDEX(Master_Sales!$D$1:$D$9,MATCH(Lembar_Kerja_Analisis!B579,Master_Sales!$A$1:$A$9,0))</f>
        <v>Barat</v>
      </c>
      <c r="G579" s="10" t="str">
        <f>INDEX(Master_Sales!$C$1:$C$9,MATCH(Lembar_Kerja_Analisis!B579,Master_Sales!$A$1:$A$9,0))</f>
        <v>Bandung</v>
      </c>
      <c r="H579" s="10" t="str">
        <f>VLOOKUP(A579,Master_Produk!$A$1:$E$16,2,FALSE)</f>
        <v>Jaket Hoodie Casual</v>
      </c>
      <c r="I579" s="10" t="str">
        <f>INDEX(Master_Produk!$C$1:$C$16,MATCH(Lembar_Kerja_Analisis!A579,Master_Produk!$A$1:$A$16,0))</f>
        <v>Fashion</v>
      </c>
      <c r="J579" s="19">
        <f>_xlfn.XLOOKUP(A579,Master_Produk!$A$1:$A$16,Master_Produk!$D$1:$D$16,,0)</f>
        <v>350000</v>
      </c>
      <c r="K579" s="19">
        <f>INDEX(Master_Produk!$E$1:$E$16,MATCH(Lembar_Kerja_Analisis!A579,Master_Produk!$A$1:$A$16,0))</f>
        <v>220000</v>
      </c>
      <c r="L579" s="8">
        <v>3</v>
      </c>
      <c r="M579" s="19">
        <f t="shared" ref="M579:M642" si="45">L579*J579</f>
        <v>1050000</v>
      </c>
      <c r="N579" s="9">
        <v>0.05</v>
      </c>
      <c r="O579" s="19">
        <f t="shared" ref="O579:O642" si="46">M579*N579</f>
        <v>52500</v>
      </c>
      <c r="P579" s="19">
        <f t="shared" ref="P579:P642" si="47">M579-O579</f>
        <v>997500</v>
      </c>
      <c r="Q579" s="19">
        <f t="shared" ref="Q579:Q642" si="48">L579*K579</f>
        <v>660000</v>
      </c>
      <c r="R579" s="19">
        <f t="shared" ref="R579:R642" si="49">P579-Q579</f>
        <v>337500</v>
      </c>
    </row>
    <row r="580" spans="1:18" x14ac:dyDescent="0.25">
      <c r="A580" t="str">
        <f>_xlfn.XLOOKUP(C580,Raw_Data_Transaksi!$A$1:$A$1001,Raw_Data_Transaksi!$D$1:$D$1001,,0)</f>
        <v>PRD-102</v>
      </c>
      <c r="B580" t="str">
        <f>_xlfn.XLOOKUP(C580,Raw_Data_Transaksi!$A$1:$A$1001,Raw_Data_Transaksi!$C$1:$C$1001,,0)</f>
        <v>SLS-03</v>
      </c>
      <c r="C580" s="6" t="s">
        <v>664</v>
      </c>
      <c r="D580" s="7">
        <v>45757</v>
      </c>
      <c r="E580" s="10" t="str">
        <f>VLOOKUP(B580,Master_Sales!$A$1:$D$9,2,FALSE)</f>
        <v>Citra Lestari</v>
      </c>
      <c r="F580" s="10" t="str">
        <f>INDEX(Master_Sales!$D$1:$D$9,MATCH(Lembar_Kerja_Analisis!B580,Master_Sales!$A$1:$A$9,0))</f>
        <v>Barat</v>
      </c>
      <c r="G580" s="10" t="str">
        <f>INDEX(Master_Sales!$C$1:$C$9,MATCH(Lembar_Kerja_Analisis!B580,Master_Sales!$A$1:$A$9,0))</f>
        <v>Bandung</v>
      </c>
      <c r="H580" s="10" t="str">
        <f>VLOOKUP(A580,Master_Produk!$A$1:$E$16,2,FALSE)</f>
        <v>Wireless Mouse Ergonomic</v>
      </c>
      <c r="I580" s="10" t="str">
        <f>INDEX(Master_Produk!$C$1:$C$16,MATCH(Lembar_Kerja_Analisis!A580,Master_Produk!$A$1:$A$16,0))</f>
        <v>Elektronik</v>
      </c>
      <c r="J580" s="19">
        <f>_xlfn.XLOOKUP(A580,Master_Produk!$A$1:$A$16,Master_Produk!$D$1:$D$16,,0)</f>
        <v>250000</v>
      </c>
      <c r="K580" s="19">
        <f>INDEX(Master_Produk!$E$1:$E$16,MATCH(Lembar_Kerja_Analisis!A580,Master_Produk!$A$1:$A$16,0))</f>
        <v>160000</v>
      </c>
      <c r="L580" s="8">
        <v>11</v>
      </c>
      <c r="M580" s="19">
        <f t="shared" si="45"/>
        <v>2750000</v>
      </c>
      <c r="N580" s="9">
        <v>0.2</v>
      </c>
      <c r="O580" s="19">
        <f t="shared" si="46"/>
        <v>550000</v>
      </c>
      <c r="P580" s="19">
        <f t="shared" si="47"/>
        <v>2200000</v>
      </c>
      <c r="Q580" s="19">
        <f t="shared" si="48"/>
        <v>1760000</v>
      </c>
      <c r="R580" s="19">
        <f t="shared" si="49"/>
        <v>440000</v>
      </c>
    </row>
    <row r="581" spans="1:18" x14ac:dyDescent="0.25">
      <c r="A581" t="str">
        <f>_xlfn.XLOOKUP(C581,Raw_Data_Transaksi!$A$1:$A$1001,Raw_Data_Transaksi!$D$1:$D$1001,,0)</f>
        <v>PRD-109</v>
      </c>
      <c r="B581" t="str">
        <f>_xlfn.XLOOKUP(C581,Raw_Data_Transaksi!$A$1:$A$1001,Raw_Data_Transaksi!$C$1:$C$1001,,0)</f>
        <v>SLS-02</v>
      </c>
      <c r="C581" s="6" t="s">
        <v>665</v>
      </c>
      <c r="D581" s="7">
        <v>45988</v>
      </c>
      <c r="E581" s="10" t="str">
        <f>VLOOKUP(B581,Master_Sales!$A$1:$D$9,2,FALSE)</f>
        <v>Budi Santoso</v>
      </c>
      <c r="F581" s="10" t="str">
        <f>INDEX(Master_Sales!$D$1:$D$9,MATCH(Lembar_Kerja_Analisis!B581,Master_Sales!$A$1:$A$9,0))</f>
        <v>Timur</v>
      </c>
      <c r="G581" s="10" t="str">
        <f>INDEX(Master_Sales!$C$1:$C$9,MATCH(Lembar_Kerja_Analisis!B581,Master_Sales!$A$1:$A$9,0))</f>
        <v>Surabaya</v>
      </c>
      <c r="H581" s="10" t="str">
        <f>VLOOKUP(A581,Master_Produk!$A$1:$E$16,2,FALSE)</f>
        <v>Kopi Arabika Gayo 250g</v>
      </c>
      <c r="I581" s="10" t="str">
        <f>INDEX(Master_Produk!$C$1:$C$16,MATCH(Lembar_Kerja_Analisis!A581,Master_Produk!$A$1:$A$16,0))</f>
        <v>F&amp;B</v>
      </c>
      <c r="J581" s="19">
        <f>_xlfn.XLOOKUP(A581,Master_Produk!$A$1:$A$16,Master_Produk!$D$1:$D$16,,0)</f>
        <v>85000</v>
      </c>
      <c r="K581" s="19">
        <f>INDEX(Master_Produk!$E$1:$E$16,MATCH(Lembar_Kerja_Analisis!A581,Master_Produk!$A$1:$A$16,0))</f>
        <v>55000</v>
      </c>
      <c r="L581" s="8">
        <v>24</v>
      </c>
      <c r="M581" s="19">
        <f t="shared" si="45"/>
        <v>2040000</v>
      </c>
      <c r="N581" s="9">
        <v>0</v>
      </c>
      <c r="O581" s="19">
        <f t="shared" si="46"/>
        <v>0</v>
      </c>
      <c r="P581" s="19">
        <f t="shared" si="47"/>
        <v>2040000</v>
      </c>
      <c r="Q581" s="19">
        <f t="shared" si="48"/>
        <v>1320000</v>
      </c>
      <c r="R581" s="19">
        <f t="shared" si="49"/>
        <v>720000</v>
      </c>
    </row>
    <row r="582" spans="1:18" x14ac:dyDescent="0.25">
      <c r="A582" t="str">
        <f>_xlfn.XLOOKUP(C582,Raw_Data_Transaksi!$A$1:$A$1001,Raw_Data_Transaksi!$D$1:$D$1001,,0)</f>
        <v>PRD-108</v>
      </c>
      <c r="B582" t="str">
        <f>_xlfn.XLOOKUP(C582,Raw_Data_Transaksi!$A$1:$A$1001,Raw_Data_Transaksi!$C$1:$C$1001,,0)</f>
        <v>SLS-06</v>
      </c>
      <c r="C582" s="6" t="s">
        <v>666</v>
      </c>
      <c r="D582" s="7">
        <v>45955</v>
      </c>
      <c r="E582" s="10" t="str">
        <f>VLOOKUP(B582,Master_Sales!$A$1:$D$9,2,FALSE)</f>
        <v>Fajar Nugraha</v>
      </c>
      <c r="F582" s="10" t="str">
        <f>INDEX(Master_Sales!$D$1:$D$9,MATCH(Lembar_Kerja_Analisis!B582,Master_Sales!$A$1:$A$9,0))</f>
        <v>Timur</v>
      </c>
      <c r="G582" s="10" t="str">
        <f>INDEX(Master_Sales!$C$1:$C$9,MATCH(Lembar_Kerja_Analisis!B582,Master_Sales!$A$1:$A$9,0))</f>
        <v>Makassar</v>
      </c>
      <c r="H582" s="10" t="str">
        <f>VLOOKUP(A582,Master_Produk!$A$1:$E$16,2,FALSE)</f>
        <v>Sepatu Sneakers Pria/Wanita</v>
      </c>
      <c r="I582" s="10" t="str">
        <f>INDEX(Master_Produk!$C$1:$C$16,MATCH(Lembar_Kerja_Analisis!A582,Master_Produk!$A$1:$A$16,0))</f>
        <v>Fashion</v>
      </c>
      <c r="J582" s="19">
        <f>_xlfn.XLOOKUP(A582,Master_Produk!$A$1:$A$16,Master_Produk!$D$1:$D$16,,0)</f>
        <v>450000</v>
      </c>
      <c r="K582" s="19">
        <f>INDEX(Master_Produk!$E$1:$E$16,MATCH(Lembar_Kerja_Analisis!A582,Master_Produk!$A$1:$A$16,0))</f>
        <v>290000</v>
      </c>
      <c r="L582" s="8">
        <v>6</v>
      </c>
      <c r="M582" s="19">
        <f t="shared" si="45"/>
        <v>2700000</v>
      </c>
      <c r="N582" s="9">
        <v>0.05</v>
      </c>
      <c r="O582" s="19">
        <f t="shared" si="46"/>
        <v>135000</v>
      </c>
      <c r="P582" s="19">
        <f t="shared" si="47"/>
        <v>2565000</v>
      </c>
      <c r="Q582" s="19">
        <f t="shared" si="48"/>
        <v>1740000</v>
      </c>
      <c r="R582" s="19">
        <f t="shared" si="49"/>
        <v>825000</v>
      </c>
    </row>
    <row r="583" spans="1:18" x14ac:dyDescent="0.25">
      <c r="A583" t="str">
        <f>_xlfn.XLOOKUP(C583,Raw_Data_Transaksi!$A$1:$A$1001,Raw_Data_Transaksi!$D$1:$D$1001,,0)</f>
        <v>PRD-102</v>
      </c>
      <c r="B583" t="str">
        <f>_xlfn.XLOOKUP(C583,Raw_Data_Transaksi!$A$1:$A$1001,Raw_Data_Transaksi!$C$1:$C$1001,,0)</f>
        <v>SLS-04</v>
      </c>
      <c r="C583" s="6" t="s">
        <v>667</v>
      </c>
      <c r="D583" s="7">
        <v>45975</v>
      </c>
      <c r="E583" s="10" t="str">
        <f>VLOOKUP(B583,Master_Sales!$A$1:$D$9,2,FALSE)</f>
        <v>Dewi Anggraini</v>
      </c>
      <c r="F583" s="10" t="str">
        <f>INDEX(Master_Sales!$D$1:$D$9,MATCH(Lembar_Kerja_Analisis!B583,Master_Sales!$A$1:$A$9,0))</f>
        <v>Barat</v>
      </c>
      <c r="G583" s="10" t="str">
        <f>INDEX(Master_Sales!$C$1:$C$9,MATCH(Lembar_Kerja_Analisis!B583,Master_Sales!$A$1:$A$9,0))</f>
        <v>Medan</v>
      </c>
      <c r="H583" s="10" t="str">
        <f>VLOOKUP(A583,Master_Produk!$A$1:$E$16,2,FALSE)</f>
        <v>Wireless Mouse Ergonomic</v>
      </c>
      <c r="I583" s="10" t="str">
        <f>INDEX(Master_Produk!$C$1:$C$16,MATCH(Lembar_Kerja_Analisis!A583,Master_Produk!$A$1:$A$16,0))</f>
        <v>Elektronik</v>
      </c>
      <c r="J583" s="19">
        <f>_xlfn.XLOOKUP(A583,Master_Produk!$A$1:$A$16,Master_Produk!$D$1:$D$16,,0)</f>
        <v>250000</v>
      </c>
      <c r="K583" s="19">
        <f>INDEX(Master_Produk!$E$1:$E$16,MATCH(Lembar_Kerja_Analisis!A583,Master_Produk!$A$1:$A$16,0))</f>
        <v>160000</v>
      </c>
      <c r="L583" s="8">
        <v>6</v>
      </c>
      <c r="M583" s="19">
        <f t="shared" si="45"/>
        <v>1500000</v>
      </c>
      <c r="N583" s="9">
        <v>0.15</v>
      </c>
      <c r="O583" s="19">
        <f t="shared" si="46"/>
        <v>225000</v>
      </c>
      <c r="P583" s="19">
        <f t="shared" si="47"/>
        <v>1275000</v>
      </c>
      <c r="Q583" s="19">
        <f t="shared" si="48"/>
        <v>960000</v>
      </c>
      <c r="R583" s="19">
        <f t="shared" si="49"/>
        <v>315000</v>
      </c>
    </row>
    <row r="584" spans="1:18" x14ac:dyDescent="0.25">
      <c r="A584" t="str">
        <f>_xlfn.XLOOKUP(C584,Raw_Data_Transaksi!$A$1:$A$1001,Raw_Data_Transaksi!$D$1:$D$1001,,0)</f>
        <v>PRD-110</v>
      </c>
      <c r="B584" t="str">
        <f>_xlfn.XLOOKUP(C584,Raw_Data_Transaksi!$A$1:$A$1001,Raw_Data_Transaksi!$C$1:$C$1001,,0)</f>
        <v>SLS-03</v>
      </c>
      <c r="C584" s="6" t="s">
        <v>668</v>
      </c>
      <c r="D584" s="7">
        <v>46013</v>
      </c>
      <c r="E584" s="10" t="str">
        <f>VLOOKUP(B584,Master_Sales!$A$1:$D$9,2,FALSE)</f>
        <v>Citra Lestari</v>
      </c>
      <c r="F584" s="10" t="str">
        <f>INDEX(Master_Sales!$D$1:$D$9,MATCH(Lembar_Kerja_Analisis!B584,Master_Sales!$A$1:$A$9,0))</f>
        <v>Barat</v>
      </c>
      <c r="G584" s="10" t="str">
        <f>INDEX(Master_Sales!$C$1:$C$9,MATCH(Lembar_Kerja_Analisis!B584,Master_Sales!$A$1:$A$9,0))</f>
        <v>Bandung</v>
      </c>
      <c r="H584" s="10" t="str">
        <f>VLOOKUP(A584,Master_Produk!$A$1:$E$16,2,FALSE)</f>
        <v>Minyak Goreng Sawit 2L</v>
      </c>
      <c r="I584" s="10" t="str">
        <f>INDEX(Master_Produk!$C$1:$C$16,MATCH(Lembar_Kerja_Analisis!A584,Master_Produk!$A$1:$A$16,0))</f>
        <v>F&amp;B</v>
      </c>
      <c r="J584" s="19">
        <f>_xlfn.XLOOKUP(A584,Master_Produk!$A$1:$A$16,Master_Produk!$D$1:$D$16,,0)</f>
        <v>36000</v>
      </c>
      <c r="K584" s="19">
        <f>INDEX(Master_Produk!$E$1:$E$16,MATCH(Lembar_Kerja_Analisis!A584,Master_Produk!$A$1:$A$16,0))</f>
        <v>31000</v>
      </c>
      <c r="L584" s="8">
        <v>21</v>
      </c>
      <c r="M584" s="19">
        <f t="shared" si="45"/>
        <v>756000</v>
      </c>
      <c r="N584" s="9">
        <v>0.1</v>
      </c>
      <c r="O584" s="19">
        <f t="shared" si="46"/>
        <v>75600</v>
      </c>
      <c r="P584" s="19">
        <f t="shared" si="47"/>
        <v>680400</v>
      </c>
      <c r="Q584" s="19">
        <f t="shared" si="48"/>
        <v>651000</v>
      </c>
      <c r="R584" s="19">
        <f t="shared" si="49"/>
        <v>29400</v>
      </c>
    </row>
    <row r="585" spans="1:18" x14ac:dyDescent="0.25">
      <c r="A585" t="str">
        <f>_xlfn.XLOOKUP(C585,Raw_Data_Transaksi!$A$1:$A$1001,Raw_Data_Transaksi!$D$1:$D$1001,,0)</f>
        <v>PRD-106</v>
      </c>
      <c r="B585" t="str">
        <f>_xlfn.XLOOKUP(C585,Raw_Data_Transaksi!$A$1:$A$1001,Raw_Data_Transaksi!$C$1:$C$1001,,0)</f>
        <v>SLS-04</v>
      </c>
      <c r="C585" s="6" t="s">
        <v>669</v>
      </c>
      <c r="D585" s="7">
        <v>45660</v>
      </c>
      <c r="E585" s="10" t="str">
        <f>VLOOKUP(B585,Master_Sales!$A$1:$D$9,2,FALSE)</f>
        <v>Dewi Anggraini</v>
      </c>
      <c r="F585" s="10" t="str">
        <f>INDEX(Master_Sales!$D$1:$D$9,MATCH(Lembar_Kerja_Analisis!B585,Master_Sales!$A$1:$A$9,0))</f>
        <v>Barat</v>
      </c>
      <c r="G585" s="10" t="str">
        <f>INDEX(Master_Sales!$C$1:$C$9,MATCH(Lembar_Kerja_Analisis!B585,Master_Sales!$A$1:$A$9,0))</f>
        <v>Medan</v>
      </c>
      <c r="H585" s="10" t="str">
        <f>VLOOKUP(A585,Master_Produk!$A$1:$E$16,2,FALSE)</f>
        <v>Celana Chino Slim Fit</v>
      </c>
      <c r="I585" s="10" t="str">
        <f>INDEX(Master_Produk!$C$1:$C$16,MATCH(Lembar_Kerja_Analisis!A585,Master_Produk!$A$1:$A$16,0))</f>
        <v>Fashion</v>
      </c>
      <c r="J585" s="19">
        <f>_xlfn.XLOOKUP(A585,Master_Produk!$A$1:$A$16,Master_Produk!$D$1:$D$16,,0)</f>
        <v>280000</v>
      </c>
      <c r="K585" s="19">
        <f>INDEX(Master_Produk!$E$1:$E$16,MATCH(Lembar_Kerja_Analisis!A585,Master_Produk!$A$1:$A$16,0))</f>
        <v>175000</v>
      </c>
      <c r="L585" s="8">
        <v>4</v>
      </c>
      <c r="M585" s="19">
        <f t="shared" si="45"/>
        <v>1120000</v>
      </c>
      <c r="N585" s="9">
        <v>0.15</v>
      </c>
      <c r="O585" s="19">
        <f t="shared" si="46"/>
        <v>168000</v>
      </c>
      <c r="P585" s="19">
        <f t="shared" si="47"/>
        <v>952000</v>
      </c>
      <c r="Q585" s="19">
        <f t="shared" si="48"/>
        <v>700000</v>
      </c>
      <c r="R585" s="19">
        <f t="shared" si="49"/>
        <v>252000</v>
      </c>
    </row>
    <row r="586" spans="1:18" x14ac:dyDescent="0.25">
      <c r="A586" t="str">
        <f>_xlfn.XLOOKUP(C586,Raw_Data_Transaksi!$A$1:$A$1001,Raw_Data_Transaksi!$D$1:$D$1001,,0)</f>
        <v>PRD-112</v>
      </c>
      <c r="B586" t="str">
        <f>_xlfn.XLOOKUP(C586,Raw_Data_Transaksi!$A$1:$A$1001,Raw_Data_Transaksi!$C$1:$C$1001,,0)</f>
        <v>SLS-06</v>
      </c>
      <c r="C586" s="6" t="s">
        <v>670</v>
      </c>
      <c r="D586" s="7">
        <v>46005</v>
      </c>
      <c r="E586" s="10" t="str">
        <f>VLOOKUP(B586,Master_Sales!$A$1:$D$9,2,FALSE)</f>
        <v>Fajar Nugraha</v>
      </c>
      <c r="F586" s="10" t="str">
        <f>INDEX(Master_Sales!$D$1:$D$9,MATCH(Lembar_Kerja_Analisis!B586,Master_Sales!$A$1:$A$9,0))</f>
        <v>Timur</v>
      </c>
      <c r="G586" s="10" t="str">
        <f>INDEX(Master_Sales!$C$1:$C$9,MATCH(Lembar_Kerja_Analisis!B586,Master_Sales!$A$1:$A$9,0))</f>
        <v>Makassar</v>
      </c>
      <c r="H586" s="10" t="str">
        <f>VLOOKUP(A586,Master_Produk!$A$1:$E$16,2,FALSE)</f>
        <v>Susu UHT Full Cream 1L</v>
      </c>
      <c r="I586" s="10" t="str">
        <f>INDEX(Master_Produk!$C$1:$C$16,MATCH(Lembar_Kerja_Analisis!A586,Master_Produk!$A$1:$A$16,0))</f>
        <v>F&amp;B</v>
      </c>
      <c r="J586" s="19">
        <f>_xlfn.XLOOKUP(A586,Master_Produk!$A$1:$A$16,Master_Produk!$D$1:$D$16,,0)</f>
        <v>22000</v>
      </c>
      <c r="K586" s="19">
        <f>INDEX(Master_Produk!$E$1:$E$16,MATCH(Lembar_Kerja_Analisis!A586,Master_Produk!$A$1:$A$16,0))</f>
        <v>18000</v>
      </c>
      <c r="L586" s="8">
        <v>17</v>
      </c>
      <c r="M586" s="19">
        <f t="shared" si="45"/>
        <v>374000</v>
      </c>
      <c r="N586" s="9">
        <v>0.15</v>
      </c>
      <c r="O586" s="19">
        <f t="shared" si="46"/>
        <v>56100</v>
      </c>
      <c r="P586" s="19">
        <f t="shared" si="47"/>
        <v>317900</v>
      </c>
      <c r="Q586" s="19">
        <f t="shared" si="48"/>
        <v>306000</v>
      </c>
      <c r="R586" s="19">
        <f t="shared" si="49"/>
        <v>11900</v>
      </c>
    </row>
    <row r="587" spans="1:18" x14ac:dyDescent="0.25">
      <c r="A587" t="str">
        <f>_xlfn.XLOOKUP(C587,Raw_Data_Transaksi!$A$1:$A$1001,Raw_Data_Transaksi!$D$1:$D$1001,,0)</f>
        <v>PRD-102</v>
      </c>
      <c r="B587" t="str">
        <f>_xlfn.XLOOKUP(C587,Raw_Data_Transaksi!$A$1:$A$1001,Raw_Data_Transaksi!$C$1:$C$1001,,0)</f>
        <v>SLS-03</v>
      </c>
      <c r="C587" s="6" t="s">
        <v>671</v>
      </c>
      <c r="D587" s="7">
        <v>45940</v>
      </c>
      <c r="E587" s="10" t="str">
        <f>VLOOKUP(B587,Master_Sales!$A$1:$D$9,2,FALSE)</f>
        <v>Citra Lestari</v>
      </c>
      <c r="F587" s="10" t="str">
        <f>INDEX(Master_Sales!$D$1:$D$9,MATCH(Lembar_Kerja_Analisis!B587,Master_Sales!$A$1:$A$9,0))</f>
        <v>Barat</v>
      </c>
      <c r="G587" s="10" t="str">
        <f>INDEX(Master_Sales!$C$1:$C$9,MATCH(Lembar_Kerja_Analisis!B587,Master_Sales!$A$1:$A$9,0))</f>
        <v>Bandung</v>
      </c>
      <c r="H587" s="10" t="str">
        <f>VLOOKUP(A587,Master_Produk!$A$1:$E$16,2,FALSE)</f>
        <v>Wireless Mouse Ergonomic</v>
      </c>
      <c r="I587" s="10" t="str">
        <f>INDEX(Master_Produk!$C$1:$C$16,MATCH(Lembar_Kerja_Analisis!A587,Master_Produk!$A$1:$A$16,0))</f>
        <v>Elektronik</v>
      </c>
      <c r="J587" s="19">
        <f>_xlfn.XLOOKUP(A587,Master_Produk!$A$1:$A$16,Master_Produk!$D$1:$D$16,,0)</f>
        <v>250000</v>
      </c>
      <c r="K587" s="19">
        <f>INDEX(Master_Produk!$E$1:$E$16,MATCH(Lembar_Kerja_Analisis!A587,Master_Produk!$A$1:$A$16,0))</f>
        <v>160000</v>
      </c>
      <c r="L587" s="8">
        <v>11</v>
      </c>
      <c r="M587" s="19">
        <f t="shared" si="45"/>
        <v>2750000</v>
      </c>
      <c r="N587" s="9">
        <v>0.2</v>
      </c>
      <c r="O587" s="19">
        <f t="shared" si="46"/>
        <v>550000</v>
      </c>
      <c r="P587" s="19">
        <f t="shared" si="47"/>
        <v>2200000</v>
      </c>
      <c r="Q587" s="19">
        <f t="shared" si="48"/>
        <v>1760000</v>
      </c>
      <c r="R587" s="19">
        <f t="shared" si="49"/>
        <v>440000</v>
      </c>
    </row>
    <row r="588" spans="1:18" x14ac:dyDescent="0.25">
      <c r="A588" t="str">
        <f>_xlfn.XLOOKUP(C588,Raw_Data_Transaksi!$A$1:$A$1001,Raw_Data_Transaksi!$D$1:$D$1001,,0)</f>
        <v>PRD-104</v>
      </c>
      <c r="B588" t="str">
        <f>_xlfn.XLOOKUP(C588,Raw_Data_Transaksi!$A$1:$A$1001,Raw_Data_Transaksi!$C$1:$C$1001,,0)</f>
        <v>SLS-05</v>
      </c>
      <c r="C588" s="6" t="s">
        <v>672</v>
      </c>
      <c r="D588" s="7">
        <v>45933</v>
      </c>
      <c r="E588" s="10" t="str">
        <f>VLOOKUP(B588,Master_Sales!$A$1:$D$9,2,FALSE)</f>
        <v>Eko Prasetyo</v>
      </c>
      <c r="F588" s="10" t="str">
        <f>INDEX(Master_Sales!$D$1:$D$9,MATCH(Lembar_Kerja_Analisis!B588,Master_Sales!$A$1:$A$9,0))</f>
        <v>Tengah</v>
      </c>
      <c r="G588" s="10" t="str">
        <f>INDEX(Master_Sales!$C$1:$C$9,MATCH(Lembar_Kerja_Analisis!B588,Master_Sales!$A$1:$A$9,0))</f>
        <v>Semarang</v>
      </c>
      <c r="H588" s="10" t="str">
        <f>VLOOKUP(A588,Master_Produk!$A$1:$E$16,2,FALSE)</f>
        <v>Monitor 24" FHD 144Hz</v>
      </c>
      <c r="I588" s="10" t="str">
        <f>INDEX(Master_Produk!$C$1:$C$16,MATCH(Lembar_Kerja_Analisis!A588,Master_Produk!$A$1:$A$16,0))</f>
        <v>Elektronik</v>
      </c>
      <c r="J588" s="19">
        <f>_xlfn.XLOOKUP(A588,Master_Produk!$A$1:$A$16,Master_Produk!$D$1:$D$16,,0)</f>
        <v>1950000</v>
      </c>
      <c r="K588" s="19">
        <f>INDEX(Master_Produk!$E$1:$E$16,MATCH(Lembar_Kerja_Analisis!A588,Master_Produk!$A$1:$A$16,0))</f>
        <v>1500000</v>
      </c>
      <c r="L588" s="8">
        <v>12</v>
      </c>
      <c r="M588" s="19">
        <f t="shared" si="45"/>
        <v>23400000</v>
      </c>
      <c r="N588" s="9">
        <v>0</v>
      </c>
      <c r="O588" s="19">
        <f t="shared" si="46"/>
        <v>0</v>
      </c>
      <c r="P588" s="19">
        <f t="shared" si="47"/>
        <v>23400000</v>
      </c>
      <c r="Q588" s="19">
        <f t="shared" si="48"/>
        <v>18000000</v>
      </c>
      <c r="R588" s="19">
        <f t="shared" si="49"/>
        <v>5400000</v>
      </c>
    </row>
    <row r="589" spans="1:18" x14ac:dyDescent="0.25">
      <c r="A589" t="str">
        <f>_xlfn.XLOOKUP(C589,Raw_Data_Transaksi!$A$1:$A$1001,Raw_Data_Transaksi!$D$1:$D$1001,,0)</f>
        <v>PRD-110</v>
      </c>
      <c r="B589" t="str">
        <f>_xlfn.XLOOKUP(C589,Raw_Data_Transaksi!$A$1:$A$1001,Raw_Data_Transaksi!$C$1:$C$1001,,0)</f>
        <v>SLS-07</v>
      </c>
      <c r="C589" s="6" t="s">
        <v>673</v>
      </c>
      <c r="D589" s="7">
        <v>45955</v>
      </c>
      <c r="E589" s="10" t="str">
        <f>VLOOKUP(B589,Master_Sales!$A$1:$D$9,2,FALSE)</f>
        <v>Gita Permata</v>
      </c>
      <c r="F589" s="10" t="str">
        <f>INDEX(Master_Sales!$D$1:$D$9,MATCH(Lembar_Kerja_Analisis!B589,Master_Sales!$A$1:$A$9,0))</f>
        <v>Tengah</v>
      </c>
      <c r="G589" s="10" t="str">
        <f>INDEX(Master_Sales!$C$1:$C$9,MATCH(Lembar_Kerja_Analisis!B589,Master_Sales!$A$1:$A$9,0))</f>
        <v>Denpasar</v>
      </c>
      <c r="H589" s="10" t="str">
        <f>VLOOKUP(A589,Master_Produk!$A$1:$E$16,2,FALSE)</f>
        <v>Minyak Goreng Sawit 2L</v>
      </c>
      <c r="I589" s="10" t="str">
        <f>INDEX(Master_Produk!$C$1:$C$16,MATCH(Lembar_Kerja_Analisis!A589,Master_Produk!$A$1:$A$16,0))</f>
        <v>F&amp;B</v>
      </c>
      <c r="J589" s="19">
        <f>_xlfn.XLOOKUP(A589,Master_Produk!$A$1:$A$16,Master_Produk!$D$1:$D$16,,0)</f>
        <v>36000</v>
      </c>
      <c r="K589" s="19">
        <f>INDEX(Master_Produk!$E$1:$E$16,MATCH(Lembar_Kerja_Analisis!A589,Master_Produk!$A$1:$A$16,0))</f>
        <v>31000</v>
      </c>
      <c r="L589" s="8">
        <v>9</v>
      </c>
      <c r="M589" s="19">
        <f t="shared" si="45"/>
        <v>324000</v>
      </c>
      <c r="N589" s="9">
        <v>0</v>
      </c>
      <c r="O589" s="19">
        <f t="shared" si="46"/>
        <v>0</v>
      </c>
      <c r="P589" s="19">
        <f t="shared" si="47"/>
        <v>324000</v>
      </c>
      <c r="Q589" s="19">
        <f t="shared" si="48"/>
        <v>279000</v>
      </c>
      <c r="R589" s="19">
        <f t="shared" si="49"/>
        <v>45000</v>
      </c>
    </row>
    <row r="590" spans="1:18" x14ac:dyDescent="0.25">
      <c r="A590" t="str">
        <f>_xlfn.XLOOKUP(C590,Raw_Data_Transaksi!$A$1:$A$1001,Raw_Data_Transaksi!$D$1:$D$1001,,0)</f>
        <v>PRD-113</v>
      </c>
      <c r="B590" t="str">
        <f>_xlfn.XLOOKUP(C590,Raw_Data_Transaksi!$A$1:$A$1001,Raw_Data_Transaksi!$C$1:$C$1001,,0)</f>
        <v>SLS-03</v>
      </c>
      <c r="C590" s="6" t="s">
        <v>674</v>
      </c>
      <c r="D590" s="7">
        <v>45992</v>
      </c>
      <c r="E590" s="10" t="str">
        <f>VLOOKUP(B590,Master_Sales!$A$1:$D$9,2,FALSE)</f>
        <v>Citra Lestari</v>
      </c>
      <c r="F590" s="10" t="str">
        <f>INDEX(Master_Sales!$D$1:$D$9,MATCH(Lembar_Kerja_Analisis!B590,Master_Sales!$A$1:$A$9,0))</f>
        <v>Barat</v>
      </c>
      <c r="G590" s="10" t="str">
        <f>INDEX(Master_Sales!$C$1:$C$9,MATCH(Lembar_Kerja_Analisis!B590,Master_Sales!$A$1:$A$9,0))</f>
        <v>Bandung</v>
      </c>
      <c r="H590" s="10" t="str">
        <f>VLOOKUP(A590,Master_Produk!$A$1:$E$16,2,FALSE)</f>
        <v>Wajan Anti Lengket 28cm</v>
      </c>
      <c r="I590" s="10" t="str">
        <f>INDEX(Master_Produk!$C$1:$C$16,MATCH(Lembar_Kerja_Analisis!A590,Master_Produk!$A$1:$A$16,0))</f>
        <v>Peralatan Rumah</v>
      </c>
      <c r="J590" s="19">
        <f>_xlfn.XLOOKUP(A590,Master_Produk!$A$1:$A$16,Master_Produk!$D$1:$D$16,,0)</f>
        <v>210000</v>
      </c>
      <c r="K590" s="19">
        <f>INDEX(Master_Produk!$E$1:$E$16,MATCH(Lembar_Kerja_Analisis!A590,Master_Produk!$A$1:$A$16,0))</f>
        <v>140000</v>
      </c>
      <c r="L590" s="8">
        <v>6</v>
      </c>
      <c r="M590" s="19">
        <f t="shared" si="45"/>
        <v>1260000</v>
      </c>
      <c r="N590" s="9">
        <v>0.15</v>
      </c>
      <c r="O590" s="19">
        <f t="shared" si="46"/>
        <v>189000</v>
      </c>
      <c r="P590" s="19">
        <f t="shared" si="47"/>
        <v>1071000</v>
      </c>
      <c r="Q590" s="19">
        <f t="shared" si="48"/>
        <v>840000</v>
      </c>
      <c r="R590" s="19">
        <f t="shared" si="49"/>
        <v>231000</v>
      </c>
    </row>
    <row r="591" spans="1:18" x14ac:dyDescent="0.25">
      <c r="A591" t="str">
        <f>_xlfn.XLOOKUP(C591,Raw_Data_Transaksi!$A$1:$A$1001,Raw_Data_Transaksi!$D$1:$D$1001,,0)</f>
        <v>PRD-108</v>
      </c>
      <c r="B591" t="str">
        <f>_xlfn.XLOOKUP(C591,Raw_Data_Transaksi!$A$1:$A$1001,Raw_Data_Transaksi!$C$1:$C$1001,,0)</f>
        <v>SLS-02</v>
      </c>
      <c r="C591" s="6" t="s">
        <v>675</v>
      </c>
      <c r="D591" s="7">
        <v>45726</v>
      </c>
      <c r="E591" s="10" t="str">
        <f>VLOOKUP(B591,Master_Sales!$A$1:$D$9,2,FALSE)</f>
        <v>Budi Santoso</v>
      </c>
      <c r="F591" s="10" t="str">
        <f>INDEX(Master_Sales!$D$1:$D$9,MATCH(Lembar_Kerja_Analisis!B591,Master_Sales!$A$1:$A$9,0))</f>
        <v>Timur</v>
      </c>
      <c r="G591" s="10" t="str">
        <f>INDEX(Master_Sales!$C$1:$C$9,MATCH(Lembar_Kerja_Analisis!B591,Master_Sales!$A$1:$A$9,0))</f>
        <v>Surabaya</v>
      </c>
      <c r="H591" s="10" t="str">
        <f>VLOOKUP(A591,Master_Produk!$A$1:$E$16,2,FALSE)</f>
        <v>Sepatu Sneakers Pria/Wanita</v>
      </c>
      <c r="I591" s="10" t="str">
        <f>INDEX(Master_Produk!$C$1:$C$16,MATCH(Lembar_Kerja_Analisis!A591,Master_Produk!$A$1:$A$16,0))</f>
        <v>Fashion</v>
      </c>
      <c r="J591" s="19">
        <f>_xlfn.XLOOKUP(A591,Master_Produk!$A$1:$A$16,Master_Produk!$D$1:$D$16,,0)</f>
        <v>450000</v>
      </c>
      <c r="K591" s="19">
        <f>INDEX(Master_Produk!$E$1:$E$16,MATCH(Lembar_Kerja_Analisis!A591,Master_Produk!$A$1:$A$16,0))</f>
        <v>290000</v>
      </c>
      <c r="L591" s="8">
        <v>7</v>
      </c>
      <c r="M591" s="19">
        <f t="shared" si="45"/>
        <v>3150000</v>
      </c>
      <c r="N591" s="9">
        <v>0.1</v>
      </c>
      <c r="O591" s="19">
        <f t="shared" si="46"/>
        <v>315000</v>
      </c>
      <c r="P591" s="19">
        <f t="shared" si="47"/>
        <v>2835000</v>
      </c>
      <c r="Q591" s="19">
        <f t="shared" si="48"/>
        <v>2030000</v>
      </c>
      <c r="R591" s="19">
        <f t="shared" si="49"/>
        <v>805000</v>
      </c>
    </row>
    <row r="592" spans="1:18" x14ac:dyDescent="0.25">
      <c r="A592" t="str">
        <f>_xlfn.XLOOKUP(C592,Raw_Data_Transaksi!$A$1:$A$1001,Raw_Data_Transaksi!$D$1:$D$1001,,0)</f>
        <v>PRD-111</v>
      </c>
      <c r="B592" t="str">
        <f>_xlfn.XLOOKUP(C592,Raw_Data_Transaksi!$A$1:$A$1001,Raw_Data_Transaksi!$C$1:$C$1001,,0)</f>
        <v>SLS-03</v>
      </c>
      <c r="C592" s="6" t="s">
        <v>676</v>
      </c>
      <c r="D592" s="7">
        <v>45972</v>
      </c>
      <c r="E592" s="10" t="str">
        <f>VLOOKUP(B592,Master_Sales!$A$1:$D$9,2,FALSE)</f>
        <v>Citra Lestari</v>
      </c>
      <c r="F592" s="10" t="str">
        <f>INDEX(Master_Sales!$D$1:$D$9,MATCH(Lembar_Kerja_Analisis!B592,Master_Sales!$A$1:$A$9,0))</f>
        <v>Barat</v>
      </c>
      <c r="G592" s="10" t="str">
        <f>INDEX(Master_Sales!$C$1:$C$9,MATCH(Lembar_Kerja_Analisis!B592,Master_Sales!$A$1:$A$9,0))</f>
        <v>Bandung</v>
      </c>
      <c r="H592" s="10" t="str">
        <f>VLOOKUP(A592,Master_Produk!$A$1:$E$16,2,FALSE)</f>
        <v>Beras Premium 5kg</v>
      </c>
      <c r="I592" s="10" t="str">
        <f>INDEX(Master_Produk!$C$1:$C$16,MATCH(Lembar_Kerja_Analisis!A592,Master_Produk!$A$1:$A$16,0))</f>
        <v>F&amp;B</v>
      </c>
      <c r="J592" s="19">
        <f>_xlfn.XLOOKUP(A592,Master_Produk!$A$1:$A$16,Master_Produk!$D$1:$D$16,,0)</f>
        <v>74000</v>
      </c>
      <c r="K592" s="19">
        <f>INDEX(Master_Produk!$E$1:$E$16,MATCH(Lembar_Kerja_Analisis!A592,Master_Produk!$A$1:$A$16,0))</f>
        <v>65000</v>
      </c>
      <c r="L592" s="8">
        <v>7</v>
      </c>
      <c r="M592" s="19">
        <f t="shared" si="45"/>
        <v>518000</v>
      </c>
      <c r="N592" s="9">
        <v>0.15</v>
      </c>
      <c r="O592" s="19">
        <f t="shared" si="46"/>
        <v>77700</v>
      </c>
      <c r="P592" s="19">
        <f t="shared" si="47"/>
        <v>440300</v>
      </c>
      <c r="Q592" s="19">
        <f t="shared" si="48"/>
        <v>455000</v>
      </c>
      <c r="R592" s="19">
        <f t="shared" si="49"/>
        <v>-14700</v>
      </c>
    </row>
    <row r="593" spans="1:18" x14ac:dyDescent="0.25">
      <c r="A593" t="str">
        <f>_xlfn.XLOOKUP(C593,Raw_Data_Transaksi!$A$1:$A$1001,Raw_Data_Transaksi!$D$1:$D$1001,,0)</f>
        <v>PRD-106</v>
      </c>
      <c r="B593" t="str">
        <f>_xlfn.XLOOKUP(C593,Raw_Data_Transaksi!$A$1:$A$1001,Raw_Data_Transaksi!$C$1:$C$1001,,0)</f>
        <v>SLS-01</v>
      </c>
      <c r="C593" s="6" t="s">
        <v>677</v>
      </c>
      <c r="D593" s="7">
        <v>45905</v>
      </c>
      <c r="E593" s="10" t="str">
        <f>VLOOKUP(B593,Master_Sales!$A$1:$D$9,2,FALSE)</f>
        <v>Andi Pratama</v>
      </c>
      <c r="F593" s="10" t="str">
        <f>INDEX(Master_Sales!$D$1:$D$9,MATCH(Lembar_Kerja_Analisis!B593,Master_Sales!$A$1:$A$9,0))</f>
        <v>Barat</v>
      </c>
      <c r="G593" s="10" t="str">
        <f>INDEX(Master_Sales!$C$1:$C$9,MATCH(Lembar_Kerja_Analisis!B593,Master_Sales!$A$1:$A$9,0))</f>
        <v>Jakarta</v>
      </c>
      <c r="H593" s="10" t="str">
        <f>VLOOKUP(A593,Master_Produk!$A$1:$E$16,2,FALSE)</f>
        <v>Celana Chino Slim Fit</v>
      </c>
      <c r="I593" s="10" t="str">
        <f>INDEX(Master_Produk!$C$1:$C$16,MATCH(Lembar_Kerja_Analisis!A593,Master_Produk!$A$1:$A$16,0))</f>
        <v>Fashion</v>
      </c>
      <c r="J593" s="19">
        <f>_xlfn.XLOOKUP(A593,Master_Produk!$A$1:$A$16,Master_Produk!$D$1:$D$16,,0)</f>
        <v>280000</v>
      </c>
      <c r="K593" s="19">
        <f>INDEX(Master_Produk!$E$1:$E$16,MATCH(Lembar_Kerja_Analisis!A593,Master_Produk!$A$1:$A$16,0))</f>
        <v>175000</v>
      </c>
      <c r="L593" s="8">
        <v>4</v>
      </c>
      <c r="M593" s="19">
        <f t="shared" si="45"/>
        <v>1120000</v>
      </c>
      <c r="N593" s="9">
        <v>0.15</v>
      </c>
      <c r="O593" s="19">
        <f t="shared" si="46"/>
        <v>168000</v>
      </c>
      <c r="P593" s="19">
        <f t="shared" si="47"/>
        <v>952000</v>
      </c>
      <c r="Q593" s="19">
        <f t="shared" si="48"/>
        <v>700000</v>
      </c>
      <c r="R593" s="19">
        <f t="shared" si="49"/>
        <v>252000</v>
      </c>
    </row>
    <row r="594" spans="1:18" x14ac:dyDescent="0.25">
      <c r="A594" t="str">
        <f>_xlfn.XLOOKUP(C594,Raw_Data_Transaksi!$A$1:$A$1001,Raw_Data_Transaksi!$D$1:$D$1001,,0)</f>
        <v>PRD-104</v>
      </c>
      <c r="B594" t="str">
        <f>_xlfn.XLOOKUP(C594,Raw_Data_Transaksi!$A$1:$A$1001,Raw_Data_Transaksi!$C$1:$C$1001,,0)</f>
        <v>SLS-01</v>
      </c>
      <c r="C594" s="6" t="s">
        <v>678</v>
      </c>
      <c r="D594" s="7">
        <v>45847</v>
      </c>
      <c r="E594" s="10" t="str">
        <f>VLOOKUP(B594,Master_Sales!$A$1:$D$9,2,FALSE)</f>
        <v>Andi Pratama</v>
      </c>
      <c r="F594" s="10" t="str">
        <f>INDEX(Master_Sales!$D$1:$D$9,MATCH(Lembar_Kerja_Analisis!B594,Master_Sales!$A$1:$A$9,0))</f>
        <v>Barat</v>
      </c>
      <c r="G594" s="10" t="str">
        <f>INDEX(Master_Sales!$C$1:$C$9,MATCH(Lembar_Kerja_Analisis!B594,Master_Sales!$A$1:$A$9,0))</f>
        <v>Jakarta</v>
      </c>
      <c r="H594" s="10" t="str">
        <f>VLOOKUP(A594,Master_Produk!$A$1:$E$16,2,FALSE)</f>
        <v>Monitor 24" FHD 144Hz</v>
      </c>
      <c r="I594" s="10" t="str">
        <f>INDEX(Master_Produk!$C$1:$C$16,MATCH(Lembar_Kerja_Analisis!A594,Master_Produk!$A$1:$A$16,0))</f>
        <v>Elektronik</v>
      </c>
      <c r="J594" s="19">
        <f>_xlfn.XLOOKUP(A594,Master_Produk!$A$1:$A$16,Master_Produk!$D$1:$D$16,,0)</f>
        <v>1950000</v>
      </c>
      <c r="K594" s="19">
        <f>INDEX(Master_Produk!$E$1:$E$16,MATCH(Lembar_Kerja_Analisis!A594,Master_Produk!$A$1:$A$16,0))</f>
        <v>1500000</v>
      </c>
      <c r="L594" s="8">
        <v>11</v>
      </c>
      <c r="M594" s="19">
        <f t="shared" si="45"/>
        <v>21450000</v>
      </c>
      <c r="N594" s="9">
        <v>0.05</v>
      </c>
      <c r="O594" s="19">
        <f t="shared" si="46"/>
        <v>1072500</v>
      </c>
      <c r="P594" s="19">
        <f t="shared" si="47"/>
        <v>20377500</v>
      </c>
      <c r="Q594" s="19">
        <f t="shared" si="48"/>
        <v>16500000</v>
      </c>
      <c r="R594" s="19">
        <f t="shared" si="49"/>
        <v>3877500</v>
      </c>
    </row>
    <row r="595" spans="1:18" x14ac:dyDescent="0.25">
      <c r="A595" t="str">
        <f>_xlfn.XLOOKUP(C595,Raw_Data_Transaksi!$A$1:$A$1001,Raw_Data_Transaksi!$D$1:$D$1001,,0)</f>
        <v>PRD-115</v>
      </c>
      <c r="B595" t="str">
        <f>_xlfn.XLOOKUP(C595,Raw_Data_Transaksi!$A$1:$A$1001,Raw_Data_Transaksi!$C$1:$C$1001,,0)</f>
        <v>SLS-01</v>
      </c>
      <c r="C595" s="6" t="s">
        <v>679</v>
      </c>
      <c r="D595" s="7">
        <v>45890</v>
      </c>
      <c r="E595" s="10" t="str">
        <f>VLOOKUP(B595,Master_Sales!$A$1:$D$9,2,FALSE)</f>
        <v>Andi Pratama</v>
      </c>
      <c r="F595" s="10" t="str">
        <f>INDEX(Master_Sales!$D$1:$D$9,MATCH(Lembar_Kerja_Analisis!B595,Master_Sales!$A$1:$A$9,0))</f>
        <v>Barat</v>
      </c>
      <c r="G595" s="10" t="str">
        <f>INDEX(Master_Sales!$C$1:$C$9,MATCH(Lembar_Kerja_Analisis!B595,Master_Sales!$A$1:$A$9,0))</f>
        <v>Jakarta</v>
      </c>
      <c r="H595" s="10" t="str">
        <f>VLOOKUP(A595,Master_Produk!$A$1:$E$16,2,FALSE)</f>
        <v>Set Pisau Dapur Stainless</v>
      </c>
      <c r="I595" s="10" t="str">
        <f>INDEX(Master_Produk!$C$1:$C$16,MATCH(Lembar_Kerja_Analisis!A595,Master_Produk!$A$1:$A$16,0))</f>
        <v>Peralatan Rumah</v>
      </c>
      <c r="J595" s="19">
        <f>_xlfn.XLOOKUP(A595,Master_Produk!$A$1:$A$16,Master_Produk!$D$1:$D$16,,0)</f>
        <v>165000</v>
      </c>
      <c r="K595" s="19">
        <f>INDEX(Master_Produk!$E$1:$E$16,MATCH(Lembar_Kerja_Analisis!A595,Master_Produk!$A$1:$A$16,0))</f>
        <v>105000</v>
      </c>
      <c r="L595" s="8">
        <v>1</v>
      </c>
      <c r="M595" s="19">
        <f t="shared" si="45"/>
        <v>165000</v>
      </c>
      <c r="N595" s="9">
        <v>0.1</v>
      </c>
      <c r="O595" s="19">
        <f t="shared" si="46"/>
        <v>16500</v>
      </c>
      <c r="P595" s="19">
        <f t="shared" si="47"/>
        <v>148500</v>
      </c>
      <c r="Q595" s="19">
        <f t="shared" si="48"/>
        <v>105000</v>
      </c>
      <c r="R595" s="19">
        <f t="shared" si="49"/>
        <v>43500</v>
      </c>
    </row>
    <row r="596" spans="1:18" x14ac:dyDescent="0.25">
      <c r="A596" t="str">
        <f>_xlfn.XLOOKUP(C596,Raw_Data_Transaksi!$A$1:$A$1001,Raw_Data_Transaksi!$D$1:$D$1001,,0)</f>
        <v>PRD-110</v>
      </c>
      <c r="B596" t="str">
        <f>_xlfn.XLOOKUP(C596,Raw_Data_Transaksi!$A$1:$A$1001,Raw_Data_Transaksi!$C$1:$C$1001,,0)</f>
        <v>SLS-03</v>
      </c>
      <c r="C596" s="6" t="s">
        <v>680</v>
      </c>
      <c r="D596" s="7">
        <v>45792</v>
      </c>
      <c r="E596" s="10" t="str">
        <f>VLOOKUP(B596,Master_Sales!$A$1:$D$9,2,FALSE)</f>
        <v>Citra Lestari</v>
      </c>
      <c r="F596" s="10" t="str">
        <f>INDEX(Master_Sales!$D$1:$D$9,MATCH(Lembar_Kerja_Analisis!B596,Master_Sales!$A$1:$A$9,0))</f>
        <v>Barat</v>
      </c>
      <c r="G596" s="10" t="str">
        <f>INDEX(Master_Sales!$C$1:$C$9,MATCH(Lembar_Kerja_Analisis!B596,Master_Sales!$A$1:$A$9,0))</f>
        <v>Bandung</v>
      </c>
      <c r="H596" s="10" t="str">
        <f>VLOOKUP(A596,Master_Produk!$A$1:$E$16,2,FALSE)</f>
        <v>Minyak Goreng Sawit 2L</v>
      </c>
      <c r="I596" s="10" t="str">
        <f>INDEX(Master_Produk!$C$1:$C$16,MATCH(Lembar_Kerja_Analisis!A596,Master_Produk!$A$1:$A$16,0))</f>
        <v>F&amp;B</v>
      </c>
      <c r="J596" s="19">
        <f>_xlfn.XLOOKUP(A596,Master_Produk!$A$1:$A$16,Master_Produk!$D$1:$D$16,,0)</f>
        <v>36000</v>
      </c>
      <c r="K596" s="19">
        <f>INDEX(Master_Produk!$E$1:$E$16,MATCH(Lembar_Kerja_Analisis!A596,Master_Produk!$A$1:$A$16,0))</f>
        <v>31000</v>
      </c>
      <c r="L596" s="8">
        <v>23</v>
      </c>
      <c r="M596" s="19">
        <f t="shared" si="45"/>
        <v>828000</v>
      </c>
      <c r="N596" s="9">
        <v>0.15</v>
      </c>
      <c r="O596" s="19">
        <f t="shared" si="46"/>
        <v>124200</v>
      </c>
      <c r="P596" s="19">
        <f t="shared" si="47"/>
        <v>703800</v>
      </c>
      <c r="Q596" s="19">
        <f t="shared" si="48"/>
        <v>713000</v>
      </c>
      <c r="R596" s="19">
        <f t="shared" si="49"/>
        <v>-9200</v>
      </c>
    </row>
    <row r="597" spans="1:18" x14ac:dyDescent="0.25">
      <c r="A597" t="str">
        <f>_xlfn.XLOOKUP(C597,Raw_Data_Transaksi!$A$1:$A$1001,Raw_Data_Transaksi!$D$1:$D$1001,,0)</f>
        <v>PRD-105</v>
      </c>
      <c r="B597" t="str">
        <f>_xlfn.XLOOKUP(C597,Raw_Data_Transaksi!$A$1:$A$1001,Raw_Data_Transaksi!$C$1:$C$1001,,0)</f>
        <v>SLS-07</v>
      </c>
      <c r="C597" s="6" t="s">
        <v>681</v>
      </c>
      <c r="D597" s="7">
        <v>45922</v>
      </c>
      <c r="E597" s="10" t="str">
        <f>VLOOKUP(B597,Master_Sales!$A$1:$D$9,2,FALSE)</f>
        <v>Gita Permata</v>
      </c>
      <c r="F597" s="10" t="str">
        <f>INDEX(Master_Sales!$D$1:$D$9,MATCH(Lembar_Kerja_Analisis!B597,Master_Sales!$A$1:$A$9,0))</f>
        <v>Tengah</v>
      </c>
      <c r="G597" s="10" t="str">
        <f>INDEX(Master_Sales!$C$1:$C$9,MATCH(Lembar_Kerja_Analisis!B597,Master_Sales!$A$1:$A$9,0))</f>
        <v>Denpasar</v>
      </c>
      <c r="H597" s="10" t="str">
        <f>VLOOKUP(A597,Master_Produk!$A$1:$E$16,2,FALSE)</f>
        <v>Kemeja Batik Katun Premium</v>
      </c>
      <c r="I597" s="10" t="str">
        <f>INDEX(Master_Produk!$C$1:$C$16,MATCH(Lembar_Kerja_Analisis!A597,Master_Produk!$A$1:$A$16,0))</f>
        <v>Fashion</v>
      </c>
      <c r="J597" s="19">
        <f>_xlfn.XLOOKUP(A597,Master_Produk!$A$1:$A$16,Master_Produk!$D$1:$D$16,,0)</f>
        <v>320000</v>
      </c>
      <c r="K597" s="19">
        <f>INDEX(Master_Produk!$E$1:$E$16,MATCH(Lembar_Kerja_Analisis!A597,Master_Produk!$A$1:$A$16,0))</f>
        <v>190000</v>
      </c>
      <c r="L597" s="8">
        <v>4</v>
      </c>
      <c r="M597" s="19">
        <f t="shared" si="45"/>
        <v>1280000</v>
      </c>
      <c r="N597" s="9">
        <v>0.2</v>
      </c>
      <c r="O597" s="19">
        <f t="shared" si="46"/>
        <v>256000</v>
      </c>
      <c r="P597" s="19">
        <f t="shared" si="47"/>
        <v>1024000</v>
      </c>
      <c r="Q597" s="19">
        <f t="shared" si="48"/>
        <v>760000</v>
      </c>
      <c r="R597" s="19">
        <f t="shared" si="49"/>
        <v>264000</v>
      </c>
    </row>
    <row r="598" spans="1:18" x14ac:dyDescent="0.25">
      <c r="A598" t="str">
        <f>_xlfn.XLOOKUP(C598,Raw_Data_Transaksi!$A$1:$A$1001,Raw_Data_Transaksi!$D$1:$D$1001,,0)</f>
        <v>PRD-113</v>
      </c>
      <c r="B598" t="str">
        <f>_xlfn.XLOOKUP(C598,Raw_Data_Transaksi!$A$1:$A$1001,Raw_Data_Transaksi!$C$1:$C$1001,,0)</f>
        <v>SLS-08</v>
      </c>
      <c r="C598" s="6" t="s">
        <v>682</v>
      </c>
      <c r="D598" s="7">
        <v>45907</v>
      </c>
      <c r="E598" s="10" t="str">
        <f>VLOOKUP(B598,Master_Sales!$A$1:$D$9,2,FALSE)</f>
        <v>Hendra Wijaya</v>
      </c>
      <c r="F598" s="10" t="str">
        <f>INDEX(Master_Sales!$D$1:$D$9,MATCH(Lembar_Kerja_Analisis!B598,Master_Sales!$A$1:$A$9,0))</f>
        <v>Tengah</v>
      </c>
      <c r="G598" s="10" t="str">
        <f>INDEX(Master_Sales!$C$1:$C$9,MATCH(Lembar_Kerja_Analisis!B598,Master_Sales!$A$1:$A$9,0))</f>
        <v>Yogyakarta</v>
      </c>
      <c r="H598" s="10" t="str">
        <f>VLOOKUP(A598,Master_Produk!$A$1:$E$16,2,FALSE)</f>
        <v>Wajan Anti Lengket 28cm</v>
      </c>
      <c r="I598" s="10" t="str">
        <f>INDEX(Master_Produk!$C$1:$C$16,MATCH(Lembar_Kerja_Analisis!A598,Master_Produk!$A$1:$A$16,0))</f>
        <v>Peralatan Rumah</v>
      </c>
      <c r="J598" s="19">
        <f>_xlfn.XLOOKUP(A598,Master_Produk!$A$1:$A$16,Master_Produk!$D$1:$D$16,,0)</f>
        <v>210000</v>
      </c>
      <c r="K598" s="19">
        <f>INDEX(Master_Produk!$E$1:$E$16,MATCH(Lembar_Kerja_Analisis!A598,Master_Produk!$A$1:$A$16,0))</f>
        <v>140000</v>
      </c>
      <c r="L598" s="8">
        <v>10</v>
      </c>
      <c r="M598" s="19">
        <f t="shared" si="45"/>
        <v>2100000</v>
      </c>
      <c r="N598" s="9">
        <v>0</v>
      </c>
      <c r="O598" s="19">
        <f t="shared" si="46"/>
        <v>0</v>
      </c>
      <c r="P598" s="19">
        <f t="shared" si="47"/>
        <v>2100000</v>
      </c>
      <c r="Q598" s="19">
        <f t="shared" si="48"/>
        <v>1400000</v>
      </c>
      <c r="R598" s="19">
        <f t="shared" si="49"/>
        <v>700000</v>
      </c>
    </row>
    <row r="599" spans="1:18" x14ac:dyDescent="0.25">
      <c r="A599" t="str">
        <f>_xlfn.XLOOKUP(C599,Raw_Data_Transaksi!$A$1:$A$1001,Raw_Data_Transaksi!$D$1:$D$1001,,0)</f>
        <v>PRD-102</v>
      </c>
      <c r="B599" t="str">
        <f>_xlfn.XLOOKUP(C599,Raw_Data_Transaksi!$A$1:$A$1001,Raw_Data_Transaksi!$C$1:$C$1001,,0)</f>
        <v>SLS-05</v>
      </c>
      <c r="C599" s="6" t="s">
        <v>683</v>
      </c>
      <c r="D599" s="7">
        <v>45775</v>
      </c>
      <c r="E599" s="10" t="str">
        <f>VLOOKUP(B599,Master_Sales!$A$1:$D$9,2,FALSE)</f>
        <v>Eko Prasetyo</v>
      </c>
      <c r="F599" s="10" t="str">
        <f>INDEX(Master_Sales!$D$1:$D$9,MATCH(Lembar_Kerja_Analisis!B599,Master_Sales!$A$1:$A$9,0))</f>
        <v>Tengah</v>
      </c>
      <c r="G599" s="10" t="str">
        <f>INDEX(Master_Sales!$C$1:$C$9,MATCH(Lembar_Kerja_Analisis!B599,Master_Sales!$A$1:$A$9,0))</f>
        <v>Semarang</v>
      </c>
      <c r="H599" s="10" t="str">
        <f>VLOOKUP(A599,Master_Produk!$A$1:$E$16,2,FALSE)</f>
        <v>Wireless Mouse Ergonomic</v>
      </c>
      <c r="I599" s="10" t="str">
        <f>INDEX(Master_Produk!$C$1:$C$16,MATCH(Lembar_Kerja_Analisis!A599,Master_Produk!$A$1:$A$16,0))</f>
        <v>Elektronik</v>
      </c>
      <c r="J599" s="19">
        <f>_xlfn.XLOOKUP(A599,Master_Produk!$A$1:$A$16,Master_Produk!$D$1:$D$16,,0)</f>
        <v>250000</v>
      </c>
      <c r="K599" s="19">
        <f>INDEX(Master_Produk!$E$1:$E$16,MATCH(Lembar_Kerja_Analisis!A599,Master_Produk!$A$1:$A$16,0))</f>
        <v>160000</v>
      </c>
      <c r="L599" s="8">
        <v>4</v>
      </c>
      <c r="M599" s="19">
        <f t="shared" si="45"/>
        <v>1000000</v>
      </c>
      <c r="N599" s="9">
        <v>0.05</v>
      </c>
      <c r="O599" s="19">
        <f t="shared" si="46"/>
        <v>50000</v>
      </c>
      <c r="P599" s="19">
        <f t="shared" si="47"/>
        <v>950000</v>
      </c>
      <c r="Q599" s="19">
        <f t="shared" si="48"/>
        <v>640000</v>
      </c>
      <c r="R599" s="19">
        <f t="shared" si="49"/>
        <v>310000</v>
      </c>
    </row>
    <row r="600" spans="1:18" x14ac:dyDescent="0.25">
      <c r="A600" t="str">
        <f>_xlfn.XLOOKUP(C600,Raw_Data_Transaksi!$A$1:$A$1001,Raw_Data_Transaksi!$D$1:$D$1001,,0)</f>
        <v>PRD-112</v>
      </c>
      <c r="B600" t="str">
        <f>_xlfn.XLOOKUP(C600,Raw_Data_Transaksi!$A$1:$A$1001,Raw_Data_Transaksi!$C$1:$C$1001,,0)</f>
        <v>SLS-02</v>
      </c>
      <c r="C600" s="6" t="s">
        <v>684</v>
      </c>
      <c r="D600" s="7">
        <v>45966</v>
      </c>
      <c r="E600" s="10" t="str">
        <f>VLOOKUP(B600,Master_Sales!$A$1:$D$9,2,FALSE)</f>
        <v>Budi Santoso</v>
      </c>
      <c r="F600" s="10" t="str">
        <f>INDEX(Master_Sales!$D$1:$D$9,MATCH(Lembar_Kerja_Analisis!B600,Master_Sales!$A$1:$A$9,0))</f>
        <v>Timur</v>
      </c>
      <c r="G600" s="10" t="str">
        <f>INDEX(Master_Sales!$C$1:$C$9,MATCH(Lembar_Kerja_Analisis!B600,Master_Sales!$A$1:$A$9,0))</f>
        <v>Surabaya</v>
      </c>
      <c r="H600" s="10" t="str">
        <f>VLOOKUP(A600,Master_Produk!$A$1:$E$16,2,FALSE)</f>
        <v>Susu UHT Full Cream 1L</v>
      </c>
      <c r="I600" s="10" t="str">
        <f>INDEX(Master_Produk!$C$1:$C$16,MATCH(Lembar_Kerja_Analisis!A600,Master_Produk!$A$1:$A$16,0))</f>
        <v>F&amp;B</v>
      </c>
      <c r="J600" s="19">
        <f>_xlfn.XLOOKUP(A600,Master_Produk!$A$1:$A$16,Master_Produk!$D$1:$D$16,,0)</f>
        <v>22000</v>
      </c>
      <c r="K600" s="19">
        <f>INDEX(Master_Produk!$E$1:$E$16,MATCH(Lembar_Kerja_Analisis!A600,Master_Produk!$A$1:$A$16,0))</f>
        <v>18000</v>
      </c>
      <c r="L600" s="8">
        <v>10</v>
      </c>
      <c r="M600" s="19">
        <f t="shared" si="45"/>
        <v>220000</v>
      </c>
      <c r="N600" s="9">
        <v>0.15</v>
      </c>
      <c r="O600" s="19">
        <f t="shared" si="46"/>
        <v>33000</v>
      </c>
      <c r="P600" s="19">
        <f t="shared" si="47"/>
        <v>187000</v>
      </c>
      <c r="Q600" s="19">
        <f t="shared" si="48"/>
        <v>180000</v>
      </c>
      <c r="R600" s="19">
        <f t="shared" si="49"/>
        <v>7000</v>
      </c>
    </row>
    <row r="601" spans="1:18" x14ac:dyDescent="0.25">
      <c r="A601" t="str">
        <f>_xlfn.XLOOKUP(C601,Raw_Data_Transaksi!$A$1:$A$1001,Raw_Data_Transaksi!$D$1:$D$1001,,0)</f>
        <v>PRD-111</v>
      </c>
      <c r="B601" t="str">
        <f>_xlfn.XLOOKUP(C601,Raw_Data_Transaksi!$A$1:$A$1001,Raw_Data_Transaksi!$C$1:$C$1001,,0)</f>
        <v>SLS-08</v>
      </c>
      <c r="C601" s="6" t="s">
        <v>685</v>
      </c>
      <c r="D601" s="7">
        <v>45904</v>
      </c>
      <c r="E601" s="10" t="str">
        <f>VLOOKUP(B601,Master_Sales!$A$1:$D$9,2,FALSE)</f>
        <v>Hendra Wijaya</v>
      </c>
      <c r="F601" s="10" t="str">
        <f>INDEX(Master_Sales!$D$1:$D$9,MATCH(Lembar_Kerja_Analisis!B601,Master_Sales!$A$1:$A$9,0))</f>
        <v>Tengah</v>
      </c>
      <c r="G601" s="10" t="str">
        <f>INDEX(Master_Sales!$C$1:$C$9,MATCH(Lembar_Kerja_Analisis!B601,Master_Sales!$A$1:$A$9,0))</f>
        <v>Yogyakarta</v>
      </c>
      <c r="H601" s="10" t="str">
        <f>VLOOKUP(A601,Master_Produk!$A$1:$E$16,2,FALSE)</f>
        <v>Beras Premium 5kg</v>
      </c>
      <c r="I601" s="10" t="str">
        <f>INDEX(Master_Produk!$C$1:$C$16,MATCH(Lembar_Kerja_Analisis!A601,Master_Produk!$A$1:$A$16,0))</f>
        <v>F&amp;B</v>
      </c>
      <c r="J601" s="19">
        <f>_xlfn.XLOOKUP(A601,Master_Produk!$A$1:$A$16,Master_Produk!$D$1:$D$16,,0)</f>
        <v>74000</v>
      </c>
      <c r="K601" s="19">
        <f>INDEX(Master_Produk!$E$1:$E$16,MATCH(Lembar_Kerja_Analisis!A601,Master_Produk!$A$1:$A$16,0))</f>
        <v>65000</v>
      </c>
      <c r="L601" s="8">
        <v>9</v>
      </c>
      <c r="M601" s="19">
        <f t="shared" si="45"/>
        <v>666000</v>
      </c>
      <c r="N601" s="9">
        <v>0.2</v>
      </c>
      <c r="O601" s="19">
        <f t="shared" si="46"/>
        <v>133200</v>
      </c>
      <c r="P601" s="19">
        <f t="shared" si="47"/>
        <v>532800</v>
      </c>
      <c r="Q601" s="19">
        <f t="shared" si="48"/>
        <v>585000</v>
      </c>
      <c r="R601" s="19">
        <f t="shared" si="49"/>
        <v>-52200</v>
      </c>
    </row>
    <row r="602" spans="1:18" x14ac:dyDescent="0.25">
      <c r="A602" t="str">
        <f>_xlfn.XLOOKUP(C602,Raw_Data_Transaksi!$A$1:$A$1001,Raw_Data_Transaksi!$D$1:$D$1001,,0)</f>
        <v>PRD-104</v>
      </c>
      <c r="B602" t="str">
        <f>_xlfn.XLOOKUP(C602,Raw_Data_Transaksi!$A$1:$A$1001,Raw_Data_Transaksi!$C$1:$C$1001,,0)</f>
        <v>SLS-01</v>
      </c>
      <c r="C602" s="6" t="s">
        <v>686</v>
      </c>
      <c r="D602" s="7">
        <v>45669</v>
      </c>
      <c r="E602" s="10" t="str">
        <f>VLOOKUP(B602,Master_Sales!$A$1:$D$9,2,FALSE)</f>
        <v>Andi Pratama</v>
      </c>
      <c r="F602" s="10" t="str">
        <f>INDEX(Master_Sales!$D$1:$D$9,MATCH(Lembar_Kerja_Analisis!B602,Master_Sales!$A$1:$A$9,0))</f>
        <v>Barat</v>
      </c>
      <c r="G602" s="10" t="str">
        <f>INDEX(Master_Sales!$C$1:$C$9,MATCH(Lembar_Kerja_Analisis!B602,Master_Sales!$A$1:$A$9,0))</f>
        <v>Jakarta</v>
      </c>
      <c r="H602" s="10" t="str">
        <f>VLOOKUP(A602,Master_Produk!$A$1:$E$16,2,FALSE)</f>
        <v>Monitor 24" FHD 144Hz</v>
      </c>
      <c r="I602" s="10" t="str">
        <f>INDEX(Master_Produk!$C$1:$C$16,MATCH(Lembar_Kerja_Analisis!A602,Master_Produk!$A$1:$A$16,0))</f>
        <v>Elektronik</v>
      </c>
      <c r="J602" s="19">
        <f>_xlfn.XLOOKUP(A602,Master_Produk!$A$1:$A$16,Master_Produk!$D$1:$D$16,,0)</f>
        <v>1950000</v>
      </c>
      <c r="K602" s="19">
        <f>INDEX(Master_Produk!$E$1:$E$16,MATCH(Lembar_Kerja_Analisis!A602,Master_Produk!$A$1:$A$16,0))</f>
        <v>1500000</v>
      </c>
      <c r="L602" s="8">
        <v>3</v>
      </c>
      <c r="M602" s="19">
        <f t="shared" si="45"/>
        <v>5850000</v>
      </c>
      <c r="N602" s="9">
        <v>0.2</v>
      </c>
      <c r="O602" s="19">
        <f t="shared" si="46"/>
        <v>1170000</v>
      </c>
      <c r="P602" s="19">
        <f t="shared" si="47"/>
        <v>4680000</v>
      </c>
      <c r="Q602" s="19">
        <f t="shared" si="48"/>
        <v>4500000</v>
      </c>
      <c r="R602" s="19">
        <f t="shared" si="49"/>
        <v>180000</v>
      </c>
    </row>
    <row r="603" spans="1:18" x14ac:dyDescent="0.25">
      <c r="A603" t="str">
        <f>_xlfn.XLOOKUP(C603,Raw_Data_Transaksi!$A$1:$A$1001,Raw_Data_Transaksi!$D$1:$D$1001,,0)</f>
        <v>PRD-103</v>
      </c>
      <c r="B603" t="str">
        <f>_xlfn.XLOOKUP(C603,Raw_Data_Transaksi!$A$1:$A$1001,Raw_Data_Transaksi!$C$1:$C$1001,,0)</f>
        <v>SLS-01</v>
      </c>
      <c r="C603" s="6" t="s">
        <v>687</v>
      </c>
      <c r="D603" s="7">
        <v>45951</v>
      </c>
      <c r="E603" s="10" t="str">
        <f>VLOOKUP(B603,Master_Sales!$A$1:$D$9,2,FALSE)</f>
        <v>Andi Pratama</v>
      </c>
      <c r="F603" s="10" t="str">
        <f>INDEX(Master_Sales!$D$1:$D$9,MATCH(Lembar_Kerja_Analisis!B603,Master_Sales!$A$1:$A$9,0))</f>
        <v>Barat</v>
      </c>
      <c r="G603" s="10" t="str">
        <f>INDEX(Master_Sales!$C$1:$C$9,MATCH(Lembar_Kerja_Analisis!B603,Master_Sales!$A$1:$A$9,0))</f>
        <v>Jakarta</v>
      </c>
      <c r="H603" s="10" t="str">
        <f>VLOOKUP(A603,Master_Produk!$A$1:$E$16,2,FALSE)</f>
        <v>Mechanical Keyboard RGB</v>
      </c>
      <c r="I603" s="10" t="str">
        <f>INDEX(Master_Produk!$C$1:$C$16,MATCH(Lembar_Kerja_Analisis!A603,Master_Produk!$A$1:$A$16,0))</f>
        <v>Elektronik</v>
      </c>
      <c r="J603" s="19">
        <f>_xlfn.XLOOKUP(A603,Master_Produk!$A$1:$A$16,Master_Produk!$D$1:$D$16,,0)</f>
        <v>750000</v>
      </c>
      <c r="K603" s="19">
        <f>INDEX(Master_Produk!$E$1:$E$16,MATCH(Lembar_Kerja_Analisis!A603,Master_Produk!$A$1:$A$16,0))</f>
        <v>520000</v>
      </c>
      <c r="L603" s="8">
        <v>3</v>
      </c>
      <c r="M603" s="19">
        <f t="shared" si="45"/>
        <v>2250000</v>
      </c>
      <c r="N603" s="9">
        <v>0.1</v>
      </c>
      <c r="O603" s="19">
        <f t="shared" si="46"/>
        <v>225000</v>
      </c>
      <c r="P603" s="19">
        <f t="shared" si="47"/>
        <v>2025000</v>
      </c>
      <c r="Q603" s="19">
        <f t="shared" si="48"/>
        <v>1560000</v>
      </c>
      <c r="R603" s="19">
        <f t="shared" si="49"/>
        <v>465000</v>
      </c>
    </row>
    <row r="604" spans="1:18" x14ac:dyDescent="0.25">
      <c r="A604" t="str">
        <f>_xlfn.XLOOKUP(C604,Raw_Data_Transaksi!$A$1:$A$1001,Raw_Data_Transaksi!$D$1:$D$1001,,0)</f>
        <v>PRD-110</v>
      </c>
      <c r="B604" t="str">
        <f>_xlfn.XLOOKUP(C604,Raw_Data_Transaksi!$A$1:$A$1001,Raw_Data_Transaksi!$C$1:$C$1001,,0)</f>
        <v>SLS-01</v>
      </c>
      <c r="C604" s="6" t="s">
        <v>688</v>
      </c>
      <c r="D604" s="7">
        <v>45964</v>
      </c>
      <c r="E604" s="10" t="str">
        <f>VLOOKUP(B604,Master_Sales!$A$1:$D$9,2,FALSE)</f>
        <v>Andi Pratama</v>
      </c>
      <c r="F604" s="10" t="str">
        <f>INDEX(Master_Sales!$D$1:$D$9,MATCH(Lembar_Kerja_Analisis!B604,Master_Sales!$A$1:$A$9,0))</f>
        <v>Barat</v>
      </c>
      <c r="G604" s="10" t="str">
        <f>INDEX(Master_Sales!$C$1:$C$9,MATCH(Lembar_Kerja_Analisis!B604,Master_Sales!$A$1:$A$9,0))</f>
        <v>Jakarta</v>
      </c>
      <c r="H604" s="10" t="str">
        <f>VLOOKUP(A604,Master_Produk!$A$1:$E$16,2,FALSE)</f>
        <v>Minyak Goreng Sawit 2L</v>
      </c>
      <c r="I604" s="10" t="str">
        <f>INDEX(Master_Produk!$C$1:$C$16,MATCH(Lembar_Kerja_Analisis!A604,Master_Produk!$A$1:$A$16,0))</f>
        <v>F&amp;B</v>
      </c>
      <c r="J604" s="19">
        <f>_xlfn.XLOOKUP(A604,Master_Produk!$A$1:$A$16,Master_Produk!$D$1:$D$16,,0)</f>
        <v>36000</v>
      </c>
      <c r="K604" s="19">
        <f>INDEX(Master_Produk!$E$1:$E$16,MATCH(Lembar_Kerja_Analisis!A604,Master_Produk!$A$1:$A$16,0))</f>
        <v>31000</v>
      </c>
      <c r="L604" s="8">
        <v>26</v>
      </c>
      <c r="M604" s="19">
        <f t="shared" si="45"/>
        <v>936000</v>
      </c>
      <c r="N604" s="9">
        <v>0.1</v>
      </c>
      <c r="O604" s="19">
        <f t="shared" si="46"/>
        <v>93600</v>
      </c>
      <c r="P604" s="19">
        <f t="shared" si="47"/>
        <v>842400</v>
      </c>
      <c r="Q604" s="19">
        <f t="shared" si="48"/>
        <v>806000</v>
      </c>
      <c r="R604" s="19">
        <f t="shared" si="49"/>
        <v>36400</v>
      </c>
    </row>
    <row r="605" spans="1:18" x14ac:dyDescent="0.25">
      <c r="A605" t="str">
        <f>_xlfn.XLOOKUP(C605,Raw_Data_Transaksi!$A$1:$A$1001,Raw_Data_Transaksi!$D$1:$D$1001,,0)</f>
        <v>PRD-108</v>
      </c>
      <c r="B605" t="str">
        <f>_xlfn.XLOOKUP(C605,Raw_Data_Transaksi!$A$1:$A$1001,Raw_Data_Transaksi!$C$1:$C$1001,,0)</f>
        <v>SLS-08</v>
      </c>
      <c r="C605" s="6" t="s">
        <v>689</v>
      </c>
      <c r="D605" s="7">
        <v>45968</v>
      </c>
      <c r="E605" s="10" t="str">
        <f>VLOOKUP(B605,Master_Sales!$A$1:$D$9,2,FALSE)</f>
        <v>Hendra Wijaya</v>
      </c>
      <c r="F605" s="10" t="str">
        <f>INDEX(Master_Sales!$D$1:$D$9,MATCH(Lembar_Kerja_Analisis!B605,Master_Sales!$A$1:$A$9,0))</f>
        <v>Tengah</v>
      </c>
      <c r="G605" s="10" t="str">
        <f>INDEX(Master_Sales!$C$1:$C$9,MATCH(Lembar_Kerja_Analisis!B605,Master_Sales!$A$1:$A$9,0))</f>
        <v>Yogyakarta</v>
      </c>
      <c r="H605" s="10" t="str">
        <f>VLOOKUP(A605,Master_Produk!$A$1:$E$16,2,FALSE)</f>
        <v>Sepatu Sneakers Pria/Wanita</v>
      </c>
      <c r="I605" s="10" t="str">
        <f>INDEX(Master_Produk!$C$1:$C$16,MATCH(Lembar_Kerja_Analisis!A605,Master_Produk!$A$1:$A$16,0))</f>
        <v>Fashion</v>
      </c>
      <c r="J605" s="19">
        <f>_xlfn.XLOOKUP(A605,Master_Produk!$A$1:$A$16,Master_Produk!$D$1:$D$16,,0)</f>
        <v>450000</v>
      </c>
      <c r="K605" s="19">
        <f>INDEX(Master_Produk!$E$1:$E$16,MATCH(Lembar_Kerja_Analisis!A605,Master_Produk!$A$1:$A$16,0))</f>
        <v>290000</v>
      </c>
      <c r="L605" s="8">
        <v>3</v>
      </c>
      <c r="M605" s="19">
        <f t="shared" si="45"/>
        <v>1350000</v>
      </c>
      <c r="N605" s="9">
        <v>0.05</v>
      </c>
      <c r="O605" s="19">
        <f t="shared" si="46"/>
        <v>67500</v>
      </c>
      <c r="P605" s="19">
        <f t="shared" si="47"/>
        <v>1282500</v>
      </c>
      <c r="Q605" s="19">
        <f t="shared" si="48"/>
        <v>870000</v>
      </c>
      <c r="R605" s="19">
        <f t="shared" si="49"/>
        <v>412500</v>
      </c>
    </row>
    <row r="606" spans="1:18" x14ac:dyDescent="0.25">
      <c r="A606" t="str">
        <f>_xlfn.XLOOKUP(C606,Raw_Data_Transaksi!$A$1:$A$1001,Raw_Data_Transaksi!$D$1:$D$1001,,0)</f>
        <v>PRD-114</v>
      </c>
      <c r="B606" t="str">
        <f>_xlfn.XLOOKUP(C606,Raw_Data_Transaksi!$A$1:$A$1001,Raw_Data_Transaksi!$C$1:$C$1001,,0)</f>
        <v>SLS-03</v>
      </c>
      <c r="C606" s="6" t="s">
        <v>690</v>
      </c>
      <c r="D606" s="7">
        <v>45956</v>
      </c>
      <c r="E606" s="10" t="str">
        <f>VLOOKUP(B606,Master_Sales!$A$1:$D$9,2,FALSE)</f>
        <v>Citra Lestari</v>
      </c>
      <c r="F606" s="10" t="str">
        <f>INDEX(Master_Sales!$D$1:$D$9,MATCH(Lembar_Kerja_Analisis!B606,Master_Sales!$A$1:$A$9,0))</f>
        <v>Barat</v>
      </c>
      <c r="G606" s="10" t="str">
        <f>INDEX(Master_Sales!$C$1:$C$9,MATCH(Lembar_Kerja_Analisis!B606,Master_Sales!$A$1:$A$9,0))</f>
        <v>Bandung</v>
      </c>
      <c r="H606" s="10" t="str">
        <f>VLOOKUP(A606,Master_Produk!$A$1:$E$16,2,FALSE)</f>
        <v>Blender Multifungsi 2-in-1</v>
      </c>
      <c r="I606" s="10" t="str">
        <f>INDEX(Master_Produk!$C$1:$C$16,MATCH(Lembar_Kerja_Analisis!A606,Master_Produk!$A$1:$A$16,0))</f>
        <v>Peralatan Rumah</v>
      </c>
      <c r="J606" s="19">
        <f>_xlfn.XLOOKUP(A606,Master_Produk!$A$1:$A$16,Master_Produk!$D$1:$D$16,,0)</f>
        <v>340000</v>
      </c>
      <c r="K606" s="19">
        <f>INDEX(Master_Produk!$E$1:$E$16,MATCH(Lembar_Kerja_Analisis!A606,Master_Produk!$A$1:$A$16,0))</f>
        <v>240000</v>
      </c>
      <c r="L606" s="8">
        <v>10</v>
      </c>
      <c r="M606" s="19">
        <f t="shared" si="45"/>
        <v>3400000</v>
      </c>
      <c r="N606" s="9">
        <v>0.2</v>
      </c>
      <c r="O606" s="19">
        <f t="shared" si="46"/>
        <v>680000</v>
      </c>
      <c r="P606" s="19">
        <f t="shared" si="47"/>
        <v>2720000</v>
      </c>
      <c r="Q606" s="19">
        <f t="shared" si="48"/>
        <v>2400000</v>
      </c>
      <c r="R606" s="19">
        <f t="shared" si="49"/>
        <v>320000</v>
      </c>
    </row>
    <row r="607" spans="1:18" x14ac:dyDescent="0.25">
      <c r="A607" t="str">
        <f>_xlfn.XLOOKUP(C607,Raw_Data_Transaksi!$A$1:$A$1001,Raw_Data_Transaksi!$D$1:$D$1001,,0)</f>
        <v>PRD-110</v>
      </c>
      <c r="B607" t="str">
        <f>_xlfn.XLOOKUP(C607,Raw_Data_Transaksi!$A$1:$A$1001,Raw_Data_Transaksi!$C$1:$C$1001,,0)</f>
        <v>SLS-02</v>
      </c>
      <c r="C607" s="6" t="s">
        <v>691</v>
      </c>
      <c r="D607" s="7">
        <v>45890</v>
      </c>
      <c r="E607" s="10" t="str">
        <f>VLOOKUP(B607,Master_Sales!$A$1:$D$9,2,FALSE)</f>
        <v>Budi Santoso</v>
      </c>
      <c r="F607" s="10" t="str">
        <f>INDEX(Master_Sales!$D$1:$D$9,MATCH(Lembar_Kerja_Analisis!B607,Master_Sales!$A$1:$A$9,0))</f>
        <v>Timur</v>
      </c>
      <c r="G607" s="10" t="str">
        <f>INDEX(Master_Sales!$C$1:$C$9,MATCH(Lembar_Kerja_Analisis!B607,Master_Sales!$A$1:$A$9,0))</f>
        <v>Surabaya</v>
      </c>
      <c r="H607" s="10" t="str">
        <f>VLOOKUP(A607,Master_Produk!$A$1:$E$16,2,FALSE)</f>
        <v>Minyak Goreng Sawit 2L</v>
      </c>
      <c r="I607" s="10" t="str">
        <f>INDEX(Master_Produk!$C$1:$C$16,MATCH(Lembar_Kerja_Analisis!A607,Master_Produk!$A$1:$A$16,0))</f>
        <v>F&amp;B</v>
      </c>
      <c r="J607" s="19">
        <f>_xlfn.XLOOKUP(A607,Master_Produk!$A$1:$A$16,Master_Produk!$D$1:$D$16,,0)</f>
        <v>36000</v>
      </c>
      <c r="K607" s="19">
        <f>INDEX(Master_Produk!$E$1:$E$16,MATCH(Lembar_Kerja_Analisis!A607,Master_Produk!$A$1:$A$16,0))</f>
        <v>31000</v>
      </c>
      <c r="L607" s="8">
        <v>15</v>
      </c>
      <c r="M607" s="19">
        <f t="shared" si="45"/>
        <v>540000</v>
      </c>
      <c r="N607" s="9">
        <v>0.15</v>
      </c>
      <c r="O607" s="19">
        <f t="shared" si="46"/>
        <v>81000</v>
      </c>
      <c r="P607" s="19">
        <f t="shared" si="47"/>
        <v>459000</v>
      </c>
      <c r="Q607" s="19">
        <f t="shared" si="48"/>
        <v>465000</v>
      </c>
      <c r="R607" s="19">
        <f t="shared" si="49"/>
        <v>-6000</v>
      </c>
    </row>
    <row r="608" spans="1:18" x14ac:dyDescent="0.25">
      <c r="A608" t="str">
        <f>_xlfn.XLOOKUP(C608,Raw_Data_Transaksi!$A$1:$A$1001,Raw_Data_Transaksi!$D$1:$D$1001,,0)</f>
        <v>PRD-109</v>
      </c>
      <c r="B608" t="str">
        <f>_xlfn.XLOOKUP(C608,Raw_Data_Transaksi!$A$1:$A$1001,Raw_Data_Transaksi!$C$1:$C$1001,,0)</f>
        <v>SLS-07</v>
      </c>
      <c r="C608" s="6" t="s">
        <v>692</v>
      </c>
      <c r="D608" s="7">
        <v>45761</v>
      </c>
      <c r="E608" s="10" t="str">
        <f>VLOOKUP(B608,Master_Sales!$A$1:$D$9,2,FALSE)</f>
        <v>Gita Permata</v>
      </c>
      <c r="F608" s="10" t="str">
        <f>INDEX(Master_Sales!$D$1:$D$9,MATCH(Lembar_Kerja_Analisis!B608,Master_Sales!$A$1:$A$9,0))</f>
        <v>Tengah</v>
      </c>
      <c r="G608" s="10" t="str">
        <f>INDEX(Master_Sales!$C$1:$C$9,MATCH(Lembar_Kerja_Analisis!B608,Master_Sales!$A$1:$A$9,0))</f>
        <v>Denpasar</v>
      </c>
      <c r="H608" s="10" t="str">
        <f>VLOOKUP(A608,Master_Produk!$A$1:$E$16,2,FALSE)</f>
        <v>Kopi Arabika Gayo 250g</v>
      </c>
      <c r="I608" s="10" t="str">
        <f>INDEX(Master_Produk!$C$1:$C$16,MATCH(Lembar_Kerja_Analisis!A608,Master_Produk!$A$1:$A$16,0))</f>
        <v>F&amp;B</v>
      </c>
      <c r="J608" s="19">
        <f>_xlfn.XLOOKUP(A608,Master_Produk!$A$1:$A$16,Master_Produk!$D$1:$D$16,,0)</f>
        <v>85000</v>
      </c>
      <c r="K608" s="19">
        <f>INDEX(Master_Produk!$E$1:$E$16,MATCH(Lembar_Kerja_Analisis!A608,Master_Produk!$A$1:$A$16,0))</f>
        <v>55000</v>
      </c>
      <c r="L608" s="8">
        <v>22</v>
      </c>
      <c r="M608" s="19">
        <f t="shared" si="45"/>
        <v>1870000</v>
      </c>
      <c r="N608" s="9">
        <v>0</v>
      </c>
      <c r="O608" s="19">
        <f t="shared" si="46"/>
        <v>0</v>
      </c>
      <c r="P608" s="19">
        <f t="shared" si="47"/>
        <v>1870000</v>
      </c>
      <c r="Q608" s="19">
        <f t="shared" si="48"/>
        <v>1210000</v>
      </c>
      <c r="R608" s="19">
        <f t="shared" si="49"/>
        <v>660000</v>
      </c>
    </row>
    <row r="609" spans="1:18" x14ac:dyDescent="0.25">
      <c r="A609" t="str">
        <f>_xlfn.XLOOKUP(C609,Raw_Data_Transaksi!$A$1:$A$1001,Raw_Data_Transaksi!$D$1:$D$1001,,0)</f>
        <v>PRD-109</v>
      </c>
      <c r="B609" t="str">
        <f>_xlfn.XLOOKUP(C609,Raw_Data_Transaksi!$A$1:$A$1001,Raw_Data_Transaksi!$C$1:$C$1001,,0)</f>
        <v>SLS-02</v>
      </c>
      <c r="C609" s="6" t="s">
        <v>693</v>
      </c>
      <c r="D609" s="7">
        <v>45930</v>
      </c>
      <c r="E609" s="10" t="str">
        <f>VLOOKUP(B609,Master_Sales!$A$1:$D$9,2,FALSE)</f>
        <v>Budi Santoso</v>
      </c>
      <c r="F609" s="10" t="str">
        <f>INDEX(Master_Sales!$D$1:$D$9,MATCH(Lembar_Kerja_Analisis!B609,Master_Sales!$A$1:$A$9,0))</f>
        <v>Timur</v>
      </c>
      <c r="G609" s="10" t="str">
        <f>INDEX(Master_Sales!$C$1:$C$9,MATCH(Lembar_Kerja_Analisis!B609,Master_Sales!$A$1:$A$9,0))</f>
        <v>Surabaya</v>
      </c>
      <c r="H609" s="10" t="str">
        <f>VLOOKUP(A609,Master_Produk!$A$1:$E$16,2,FALSE)</f>
        <v>Kopi Arabika Gayo 250g</v>
      </c>
      <c r="I609" s="10" t="str">
        <f>INDEX(Master_Produk!$C$1:$C$16,MATCH(Lembar_Kerja_Analisis!A609,Master_Produk!$A$1:$A$16,0))</f>
        <v>F&amp;B</v>
      </c>
      <c r="J609" s="19">
        <f>_xlfn.XLOOKUP(A609,Master_Produk!$A$1:$A$16,Master_Produk!$D$1:$D$16,,0)</f>
        <v>85000</v>
      </c>
      <c r="K609" s="19">
        <f>INDEX(Master_Produk!$E$1:$E$16,MATCH(Lembar_Kerja_Analisis!A609,Master_Produk!$A$1:$A$16,0))</f>
        <v>55000</v>
      </c>
      <c r="L609" s="8">
        <v>18</v>
      </c>
      <c r="M609" s="19">
        <f t="shared" si="45"/>
        <v>1530000</v>
      </c>
      <c r="N609" s="9">
        <v>0.05</v>
      </c>
      <c r="O609" s="19">
        <f t="shared" si="46"/>
        <v>76500</v>
      </c>
      <c r="P609" s="19">
        <f t="shared" si="47"/>
        <v>1453500</v>
      </c>
      <c r="Q609" s="19">
        <f t="shared" si="48"/>
        <v>990000</v>
      </c>
      <c r="R609" s="19">
        <f t="shared" si="49"/>
        <v>463500</v>
      </c>
    </row>
    <row r="610" spans="1:18" x14ac:dyDescent="0.25">
      <c r="A610" t="str">
        <f>_xlfn.XLOOKUP(C610,Raw_Data_Transaksi!$A$1:$A$1001,Raw_Data_Transaksi!$D$1:$D$1001,,0)</f>
        <v>PRD-107</v>
      </c>
      <c r="B610" t="str">
        <f>_xlfn.XLOOKUP(C610,Raw_Data_Transaksi!$A$1:$A$1001,Raw_Data_Transaksi!$C$1:$C$1001,,0)</f>
        <v>SLS-06</v>
      </c>
      <c r="C610" s="6" t="s">
        <v>694</v>
      </c>
      <c r="D610" s="7">
        <v>45925</v>
      </c>
      <c r="E610" s="10" t="str">
        <f>VLOOKUP(B610,Master_Sales!$A$1:$D$9,2,FALSE)</f>
        <v>Fajar Nugraha</v>
      </c>
      <c r="F610" s="10" t="str">
        <f>INDEX(Master_Sales!$D$1:$D$9,MATCH(Lembar_Kerja_Analisis!B610,Master_Sales!$A$1:$A$9,0))</f>
        <v>Timur</v>
      </c>
      <c r="G610" s="10" t="str">
        <f>INDEX(Master_Sales!$C$1:$C$9,MATCH(Lembar_Kerja_Analisis!B610,Master_Sales!$A$1:$A$9,0))</f>
        <v>Makassar</v>
      </c>
      <c r="H610" s="10" t="str">
        <f>VLOOKUP(A610,Master_Produk!$A$1:$E$16,2,FALSE)</f>
        <v>Jaket Hoodie Casual</v>
      </c>
      <c r="I610" s="10" t="str">
        <f>INDEX(Master_Produk!$C$1:$C$16,MATCH(Lembar_Kerja_Analisis!A610,Master_Produk!$A$1:$A$16,0))</f>
        <v>Fashion</v>
      </c>
      <c r="J610" s="19">
        <f>_xlfn.XLOOKUP(A610,Master_Produk!$A$1:$A$16,Master_Produk!$D$1:$D$16,,0)</f>
        <v>350000</v>
      </c>
      <c r="K610" s="19">
        <f>INDEX(Master_Produk!$E$1:$E$16,MATCH(Lembar_Kerja_Analisis!A610,Master_Produk!$A$1:$A$16,0))</f>
        <v>220000</v>
      </c>
      <c r="L610" s="8">
        <v>1</v>
      </c>
      <c r="M610" s="19">
        <f t="shared" si="45"/>
        <v>350000</v>
      </c>
      <c r="N610" s="9">
        <v>0.2</v>
      </c>
      <c r="O610" s="19">
        <f t="shared" si="46"/>
        <v>70000</v>
      </c>
      <c r="P610" s="19">
        <f t="shared" si="47"/>
        <v>280000</v>
      </c>
      <c r="Q610" s="19">
        <f t="shared" si="48"/>
        <v>220000</v>
      </c>
      <c r="R610" s="19">
        <f t="shared" si="49"/>
        <v>60000</v>
      </c>
    </row>
    <row r="611" spans="1:18" x14ac:dyDescent="0.25">
      <c r="A611" t="str">
        <f>_xlfn.XLOOKUP(C611,Raw_Data_Transaksi!$A$1:$A$1001,Raw_Data_Transaksi!$D$1:$D$1001,,0)</f>
        <v>PRD-106</v>
      </c>
      <c r="B611" t="str">
        <f>_xlfn.XLOOKUP(C611,Raw_Data_Transaksi!$A$1:$A$1001,Raw_Data_Transaksi!$C$1:$C$1001,,0)</f>
        <v>SLS-02</v>
      </c>
      <c r="C611" s="6" t="s">
        <v>695</v>
      </c>
      <c r="D611" s="7">
        <v>45853</v>
      </c>
      <c r="E611" s="10" t="str">
        <f>VLOOKUP(B611,Master_Sales!$A$1:$D$9,2,FALSE)</f>
        <v>Budi Santoso</v>
      </c>
      <c r="F611" s="10" t="str">
        <f>INDEX(Master_Sales!$D$1:$D$9,MATCH(Lembar_Kerja_Analisis!B611,Master_Sales!$A$1:$A$9,0))</f>
        <v>Timur</v>
      </c>
      <c r="G611" s="10" t="str">
        <f>INDEX(Master_Sales!$C$1:$C$9,MATCH(Lembar_Kerja_Analisis!B611,Master_Sales!$A$1:$A$9,0))</f>
        <v>Surabaya</v>
      </c>
      <c r="H611" s="10" t="str">
        <f>VLOOKUP(A611,Master_Produk!$A$1:$E$16,2,FALSE)</f>
        <v>Celana Chino Slim Fit</v>
      </c>
      <c r="I611" s="10" t="str">
        <f>INDEX(Master_Produk!$C$1:$C$16,MATCH(Lembar_Kerja_Analisis!A611,Master_Produk!$A$1:$A$16,0))</f>
        <v>Fashion</v>
      </c>
      <c r="J611" s="19">
        <f>_xlfn.XLOOKUP(A611,Master_Produk!$A$1:$A$16,Master_Produk!$D$1:$D$16,,0)</f>
        <v>280000</v>
      </c>
      <c r="K611" s="19">
        <f>INDEX(Master_Produk!$E$1:$E$16,MATCH(Lembar_Kerja_Analisis!A611,Master_Produk!$A$1:$A$16,0))</f>
        <v>175000</v>
      </c>
      <c r="L611" s="8">
        <v>7</v>
      </c>
      <c r="M611" s="19">
        <f t="shared" si="45"/>
        <v>1960000</v>
      </c>
      <c r="N611" s="9">
        <v>0.05</v>
      </c>
      <c r="O611" s="19">
        <f t="shared" si="46"/>
        <v>98000</v>
      </c>
      <c r="P611" s="19">
        <f t="shared" si="47"/>
        <v>1862000</v>
      </c>
      <c r="Q611" s="19">
        <f t="shared" si="48"/>
        <v>1225000</v>
      </c>
      <c r="R611" s="19">
        <f t="shared" si="49"/>
        <v>637000</v>
      </c>
    </row>
    <row r="612" spans="1:18" x14ac:dyDescent="0.25">
      <c r="A612" t="str">
        <f>_xlfn.XLOOKUP(C612,Raw_Data_Transaksi!$A$1:$A$1001,Raw_Data_Transaksi!$D$1:$D$1001,,0)</f>
        <v>PRD-105</v>
      </c>
      <c r="B612" t="str">
        <f>_xlfn.XLOOKUP(C612,Raw_Data_Transaksi!$A$1:$A$1001,Raw_Data_Transaksi!$C$1:$C$1001,,0)</f>
        <v>SLS-07</v>
      </c>
      <c r="C612" s="6" t="s">
        <v>696</v>
      </c>
      <c r="D612" s="7">
        <v>45700</v>
      </c>
      <c r="E612" s="10" t="str">
        <f>VLOOKUP(B612,Master_Sales!$A$1:$D$9,2,FALSE)</f>
        <v>Gita Permata</v>
      </c>
      <c r="F612" s="10" t="str">
        <f>INDEX(Master_Sales!$D$1:$D$9,MATCH(Lembar_Kerja_Analisis!B612,Master_Sales!$A$1:$A$9,0))</f>
        <v>Tengah</v>
      </c>
      <c r="G612" s="10" t="str">
        <f>INDEX(Master_Sales!$C$1:$C$9,MATCH(Lembar_Kerja_Analisis!B612,Master_Sales!$A$1:$A$9,0))</f>
        <v>Denpasar</v>
      </c>
      <c r="H612" s="10" t="str">
        <f>VLOOKUP(A612,Master_Produk!$A$1:$E$16,2,FALSE)</f>
        <v>Kemeja Batik Katun Premium</v>
      </c>
      <c r="I612" s="10" t="str">
        <f>INDEX(Master_Produk!$C$1:$C$16,MATCH(Lembar_Kerja_Analisis!A612,Master_Produk!$A$1:$A$16,0))</f>
        <v>Fashion</v>
      </c>
      <c r="J612" s="19">
        <f>_xlfn.XLOOKUP(A612,Master_Produk!$A$1:$A$16,Master_Produk!$D$1:$D$16,,0)</f>
        <v>320000</v>
      </c>
      <c r="K612" s="19">
        <f>INDEX(Master_Produk!$E$1:$E$16,MATCH(Lembar_Kerja_Analisis!A612,Master_Produk!$A$1:$A$16,0))</f>
        <v>190000</v>
      </c>
      <c r="L612" s="8">
        <v>5</v>
      </c>
      <c r="M612" s="19">
        <f t="shared" si="45"/>
        <v>1600000</v>
      </c>
      <c r="N612" s="9">
        <v>0.05</v>
      </c>
      <c r="O612" s="19">
        <f t="shared" si="46"/>
        <v>80000</v>
      </c>
      <c r="P612" s="19">
        <f t="shared" si="47"/>
        <v>1520000</v>
      </c>
      <c r="Q612" s="19">
        <f t="shared" si="48"/>
        <v>950000</v>
      </c>
      <c r="R612" s="19">
        <f t="shared" si="49"/>
        <v>570000</v>
      </c>
    </row>
    <row r="613" spans="1:18" x14ac:dyDescent="0.25">
      <c r="A613" t="str">
        <f>_xlfn.XLOOKUP(C613,Raw_Data_Transaksi!$A$1:$A$1001,Raw_Data_Transaksi!$D$1:$D$1001,,0)</f>
        <v>PRD-109</v>
      </c>
      <c r="B613" t="str">
        <f>_xlfn.XLOOKUP(C613,Raw_Data_Transaksi!$A$1:$A$1001,Raw_Data_Transaksi!$C$1:$C$1001,,0)</f>
        <v>SLS-02</v>
      </c>
      <c r="C613" s="6" t="s">
        <v>697</v>
      </c>
      <c r="D613" s="7">
        <v>45953</v>
      </c>
      <c r="E613" s="10" t="str">
        <f>VLOOKUP(B613,Master_Sales!$A$1:$D$9,2,FALSE)</f>
        <v>Budi Santoso</v>
      </c>
      <c r="F613" s="10" t="str">
        <f>INDEX(Master_Sales!$D$1:$D$9,MATCH(Lembar_Kerja_Analisis!B613,Master_Sales!$A$1:$A$9,0))</f>
        <v>Timur</v>
      </c>
      <c r="G613" s="10" t="str">
        <f>INDEX(Master_Sales!$C$1:$C$9,MATCH(Lembar_Kerja_Analisis!B613,Master_Sales!$A$1:$A$9,0))</f>
        <v>Surabaya</v>
      </c>
      <c r="H613" s="10" t="str">
        <f>VLOOKUP(A613,Master_Produk!$A$1:$E$16,2,FALSE)</f>
        <v>Kopi Arabika Gayo 250g</v>
      </c>
      <c r="I613" s="10" t="str">
        <f>INDEX(Master_Produk!$C$1:$C$16,MATCH(Lembar_Kerja_Analisis!A613,Master_Produk!$A$1:$A$16,0))</f>
        <v>F&amp;B</v>
      </c>
      <c r="J613" s="19">
        <f>_xlfn.XLOOKUP(A613,Master_Produk!$A$1:$A$16,Master_Produk!$D$1:$D$16,,0)</f>
        <v>85000</v>
      </c>
      <c r="K613" s="19">
        <f>INDEX(Master_Produk!$E$1:$E$16,MATCH(Lembar_Kerja_Analisis!A613,Master_Produk!$A$1:$A$16,0))</f>
        <v>55000</v>
      </c>
      <c r="L613" s="8">
        <v>3</v>
      </c>
      <c r="M613" s="19">
        <f t="shared" si="45"/>
        <v>255000</v>
      </c>
      <c r="N613" s="9">
        <v>0.15</v>
      </c>
      <c r="O613" s="19">
        <f t="shared" si="46"/>
        <v>38250</v>
      </c>
      <c r="P613" s="19">
        <f t="shared" si="47"/>
        <v>216750</v>
      </c>
      <c r="Q613" s="19">
        <f t="shared" si="48"/>
        <v>165000</v>
      </c>
      <c r="R613" s="19">
        <f t="shared" si="49"/>
        <v>51750</v>
      </c>
    </row>
    <row r="614" spans="1:18" x14ac:dyDescent="0.25">
      <c r="A614" t="str">
        <f>_xlfn.XLOOKUP(C614,Raw_Data_Transaksi!$A$1:$A$1001,Raw_Data_Transaksi!$D$1:$D$1001,,0)</f>
        <v>PRD-106</v>
      </c>
      <c r="B614" t="str">
        <f>_xlfn.XLOOKUP(C614,Raw_Data_Transaksi!$A$1:$A$1001,Raw_Data_Transaksi!$C$1:$C$1001,,0)</f>
        <v>SLS-02</v>
      </c>
      <c r="C614" s="6" t="s">
        <v>698</v>
      </c>
      <c r="D614" s="7">
        <v>45867</v>
      </c>
      <c r="E614" s="10" t="str">
        <f>VLOOKUP(B614,Master_Sales!$A$1:$D$9,2,FALSE)</f>
        <v>Budi Santoso</v>
      </c>
      <c r="F614" s="10" t="str">
        <f>INDEX(Master_Sales!$D$1:$D$9,MATCH(Lembar_Kerja_Analisis!B614,Master_Sales!$A$1:$A$9,0))</f>
        <v>Timur</v>
      </c>
      <c r="G614" s="10" t="str">
        <f>INDEX(Master_Sales!$C$1:$C$9,MATCH(Lembar_Kerja_Analisis!B614,Master_Sales!$A$1:$A$9,0))</f>
        <v>Surabaya</v>
      </c>
      <c r="H614" s="10" t="str">
        <f>VLOOKUP(A614,Master_Produk!$A$1:$E$16,2,FALSE)</f>
        <v>Celana Chino Slim Fit</v>
      </c>
      <c r="I614" s="10" t="str">
        <f>INDEX(Master_Produk!$C$1:$C$16,MATCH(Lembar_Kerja_Analisis!A614,Master_Produk!$A$1:$A$16,0))</f>
        <v>Fashion</v>
      </c>
      <c r="J614" s="19">
        <f>_xlfn.XLOOKUP(A614,Master_Produk!$A$1:$A$16,Master_Produk!$D$1:$D$16,,0)</f>
        <v>280000</v>
      </c>
      <c r="K614" s="19">
        <f>INDEX(Master_Produk!$E$1:$E$16,MATCH(Lembar_Kerja_Analisis!A614,Master_Produk!$A$1:$A$16,0))</f>
        <v>175000</v>
      </c>
      <c r="L614" s="8">
        <v>3</v>
      </c>
      <c r="M614" s="19">
        <f t="shared" si="45"/>
        <v>840000</v>
      </c>
      <c r="N614" s="9">
        <v>0.15</v>
      </c>
      <c r="O614" s="19">
        <f t="shared" si="46"/>
        <v>126000</v>
      </c>
      <c r="P614" s="19">
        <f t="shared" si="47"/>
        <v>714000</v>
      </c>
      <c r="Q614" s="19">
        <f t="shared" si="48"/>
        <v>525000</v>
      </c>
      <c r="R614" s="19">
        <f t="shared" si="49"/>
        <v>189000</v>
      </c>
    </row>
    <row r="615" spans="1:18" x14ac:dyDescent="0.25">
      <c r="A615" t="str">
        <f>_xlfn.XLOOKUP(C615,Raw_Data_Transaksi!$A$1:$A$1001,Raw_Data_Transaksi!$D$1:$D$1001,,0)</f>
        <v>PRD-106</v>
      </c>
      <c r="B615" t="str">
        <f>_xlfn.XLOOKUP(C615,Raw_Data_Transaksi!$A$1:$A$1001,Raw_Data_Transaksi!$C$1:$C$1001,,0)</f>
        <v>SLS-05</v>
      </c>
      <c r="C615" s="6" t="s">
        <v>699</v>
      </c>
      <c r="D615" s="7">
        <v>45947</v>
      </c>
      <c r="E615" s="10" t="str">
        <f>VLOOKUP(B615,Master_Sales!$A$1:$D$9,2,FALSE)</f>
        <v>Eko Prasetyo</v>
      </c>
      <c r="F615" s="10" t="str">
        <f>INDEX(Master_Sales!$D$1:$D$9,MATCH(Lembar_Kerja_Analisis!B615,Master_Sales!$A$1:$A$9,0))</f>
        <v>Tengah</v>
      </c>
      <c r="G615" s="10" t="str">
        <f>INDEX(Master_Sales!$C$1:$C$9,MATCH(Lembar_Kerja_Analisis!B615,Master_Sales!$A$1:$A$9,0))</f>
        <v>Semarang</v>
      </c>
      <c r="H615" s="10" t="str">
        <f>VLOOKUP(A615,Master_Produk!$A$1:$E$16,2,FALSE)</f>
        <v>Celana Chino Slim Fit</v>
      </c>
      <c r="I615" s="10" t="str">
        <f>INDEX(Master_Produk!$C$1:$C$16,MATCH(Lembar_Kerja_Analisis!A615,Master_Produk!$A$1:$A$16,0))</f>
        <v>Fashion</v>
      </c>
      <c r="J615" s="19">
        <f>_xlfn.XLOOKUP(A615,Master_Produk!$A$1:$A$16,Master_Produk!$D$1:$D$16,,0)</f>
        <v>280000</v>
      </c>
      <c r="K615" s="19">
        <f>INDEX(Master_Produk!$E$1:$E$16,MATCH(Lembar_Kerja_Analisis!A615,Master_Produk!$A$1:$A$16,0))</f>
        <v>175000</v>
      </c>
      <c r="L615" s="8">
        <v>11</v>
      </c>
      <c r="M615" s="19">
        <f t="shared" si="45"/>
        <v>3080000</v>
      </c>
      <c r="N615" s="9">
        <v>0.15</v>
      </c>
      <c r="O615" s="19">
        <f t="shared" si="46"/>
        <v>462000</v>
      </c>
      <c r="P615" s="19">
        <f t="shared" si="47"/>
        <v>2618000</v>
      </c>
      <c r="Q615" s="19">
        <f t="shared" si="48"/>
        <v>1925000</v>
      </c>
      <c r="R615" s="19">
        <f t="shared" si="49"/>
        <v>693000</v>
      </c>
    </row>
    <row r="616" spans="1:18" x14ac:dyDescent="0.25">
      <c r="A616" t="str">
        <f>_xlfn.XLOOKUP(C616,Raw_Data_Transaksi!$A$1:$A$1001,Raw_Data_Transaksi!$D$1:$D$1001,,0)</f>
        <v>PRD-106</v>
      </c>
      <c r="B616" t="str">
        <f>_xlfn.XLOOKUP(C616,Raw_Data_Transaksi!$A$1:$A$1001,Raw_Data_Transaksi!$C$1:$C$1001,,0)</f>
        <v>SLS-08</v>
      </c>
      <c r="C616" s="6" t="s">
        <v>700</v>
      </c>
      <c r="D616" s="7">
        <v>45749</v>
      </c>
      <c r="E616" s="10" t="str">
        <f>VLOOKUP(B616,Master_Sales!$A$1:$D$9,2,FALSE)</f>
        <v>Hendra Wijaya</v>
      </c>
      <c r="F616" s="10" t="str">
        <f>INDEX(Master_Sales!$D$1:$D$9,MATCH(Lembar_Kerja_Analisis!B616,Master_Sales!$A$1:$A$9,0))</f>
        <v>Tengah</v>
      </c>
      <c r="G616" s="10" t="str">
        <f>INDEX(Master_Sales!$C$1:$C$9,MATCH(Lembar_Kerja_Analisis!B616,Master_Sales!$A$1:$A$9,0))</f>
        <v>Yogyakarta</v>
      </c>
      <c r="H616" s="10" t="str">
        <f>VLOOKUP(A616,Master_Produk!$A$1:$E$16,2,FALSE)</f>
        <v>Celana Chino Slim Fit</v>
      </c>
      <c r="I616" s="10" t="str">
        <f>INDEX(Master_Produk!$C$1:$C$16,MATCH(Lembar_Kerja_Analisis!A616,Master_Produk!$A$1:$A$16,0))</f>
        <v>Fashion</v>
      </c>
      <c r="J616" s="19">
        <f>_xlfn.XLOOKUP(A616,Master_Produk!$A$1:$A$16,Master_Produk!$D$1:$D$16,,0)</f>
        <v>280000</v>
      </c>
      <c r="K616" s="19">
        <f>INDEX(Master_Produk!$E$1:$E$16,MATCH(Lembar_Kerja_Analisis!A616,Master_Produk!$A$1:$A$16,0))</f>
        <v>175000</v>
      </c>
      <c r="L616" s="8">
        <v>5</v>
      </c>
      <c r="M616" s="19">
        <f t="shared" si="45"/>
        <v>1400000</v>
      </c>
      <c r="N616" s="9">
        <v>0.1</v>
      </c>
      <c r="O616" s="19">
        <f t="shared" si="46"/>
        <v>140000</v>
      </c>
      <c r="P616" s="19">
        <f t="shared" si="47"/>
        <v>1260000</v>
      </c>
      <c r="Q616" s="19">
        <f t="shared" si="48"/>
        <v>875000</v>
      </c>
      <c r="R616" s="19">
        <f t="shared" si="49"/>
        <v>385000</v>
      </c>
    </row>
    <row r="617" spans="1:18" x14ac:dyDescent="0.25">
      <c r="A617" t="str">
        <f>_xlfn.XLOOKUP(C617,Raw_Data_Transaksi!$A$1:$A$1001,Raw_Data_Transaksi!$D$1:$D$1001,,0)</f>
        <v>PRD-114</v>
      </c>
      <c r="B617" t="str">
        <f>_xlfn.XLOOKUP(C617,Raw_Data_Transaksi!$A$1:$A$1001,Raw_Data_Transaksi!$C$1:$C$1001,,0)</f>
        <v>SLS-02</v>
      </c>
      <c r="C617" s="6" t="s">
        <v>701</v>
      </c>
      <c r="D617" s="7">
        <v>45728</v>
      </c>
      <c r="E617" s="10" t="str">
        <f>VLOOKUP(B617,Master_Sales!$A$1:$D$9,2,FALSE)</f>
        <v>Budi Santoso</v>
      </c>
      <c r="F617" s="10" t="str">
        <f>INDEX(Master_Sales!$D$1:$D$9,MATCH(Lembar_Kerja_Analisis!B617,Master_Sales!$A$1:$A$9,0))</f>
        <v>Timur</v>
      </c>
      <c r="G617" s="10" t="str">
        <f>INDEX(Master_Sales!$C$1:$C$9,MATCH(Lembar_Kerja_Analisis!B617,Master_Sales!$A$1:$A$9,0))</f>
        <v>Surabaya</v>
      </c>
      <c r="H617" s="10" t="str">
        <f>VLOOKUP(A617,Master_Produk!$A$1:$E$16,2,FALSE)</f>
        <v>Blender Multifungsi 2-in-1</v>
      </c>
      <c r="I617" s="10" t="str">
        <f>INDEX(Master_Produk!$C$1:$C$16,MATCH(Lembar_Kerja_Analisis!A617,Master_Produk!$A$1:$A$16,0))</f>
        <v>Peralatan Rumah</v>
      </c>
      <c r="J617" s="19">
        <f>_xlfn.XLOOKUP(A617,Master_Produk!$A$1:$A$16,Master_Produk!$D$1:$D$16,,0)</f>
        <v>340000</v>
      </c>
      <c r="K617" s="19">
        <f>INDEX(Master_Produk!$E$1:$E$16,MATCH(Lembar_Kerja_Analisis!A617,Master_Produk!$A$1:$A$16,0))</f>
        <v>240000</v>
      </c>
      <c r="L617" s="8">
        <v>12</v>
      </c>
      <c r="M617" s="19">
        <f t="shared" si="45"/>
        <v>4080000</v>
      </c>
      <c r="N617" s="9">
        <v>0.05</v>
      </c>
      <c r="O617" s="19">
        <f t="shared" si="46"/>
        <v>204000</v>
      </c>
      <c r="P617" s="19">
        <f t="shared" si="47"/>
        <v>3876000</v>
      </c>
      <c r="Q617" s="19">
        <f t="shared" si="48"/>
        <v>2880000</v>
      </c>
      <c r="R617" s="19">
        <f t="shared" si="49"/>
        <v>996000</v>
      </c>
    </row>
    <row r="618" spans="1:18" x14ac:dyDescent="0.25">
      <c r="A618" t="str">
        <f>_xlfn.XLOOKUP(C618,Raw_Data_Transaksi!$A$1:$A$1001,Raw_Data_Transaksi!$D$1:$D$1001,,0)</f>
        <v>PRD-104</v>
      </c>
      <c r="B618" t="str">
        <f>_xlfn.XLOOKUP(C618,Raw_Data_Transaksi!$A$1:$A$1001,Raw_Data_Transaksi!$C$1:$C$1001,,0)</f>
        <v>SLS-07</v>
      </c>
      <c r="C618" s="6" t="s">
        <v>702</v>
      </c>
      <c r="D618" s="7">
        <v>45709</v>
      </c>
      <c r="E618" s="10" t="str">
        <f>VLOOKUP(B618,Master_Sales!$A$1:$D$9,2,FALSE)</f>
        <v>Gita Permata</v>
      </c>
      <c r="F618" s="10" t="str">
        <f>INDEX(Master_Sales!$D$1:$D$9,MATCH(Lembar_Kerja_Analisis!B618,Master_Sales!$A$1:$A$9,0))</f>
        <v>Tengah</v>
      </c>
      <c r="G618" s="10" t="str">
        <f>INDEX(Master_Sales!$C$1:$C$9,MATCH(Lembar_Kerja_Analisis!B618,Master_Sales!$A$1:$A$9,0))</f>
        <v>Denpasar</v>
      </c>
      <c r="H618" s="10" t="str">
        <f>VLOOKUP(A618,Master_Produk!$A$1:$E$16,2,FALSE)</f>
        <v>Monitor 24" FHD 144Hz</v>
      </c>
      <c r="I618" s="10" t="str">
        <f>INDEX(Master_Produk!$C$1:$C$16,MATCH(Lembar_Kerja_Analisis!A618,Master_Produk!$A$1:$A$16,0))</f>
        <v>Elektronik</v>
      </c>
      <c r="J618" s="19">
        <f>_xlfn.XLOOKUP(A618,Master_Produk!$A$1:$A$16,Master_Produk!$D$1:$D$16,,0)</f>
        <v>1950000</v>
      </c>
      <c r="K618" s="19">
        <f>INDEX(Master_Produk!$E$1:$E$16,MATCH(Lembar_Kerja_Analisis!A618,Master_Produk!$A$1:$A$16,0))</f>
        <v>1500000</v>
      </c>
      <c r="L618" s="8">
        <v>6</v>
      </c>
      <c r="M618" s="19">
        <f t="shared" si="45"/>
        <v>11700000</v>
      </c>
      <c r="N618" s="9">
        <v>0.2</v>
      </c>
      <c r="O618" s="19">
        <f t="shared" si="46"/>
        <v>2340000</v>
      </c>
      <c r="P618" s="19">
        <f t="shared" si="47"/>
        <v>9360000</v>
      </c>
      <c r="Q618" s="19">
        <f t="shared" si="48"/>
        <v>9000000</v>
      </c>
      <c r="R618" s="19">
        <f t="shared" si="49"/>
        <v>360000</v>
      </c>
    </row>
    <row r="619" spans="1:18" x14ac:dyDescent="0.25">
      <c r="A619" t="str">
        <f>_xlfn.XLOOKUP(C619,Raw_Data_Transaksi!$A$1:$A$1001,Raw_Data_Transaksi!$D$1:$D$1001,,0)</f>
        <v>PRD-101</v>
      </c>
      <c r="B619" t="str">
        <f>_xlfn.XLOOKUP(C619,Raw_Data_Transaksi!$A$1:$A$1001,Raw_Data_Transaksi!$C$1:$C$1001,,0)</f>
        <v>SLS-02</v>
      </c>
      <c r="C619" s="6" t="s">
        <v>703</v>
      </c>
      <c r="D619" s="7">
        <v>45983</v>
      </c>
      <c r="E619" s="10" t="str">
        <f>VLOOKUP(B619,Master_Sales!$A$1:$D$9,2,FALSE)</f>
        <v>Budi Santoso</v>
      </c>
      <c r="F619" s="10" t="str">
        <f>INDEX(Master_Sales!$D$1:$D$9,MATCH(Lembar_Kerja_Analisis!B619,Master_Sales!$A$1:$A$9,0))</f>
        <v>Timur</v>
      </c>
      <c r="G619" s="10" t="str">
        <f>INDEX(Master_Sales!$C$1:$C$9,MATCH(Lembar_Kerja_Analisis!B619,Master_Sales!$A$1:$A$9,0))</f>
        <v>Surabaya</v>
      </c>
      <c r="H619" s="10" t="str">
        <f>VLOOKUP(A619,Master_Produk!$A$1:$E$16,2,FALSE)</f>
        <v>Laptop Ultrabook 14"</v>
      </c>
      <c r="I619" s="10" t="str">
        <f>INDEX(Master_Produk!$C$1:$C$16,MATCH(Lembar_Kerja_Analisis!A619,Master_Produk!$A$1:$A$16,0))</f>
        <v>Elektronik</v>
      </c>
      <c r="J619" s="19">
        <f>_xlfn.XLOOKUP(A619,Master_Produk!$A$1:$A$16,Master_Produk!$D$1:$D$16,,0)</f>
        <v>8500000</v>
      </c>
      <c r="K619" s="19">
        <f>INDEX(Master_Produk!$E$1:$E$16,MATCH(Lembar_Kerja_Analisis!A619,Master_Produk!$A$1:$A$16,0))</f>
        <v>7200000</v>
      </c>
      <c r="L619" s="8">
        <v>3</v>
      </c>
      <c r="M619" s="19">
        <f t="shared" si="45"/>
        <v>25500000</v>
      </c>
      <c r="N619" s="9">
        <v>0.15</v>
      </c>
      <c r="O619" s="19">
        <f t="shared" si="46"/>
        <v>3825000</v>
      </c>
      <c r="P619" s="19">
        <f t="shared" si="47"/>
        <v>21675000</v>
      </c>
      <c r="Q619" s="19">
        <f t="shared" si="48"/>
        <v>21600000</v>
      </c>
      <c r="R619" s="19">
        <f t="shared" si="49"/>
        <v>75000</v>
      </c>
    </row>
    <row r="620" spans="1:18" x14ac:dyDescent="0.25">
      <c r="A620" t="str">
        <f>_xlfn.XLOOKUP(C620,Raw_Data_Transaksi!$A$1:$A$1001,Raw_Data_Transaksi!$D$1:$D$1001,,0)</f>
        <v>PRD-104</v>
      </c>
      <c r="B620" t="str">
        <f>_xlfn.XLOOKUP(C620,Raw_Data_Transaksi!$A$1:$A$1001,Raw_Data_Transaksi!$C$1:$C$1001,,0)</f>
        <v>SLS-06</v>
      </c>
      <c r="C620" s="6" t="s">
        <v>704</v>
      </c>
      <c r="D620" s="7">
        <v>45792</v>
      </c>
      <c r="E620" s="10" t="str">
        <f>VLOOKUP(B620,Master_Sales!$A$1:$D$9,2,FALSE)</f>
        <v>Fajar Nugraha</v>
      </c>
      <c r="F620" s="10" t="str">
        <f>INDEX(Master_Sales!$D$1:$D$9,MATCH(Lembar_Kerja_Analisis!B620,Master_Sales!$A$1:$A$9,0))</f>
        <v>Timur</v>
      </c>
      <c r="G620" s="10" t="str">
        <f>INDEX(Master_Sales!$C$1:$C$9,MATCH(Lembar_Kerja_Analisis!B620,Master_Sales!$A$1:$A$9,0))</f>
        <v>Makassar</v>
      </c>
      <c r="H620" s="10" t="str">
        <f>VLOOKUP(A620,Master_Produk!$A$1:$E$16,2,FALSE)</f>
        <v>Monitor 24" FHD 144Hz</v>
      </c>
      <c r="I620" s="10" t="str">
        <f>INDEX(Master_Produk!$C$1:$C$16,MATCH(Lembar_Kerja_Analisis!A620,Master_Produk!$A$1:$A$16,0))</f>
        <v>Elektronik</v>
      </c>
      <c r="J620" s="19">
        <f>_xlfn.XLOOKUP(A620,Master_Produk!$A$1:$A$16,Master_Produk!$D$1:$D$16,,0)</f>
        <v>1950000</v>
      </c>
      <c r="K620" s="19">
        <f>INDEX(Master_Produk!$E$1:$E$16,MATCH(Lembar_Kerja_Analisis!A620,Master_Produk!$A$1:$A$16,0))</f>
        <v>1500000</v>
      </c>
      <c r="L620" s="8">
        <v>2</v>
      </c>
      <c r="M620" s="19">
        <f t="shared" si="45"/>
        <v>3900000</v>
      </c>
      <c r="N620" s="9">
        <v>0.2</v>
      </c>
      <c r="O620" s="19">
        <f t="shared" si="46"/>
        <v>780000</v>
      </c>
      <c r="P620" s="19">
        <f t="shared" si="47"/>
        <v>3120000</v>
      </c>
      <c r="Q620" s="19">
        <f t="shared" si="48"/>
        <v>3000000</v>
      </c>
      <c r="R620" s="19">
        <f t="shared" si="49"/>
        <v>120000</v>
      </c>
    </row>
    <row r="621" spans="1:18" x14ac:dyDescent="0.25">
      <c r="A621" t="str">
        <f>_xlfn.XLOOKUP(C621,Raw_Data_Transaksi!$A$1:$A$1001,Raw_Data_Transaksi!$D$1:$D$1001,,0)</f>
        <v>PRD-110</v>
      </c>
      <c r="B621" t="str">
        <f>_xlfn.XLOOKUP(C621,Raw_Data_Transaksi!$A$1:$A$1001,Raw_Data_Transaksi!$C$1:$C$1001,,0)</f>
        <v>SLS-05</v>
      </c>
      <c r="C621" s="6" t="s">
        <v>705</v>
      </c>
      <c r="D621" s="7">
        <v>45863</v>
      </c>
      <c r="E621" s="10" t="str">
        <f>VLOOKUP(B621,Master_Sales!$A$1:$D$9,2,FALSE)</f>
        <v>Eko Prasetyo</v>
      </c>
      <c r="F621" s="10" t="str">
        <f>INDEX(Master_Sales!$D$1:$D$9,MATCH(Lembar_Kerja_Analisis!B621,Master_Sales!$A$1:$A$9,0))</f>
        <v>Tengah</v>
      </c>
      <c r="G621" s="10" t="str">
        <f>INDEX(Master_Sales!$C$1:$C$9,MATCH(Lembar_Kerja_Analisis!B621,Master_Sales!$A$1:$A$9,0))</f>
        <v>Semarang</v>
      </c>
      <c r="H621" s="10" t="str">
        <f>VLOOKUP(A621,Master_Produk!$A$1:$E$16,2,FALSE)</f>
        <v>Minyak Goreng Sawit 2L</v>
      </c>
      <c r="I621" s="10" t="str">
        <f>INDEX(Master_Produk!$C$1:$C$16,MATCH(Lembar_Kerja_Analisis!A621,Master_Produk!$A$1:$A$16,0))</f>
        <v>F&amp;B</v>
      </c>
      <c r="J621" s="19">
        <f>_xlfn.XLOOKUP(A621,Master_Produk!$A$1:$A$16,Master_Produk!$D$1:$D$16,,0)</f>
        <v>36000</v>
      </c>
      <c r="K621" s="19">
        <f>INDEX(Master_Produk!$E$1:$E$16,MATCH(Lembar_Kerja_Analisis!A621,Master_Produk!$A$1:$A$16,0))</f>
        <v>31000</v>
      </c>
      <c r="L621" s="8">
        <v>22</v>
      </c>
      <c r="M621" s="19">
        <f t="shared" si="45"/>
        <v>792000</v>
      </c>
      <c r="N621" s="9">
        <v>0</v>
      </c>
      <c r="O621" s="19">
        <f t="shared" si="46"/>
        <v>0</v>
      </c>
      <c r="P621" s="19">
        <f t="shared" si="47"/>
        <v>792000</v>
      </c>
      <c r="Q621" s="19">
        <f t="shared" si="48"/>
        <v>682000</v>
      </c>
      <c r="R621" s="19">
        <f t="shared" si="49"/>
        <v>110000</v>
      </c>
    </row>
    <row r="622" spans="1:18" x14ac:dyDescent="0.25">
      <c r="A622" t="str">
        <f>_xlfn.XLOOKUP(C622,Raw_Data_Transaksi!$A$1:$A$1001,Raw_Data_Transaksi!$D$1:$D$1001,,0)</f>
        <v>PRD-101</v>
      </c>
      <c r="B622" t="str">
        <f>_xlfn.XLOOKUP(C622,Raw_Data_Transaksi!$A$1:$A$1001,Raw_Data_Transaksi!$C$1:$C$1001,,0)</f>
        <v>SLS-04</v>
      </c>
      <c r="C622" s="6" t="s">
        <v>706</v>
      </c>
      <c r="D622" s="7">
        <v>45882</v>
      </c>
      <c r="E622" s="10" t="str">
        <f>VLOOKUP(B622,Master_Sales!$A$1:$D$9,2,FALSE)</f>
        <v>Dewi Anggraini</v>
      </c>
      <c r="F622" s="10" t="str">
        <f>INDEX(Master_Sales!$D$1:$D$9,MATCH(Lembar_Kerja_Analisis!B622,Master_Sales!$A$1:$A$9,0))</f>
        <v>Barat</v>
      </c>
      <c r="G622" s="10" t="str">
        <f>INDEX(Master_Sales!$C$1:$C$9,MATCH(Lembar_Kerja_Analisis!B622,Master_Sales!$A$1:$A$9,0))</f>
        <v>Medan</v>
      </c>
      <c r="H622" s="10" t="str">
        <f>VLOOKUP(A622,Master_Produk!$A$1:$E$16,2,FALSE)</f>
        <v>Laptop Ultrabook 14"</v>
      </c>
      <c r="I622" s="10" t="str">
        <f>INDEX(Master_Produk!$C$1:$C$16,MATCH(Lembar_Kerja_Analisis!A622,Master_Produk!$A$1:$A$16,0))</f>
        <v>Elektronik</v>
      </c>
      <c r="J622" s="19">
        <f>_xlfn.XLOOKUP(A622,Master_Produk!$A$1:$A$16,Master_Produk!$D$1:$D$16,,0)</f>
        <v>8500000</v>
      </c>
      <c r="K622" s="19">
        <f>INDEX(Master_Produk!$E$1:$E$16,MATCH(Lembar_Kerja_Analisis!A622,Master_Produk!$A$1:$A$16,0))</f>
        <v>7200000</v>
      </c>
      <c r="L622" s="8">
        <v>11</v>
      </c>
      <c r="M622" s="19">
        <f t="shared" si="45"/>
        <v>93500000</v>
      </c>
      <c r="N622" s="9">
        <v>0.2</v>
      </c>
      <c r="O622" s="19">
        <f t="shared" si="46"/>
        <v>18700000</v>
      </c>
      <c r="P622" s="19">
        <f t="shared" si="47"/>
        <v>74800000</v>
      </c>
      <c r="Q622" s="19">
        <f t="shared" si="48"/>
        <v>79200000</v>
      </c>
      <c r="R622" s="19">
        <f t="shared" si="49"/>
        <v>-4400000</v>
      </c>
    </row>
    <row r="623" spans="1:18" x14ac:dyDescent="0.25">
      <c r="A623" t="str">
        <f>_xlfn.XLOOKUP(C623,Raw_Data_Transaksi!$A$1:$A$1001,Raw_Data_Transaksi!$D$1:$D$1001,,0)</f>
        <v>PRD-109</v>
      </c>
      <c r="B623" t="str">
        <f>_xlfn.XLOOKUP(C623,Raw_Data_Transaksi!$A$1:$A$1001,Raw_Data_Transaksi!$C$1:$C$1001,,0)</f>
        <v>SLS-04</v>
      </c>
      <c r="C623" s="6" t="s">
        <v>707</v>
      </c>
      <c r="D623" s="7">
        <v>45964</v>
      </c>
      <c r="E623" s="10" t="str">
        <f>VLOOKUP(B623,Master_Sales!$A$1:$D$9,2,FALSE)</f>
        <v>Dewi Anggraini</v>
      </c>
      <c r="F623" s="10" t="str">
        <f>INDEX(Master_Sales!$D$1:$D$9,MATCH(Lembar_Kerja_Analisis!B623,Master_Sales!$A$1:$A$9,0))</f>
        <v>Barat</v>
      </c>
      <c r="G623" s="10" t="str">
        <f>INDEX(Master_Sales!$C$1:$C$9,MATCH(Lembar_Kerja_Analisis!B623,Master_Sales!$A$1:$A$9,0))</f>
        <v>Medan</v>
      </c>
      <c r="H623" s="10" t="str">
        <f>VLOOKUP(A623,Master_Produk!$A$1:$E$16,2,FALSE)</f>
        <v>Kopi Arabika Gayo 250g</v>
      </c>
      <c r="I623" s="10" t="str">
        <f>INDEX(Master_Produk!$C$1:$C$16,MATCH(Lembar_Kerja_Analisis!A623,Master_Produk!$A$1:$A$16,0))</f>
        <v>F&amp;B</v>
      </c>
      <c r="J623" s="19">
        <f>_xlfn.XLOOKUP(A623,Master_Produk!$A$1:$A$16,Master_Produk!$D$1:$D$16,,0)</f>
        <v>85000</v>
      </c>
      <c r="K623" s="19">
        <f>INDEX(Master_Produk!$E$1:$E$16,MATCH(Lembar_Kerja_Analisis!A623,Master_Produk!$A$1:$A$16,0))</f>
        <v>55000</v>
      </c>
      <c r="L623" s="8">
        <v>8</v>
      </c>
      <c r="M623" s="19">
        <f t="shared" si="45"/>
        <v>680000</v>
      </c>
      <c r="N623" s="9">
        <v>0</v>
      </c>
      <c r="O623" s="19">
        <f t="shared" si="46"/>
        <v>0</v>
      </c>
      <c r="P623" s="19">
        <f t="shared" si="47"/>
        <v>680000</v>
      </c>
      <c r="Q623" s="19">
        <f t="shared" si="48"/>
        <v>440000</v>
      </c>
      <c r="R623" s="19">
        <f t="shared" si="49"/>
        <v>240000</v>
      </c>
    </row>
    <row r="624" spans="1:18" x14ac:dyDescent="0.25">
      <c r="A624" t="str">
        <f>_xlfn.XLOOKUP(C624,Raw_Data_Transaksi!$A$1:$A$1001,Raw_Data_Transaksi!$D$1:$D$1001,,0)</f>
        <v>PRD-102</v>
      </c>
      <c r="B624" t="str">
        <f>_xlfn.XLOOKUP(C624,Raw_Data_Transaksi!$A$1:$A$1001,Raw_Data_Transaksi!$C$1:$C$1001,,0)</f>
        <v>SLS-05</v>
      </c>
      <c r="C624" s="6" t="s">
        <v>708</v>
      </c>
      <c r="D624" s="7">
        <v>45738</v>
      </c>
      <c r="E624" s="10" t="str">
        <f>VLOOKUP(B624,Master_Sales!$A$1:$D$9,2,FALSE)</f>
        <v>Eko Prasetyo</v>
      </c>
      <c r="F624" s="10" t="str">
        <f>INDEX(Master_Sales!$D$1:$D$9,MATCH(Lembar_Kerja_Analisis!B624,Master_Sales!$A$1:$A$9,0))</f>
        <v>Tengah</v>
      </c>
      <c r="G624" s="10" t="str">
        <f>INDEX(Master_Sales!$C$1:$C$9,MATCH(Lembar_Kerja_Analisis!B624,Master_Sales!$A$1:$A$9,0))</f>
        <v>Semarang</v>
      </c>
      <c r="H624" s="10" t="str">
        <f>VLOOKUP(A624,Master_Produk!$A$1:$E$16,2,FALSE)</f>
        <v>Wireless Mouse Ergonomic</v>
      </c>
      <c r="I624" s="10" t="str">
        <f>INDEX(Master_Produk!$C$1:$C$16,MATCH(Lembar_Kerja_Analisis!A624,Master_Produk!$A$1:$A$16,0))</f>
        <v>Elektronik</v>
      </c>
      <c r="J624" s="19">
        <f>_xlfn.XLOOKUP(A624,Master_Produk!$A$1:$A$16,Master_Produk!$D$1:$D$16,,0)</f>
        <v>250000</v>
      </c>
      <c r="K624" s="19">
        <f>INDEX(Master_Produk!$E$1:$E$16,MATCH(Lembar_Kerja_Analisis!A624,Master_Produk!$A$1:$A$16,0))</f>
        <v>160000</v>
      </c>
      <c r="L624" s="8">
        <v>7</v>
      </c>
      <c r="M624" s="19">
        <f t="shared" si="45"/>
        <v>1750000</v>
      </c>
      <c r="N624" s="9">
        <v>0.1</v>
      </c>
      <c r="O624" s="19">
        <f t="shared" si="46"/>
        <v>175000</v>
      </c>
      <c r="P624" s="19">
        <f t="shared" si="47"/>
        <v>1575000</v>
      </c>
      <c r="Q624" s="19">
        <f t="shared" si="48"/>
        <v>1120000</v>
      </c>
      <c r="R624" s="19">
        <f t="shared" si="49"/>
        <v>455000</v>
      </c>
    </row>
    <row r="625" spans="1:18" x14ac:dyDescent="0.25">
      <c r="A625" t="str">
        <f>_xlfn.XLOOKUP(C625,Raw_Data_Transaksi!$A$1:$A$1001,Raw_Data_Transaksi!$D$1:$D$1001,,0)</f>
        <v>PRD-101</v>
      </c>
      <c r="B625" t="str">
        <f>_xlfn.XLOOKUP(C625,Raw_Data_Transaksi!$A$1:$A$1001,Raw_Data_Transaksi!$C$1:$C$1001,,0)</f>
        <v>SLS-02</v>
      </c>
      <c r="C625" s="6" t="s">
        <v>709</v>
      </c>
      <c r="D625" s="7">
        <v>45923</v>
      </c>
      <c r="E625" s="10" t="str">
        <f>VLOOKUP(B625,Master_Sales!$A$1:$D$9,2,FALSE)</f>
        <v>Budi Santoso</v>
      </c>
      <c r="F625" s="10" t="str">
        <f>INDEX(Master_Sales!$D$1:$D$9,MATCH(Lembar_Kerja_Analisis!B625,Master_Sales!$A$1:$A$9,0))</f>
        <v>Timur</v>
      </c>
      <c r="G625" s="10" t="str">
        <f>INDEX(Master_Sales!$C$1:$C$9,MATCH(Lembar_Kerja_Analisis!B625,Master_Sales!$A$1:$A$9,0))</f>
        <v>Surabaya</v>
      </c>
      <c r="H625" s="10" t="str">
        <f>VLOOKUP(A625,Master_Produk!$A$1:$E$16,2,FALSE)</f>
        <v>Laptop Ultrabook 14"</v>
      </c>
      <c r="I625" s="10" t="str">
        <f>INDEX(Master_Produk!$C$1:$C$16,MATCH(Lembar_Kerja_Analisis!A625,Master_Produk!$A$1:$A$16,0))</f>
        <v>Elektronik</v>
      </c>
      <c r="J625" s="19">
        <f>_xlfn.XLOOKUP(A625,Master_Produk!$A$1:$A$16,Master_Produk!$D$1:$D$16,,0)</f>
        <v>8500000</v>
      </c>
      <c r="K625" s="19">
        <f>INDEX(Master_Produk!$E$1:$E$16,MATCH(Lembar_Kerja_Analisis!A625,Master_Produk!$A$1:$A$16,0))</f>
        <v>7200000</v>
      </c>
      <c r="L625" s="8">
        <v>2</v>
      </c>
      <c r="M625" s="19">
        <f t="shared" si="45"/>
        <v>17000000</v>
      </c>
      <c r="N625" s="9">
        <v>0.2</v>
      </c>
      <c r="O625" s="19">
        <f t="shared" si="46"/>
        <v>3400000</v>
      </c>
      <c r="P625" s="19">
        <f t="shared" si="47"/>
        <v>13600000</v>
      </c>
      <c r="Q625" s="19">
        <f t="shared" si="48"/>
        <v>14400000</v>
      </c>
      <c r="R625" s="19">
        <f t="shared" si="49"/>
        <v>-800000</v>
      </c>
    </row>
    <row r="626" spans="1:18" x14ac:dyDescent="0.25">
      <c r="A626" t="str">
        <f>_xlfn.XLOOKUP(C626,Raw_Data_Transaksi!$A$1:$A$1001,Raw_Data_Transaksi!$D$1:$D$1001,,0)</f>
        <v>PRD-114</v>
      </c>
      <c r="B626" t="str">
        <f>_xlfn.XLOOKUP(C626,Raw_Data_Transaksi!$A$1:$A$1001,Raw_Data_Transaksi!$C$1:$C$1001,,0)</f>
        <v>SLS-05</v>
      </c>
      <c r="C626" s="6" t="s">
        <v>710</v>
      </c>
      <c r="D626" s="7">
        <v>45835</v>
      </c>
      <c r="E626" s="10" t="str">
        <f>VLOOKUP(B626,Master_Sales!$A$1:$D$9,2,FALSE)</f>
        <v>Eko Prasetyo</v>
      </c>
      <c r="F626" s="10" t="str">
        <f>INDEX(Master_Sales!$D$1:$D$9,MATCH(Lembar_Kerja_Analisis!B626,Master_Sales!$A$1:$A$9,0))</f>
        <v>Tengah</v>
      </c>
      <c r="G626" s="10" t="str">
        <f>INDEX(Master_Sales!$C$1:$C$9,MATCH(Lembar_Kerja_Analisis!B626,Master_Sales!$A$1:$A$9,0))</f>
        <v>Semarang</v>
      </c>
      <c r="H626" s="10" t="str">
        <f>VLOOKUP(A626,Master_Produk!$A$1:$E$16,2,FALSE)</f>
        <v>Blender Multifungsi 2-in-1</v>
      </c>
      <c r="I626" s="10" t="str">
        <f>INDEX(Master_Produk!$C$1:$C$16,MATCH(Lembar_Kerja_Analisis!A626,Master_Produk!$A$1:$A$16,0))</f>
        <v>Peralatan Rumah</v>
      </c>
      <c r="J626" s="19">
        <f>_xlfn.XLOOKUP(A626,Master_Produk!$A$1:$A$16,Master_Produk!$D$1:$D$16,,0)</f>
        <v>340000</v>
      </c>
      <c r="K626" s="19">
        <f>INDEX(Master_Produk!$E$1:$E$16,MATCH(Lembar_Kerja_Analisis!A626,Master_Produk!$A$1:$A$16,0))</f>
        <v>240000</v>
      </c>
      <c r="L626" s="8">
        <v>4</v>
      </c>
      <c r="M626" s="19">
        <f t="shared" si="45"/>
        <v>1360000</v>
      </c>
      <c r="N626" s="9">
        <v>0.2</v>
      </c>
      <c r="O626" s="19">
        <f t="shared" si="46"/>
        <v>272000</v>
      </c>
      <c r="P626" s="19">
        <f t="shared" si="47"/>
        <v>1088000</v>
      </c>
      <c r="Q626" s="19">
        <f t="shared" si="48"/>
        <v>960000</v>
      </c>
      <c r="R626" s="19">
        <f t="shared" si="49"/>
        <v>128000</v>
      </c>
    </row>
    <row r="627" spans="1:18" x14ac:dyDescent="0.25">
      <c r="A627" t="str">
        <f>_xlfn.XLOOKUP(C627,Raw_Data_Transaksi!$A$1:$A$1001,Raw_Data_Transaksi!$D$1:$D$1001,,0)</f>
        <v>PRD-101</v>
      </c>
      <c r="B627" t="str">
        <f>_xlfn.XLOOKUP(C627,Raw_Data_Transaksi!$A$1:$A$1001,Raw_Data_Transaksi!$C$1:$C$1001,,0)</f>
        <v>SLS-05</v>
      </c>
      <c r="C627" s="6" t="s">
        <v>711</v>
      </c>
      <c r="D627" s="7">
        <v>45952</v>
      </c>
      <c r="E627" s="10" t="str">
        <f>VLOOKUP(B627,Master_Sales!$A$1:$D$9,2,FALSE)</f>
        <v>Eko Prasetyo</v>
      </c>
      <c r="F627" s="10" t="str">
        <f>INDEX(Master_Sales!$D$1:$D$9,MATCH(Lembar_Kerja_Analisis!B627,Master_Sales!$A$1:$A$9,0))</f>
        <v>Tengah</v>
      </c>
      <c r="G627" s="10" t="str">
        <f>INDEX(Master_Sales!$C$1:$C$9,MATCH(Lembar_Kerja_Analisis!B627,Master_Sales!$A$1:$A$9,0))</f>
        <v>Semarang</v>
      </c>
      <c r="H627" s="10" t="str">
        <f>VLOOKUP(A627,Master_Produk!$A$1:$E$16,2,FALSE)</f>
        <v>Laptop Ultrabook 14"</v>
      </c>
      <c r="I627" s="10" t="str">
        <f>INDEX(Master_Produk!$C$1:$C$16,MATCH(Lembar_Kerja_Analisis!A627,Master_Produk!$A$1:$A$16,0))</f>
        <v>Elektronik</v>
      </c>
      <c r="J627" s="19">
        <f>_xlfn.XLOOKUP(A627,Master_Produk!$A$1:$A$16,Master_Produk!$D$1:$D$16,,0)</f>
        <v>8500000</v>
      </c>
      <c r="K627" s="19">
        <f>INDEX(Master_Produk!$E$1:$E$16,MATCH(Lembar_Kerja_Analisis!A627,Master_Produk!$A$1:$A$16,0))</f>
        <v>7200000</v>
      </c>
      <c r="L627" s="8">
        <v>3</v>
      </c>
      <c r="M627" s="19">
        <f t="shared" si="45"/>
        <v>25500000</v>
      </c>
      <c r="N627" s="9">
        <v>0.15</v>
      </c>
      <c r="O627" s="19">
        <f t="shared" si="46"/>
        <v>3825000</v>
      </c>
      <c r="P627" s="19">
        <f t="shared" si="47"/>
        <v>21675000</v>
      </c>
      <c r="Q627" s="19">
        <f t="shared" si="48"/>
        <v>21600000</v>
      </c>
      <c r="R627" s="19">
        <f t="shared" si="49"/>
        <v>75000</v>
      </c>
    </row>
    <row r="628" spans="1:18" x14ac:dyDescent="0.25">
      <c r="A628" t="str">
        <f>_xlfn.XLOOKUP(C628,Raw_Data_Transaksi!$A$1:$A$1001,Raw_Data_Transaksi!$D$1:$D$1001,,0)</f>
        <v>PRD-105</v>
      </c>
      <c r="B628" t="str">
        <f>_xlfn.XLOOKUP(C628,Raw_Data_Transaksi!$A$1:$A$1001,Raw_Data_Transaksi!$C$1:$C$1001,,0)</f>
        <v>SLS-06</v>
      </c>
      <c r="C628" s="6" t="s">
        <v>712</v>
      </c>
      <c r="D628" s="7">
        <v>45915</v>
      </c>
      <c r="E628" s="10" t="str">
        <f>VLOOKUP(B628,Master_Sales!$A$1:$D$9,2,FALSE)</f>
        <v>Fajar Nugraha</v>
      </c>
      <c r="F628" s="10" t="str">
        <f>INDEX(Master_Sales!$D$1:$D$9,MATCH(Lembar_Kerja_Analisis!B628,Master_Sales!$A$1:$A$9,0))</f>
        <v>Timur</v>
      </c>
      <c r="G628" s="10" t="str">
        <f>INDEX(Master_Sales!$C$1:$C$9,MATCH(Lembar_Kerja_Analisis!B628,Master_Sales!$A$1:$A$9,0))</f>
        <v>Makassar</v>
      </c>
      <c r="H628" s="10" t="str">
        <f>VLOOKUP(A628,Master_Produk!$A$1:$E$16,2,FALSE)</f>
        <v>Kemeja Batik Katun Premium</v>
      </c>
      <c r="I628" s="10" t="str">
        <f>INDEX(Master_Produk!$C$1:$C$16,MATCH(Lembar_Kerja_Analisis!A628,Master_Produk!$A$1:$A$16,0))</f>
        <v>Fashion</v>
      </c>
      <c r="J628" s="19">
        <f>_xlfn.XLOOKUP(A628,Master_Produk!$A$1:$A$16,Master_Produk!$D$1:$D$16,,0)</f>
        <v>320000</v>
      </c>
      <c r="K628" s="19">
        <f>INDEX(Master_Produk!$E$1:$E$16,MATCH(Lembar_Kerja_Analisis!A628,Master_Produk!$A$1:$A$16,0))</f>
        <v>190000</v>
      </c>
      <c r="L628" s="8">
        <v>2</v>
      </c>
      <c r="M628" s="19">
        <f t="shared" si="45"/>
        <v>640000</v>
      </c>
      <c r="N628" s="9">
        <v>0.2</v>
      </c>
      <c r="O628" s="19">
        <f t="shared" si="46"/>
        <v>128000</v>
      </c>
      <c r="P628" s="19">
        <f t="shared" si="47"/>
        <v>512000</v>
      </c>
      <c r="Q628" s="19">
        <f t="shared" si="48"/>
        <v>380000</v>
      </c>
      <c r="R628" s="19">
        <f t="shared" si="49"/>
        <v>132000</v>
      </c>
    </row>
    <row r="629" spans="1:18" x14ac:dyDescent="0.25">
      <c r="A629" t="str">
        <f>_xlfn.XLOOKUP(C629,Raw_Data_Transaksi!$A$1:$A$1001,Raw_Data_Transaksi!$D$1:$D$1001,,0)</f>
        <v>PRD-108</v>
      </c>
      <c r="B629" t="str">
        <f>_xlfn.XLOOKUP(C629,Raw_Data_Transaksi!$A$1:$A$1001,Raw_Data_Transaksi!$C$1:$C$1001,,0)</f>
        <v>SLS-07</v>
      </c>
      <c r="C629" s="6" t="s">
        <v>713</v>
      </c>
      <c r="D629" s="7">
        <v>46013</v>
      </c>
      <c r="E629" s="10" t="str">
        <f>VLOOKUP(B629,Master_Sales!$A$1:$D$9,2,FALSE)</f>
        <v>Gita Permata</v>
      </c>
      <c r="F629" s="10" t="str">
        <f>INDEX(Master_Sales!$D$1:$D$9,MATCH(Lembar_Kerja_Analisis!B629,Master_Sales!$A$1:$A$9,0))</f>
        <v>Tengah</v>
      </c>
      <c r="G629" s="10" t="str">
        <f>INDEX(Master_Sales!$C$1:$C$9,MATCH(Lembar_Kerja_Analisis!B629,Master_Sales!$A$1:$A$9,0))</f>
        <v>Denpasar</v>
      </c>
      <c r="H629" s="10" t="str">
        <f>VLOOKUP(A629,Master_Produk!$A$1:$E$16,2,FALSE)</f>
        <v>Sepatu Sneakers Pria/Wanita</v>
      </c>
      <c r="I629" s="10" t="str">
        <f>INDEX(Master_Produk!$C$1:$C$16,MATCH(Lembar_Kerja_Analisis!A629,Master_Produk!$A$1:$A$16,0))</f>
        <v>Fashion</v>
      </c>
      <c r="J629" s="19">
        <f>_xlfn.XLOOKUP(A629,Master_Produk!$A$1:$A$16,Master_Produk!$D$1:$D$16,,0)</f>
        <v>450000</v>
      </c>
      <c r="K629" s="19">
        <f>INDEX(Master_Produk!$E$1:$E$16,MATCH(Lembar_Kerja_Analisis!A629,Master_Produk!$A$1:$A$16,0))</f>
        <v>290000</v>
      </c>
      <c r="L629" s="8">
        <v>10</v>
      </c>
      <c r="M629" s="19">
        <f t="shared" si="45"/>
        <v>4500000</v>
      </c>
      <c r="N629" s="9">
        <v>0.15</v>
      </c>
      <c r="O629" s="19">
        <f t="shared" si="46"/>
        <v>675000</v>
      </c>
      <c r="P629" s="19">
        <f t="shared" si="47"/>
        <v>3825000</v>
      </c>
      <c r="Q629" s="19">
        <f t="shared" si="48"/>
        <v>2900000</v>
      </c>
      <c r="R629" s="19">
        <f t="shared" si="49"/>
        <v>925000</v>
      </c>
    </row>
    <row r="630" spans="1:18" x14ac:dyDescent="0.25">
      <c r="A630" t="str">
        <f>_xlfn.XLOOKUP(C630,Raw_Data_Transaksi!$A$1:$A$1001,Raw_Data_Transaksi!$D$1:$D$1001,,0)</f>
        <v>PRD-108</v>
      </c>
      <c r="B630" t="str">
        <f>_xlfn.XLOOKUP(C630,Raw_Data_Transaksi!$A$1:$A$1001,Raw_Data_Transaksi!$C$1:$C$1001,,0)</f>
        <v>SLS-01</v>
      </c>
      <c r="C630" s="6" t="s">
        <v>714</v>
      </c>
      <c r="D630" s="7">
        <v>46006</v>
      </c>
      <c r="E630" s="10" t="str">
        <f>VLOOKUP(B630,Master_Sales!$A$1:$D$9,2,FALSE)</f>
        <v>Andi Pratama</v>
      </c>
      <c r="F630" s="10" t="str">
        <f>INDEX(Master_Sales!$D$1:$D$9,MATCH(Lembar_Kerja_Analisis!B630,Master_Sales!$A$1:$A$9,0))</f>
        <v>Barat</v>
      </c>
      <c r="G630" s="10" t="str">
        <f>INDEX(Master_Sales!$C$1:$C$9,MATCH(Lembar_Kerja_Analisis!B630,Master_Sales!$A$1:$A$9,0))</f>
        <v>Jakarta</v>
      </c>
      <c r="H630" s="10" t="str">
        <f>VLOOKUP(A630,Master_Produk!$A$1:$E$16,2,FALSE)</f>
        <v>Sepatu Sneakers Pria/Wanita</v>
      </c>
      <c r="I630" s="10" t="str">
        <f>INDEX(Master_Produk!$C$1:$C$16,MATCH(Lembar_Kerja_Analisis!A630,Master_Produk!$A$1:$A$16,0))</f>
        <v>Fashion</v>
      </c>
      <c r="J630" s="19">
        <f>_xlfn.XLOOKUP(A630,Master_Produk!$A$1:$A$16,Master_Produk!$D$1:$D$16,,0)</f>
        <v>450000</v>
      </c>
      <c r="K630" s="19">
        <f>INDEX(Master_Produk!$E$1:$E$16,MATCH(Lembar_Kerja_Analisis!A630,Master_Produk!$A$1:$A$16,0))</f>
        <v>290000</v>
      </c>
      <c r="L630" s="8">
        <v>8</v>
      </c>
      <c r="M630" s="19">
        <f t="shared" si="45"/>
        <v>3600000</v>
      </c>
      <c r="N630" s="9">
        <v>0</v>
      </c>
      <c r="O630" s="19">
        <f t="shared" si="46"/>
        <v>0</v>
      </c>
      <c r="P630" s="19">
        <f t="shared" si="47"/>
        <v>3600000</v>
      </c>
      <c r="Q630" s="19">
        <f t="shared" si="48"/>
        <v>2320000</v>
      </c>
      <c r="R630" s="19">
        <f t="shared" si="49"/>
        <v>1280000</v>
      </c>
    </row>
    <row r="631" spans="1:18" x14ac:dyDescent="0.25">
      <c r="A631" t="str">
        <f>_xlfn.XLOOKUP(C631,Raw_Data_Transaksi!$A$1:$A$1001,Raw_Data_Transaksi!$D$1:$D$1001,,0)</f>
        <v>PRD-113</v>
      </c>
      <c r="B631" t="str">
        <f>_xlfn.XLOOKUP(C631,Raw_Data_Transaksi!$A$1:$A$1001,Raw_Data_Transaksi!$C$1:$C$1001,,0)</f>
        <v>SLS-04</v>
      </c>
      <c r="C631" s="6" t="s">
        <v>715</v>
      </c>
      <c r="D631" s="7">
        <v>45982</v>
      </c>
      <c r="E631" s="10" t="str">
        <f>VLOOKUP(B631,Master_Sales!$A$1:$D$9,2,FALSE)</f>
        <v>Dewi Anggraini</v>
      </c>
      <c r="F631" s="10" t="str">
        <f>INDEX(Master_Sales!$D$1:$D$9,MATCH(Lembar_Kerja_Analisis!B631,Master_Sales!$A$1:$A$9,0))</f>
        <v>Barat</v>
      </c>
      <c r="G631" s="10" t="str">
        <f>INDEX(Master_Sales!$C$1:$C$9,MATCH(Lembar_Kerja_Analisis!B631,Master_Sales!$A$1:$A$9,0))</f>
        <v>Medan</v>
      </c>
      <c r="H631" s="10" t="str">
        <f>VLOOKUP(A631,Master_Produk!$A$1:$E$16,2,FALSE)</f>
        <v>Wajan Anti Lengket 28cm</v>
      </c>
      <c r="I631" s="10" t="str">
        <f>INDEX(Master_Produk!$C$1:$C$16,MATCH(Lembar_Kerja_Analisis!A631,Master_Produk!$A$1:$A$16,0))</f>
        <v>Peralatan Rumah</v>
      </c>
      <c r="J631" s="19">
        <f>_xlfn.XLOOKUP(A631,Master_Produk!$A$1:$A$16,Master_Produk!$D$1:$D$16,,0)</f>
        <v>210000</v>
      </c>
      <c r="K631" s="19">
        <f>INDEX(Master_Produk!$E$1:$E$16,MATCH(Lembar_Kerja_Analisis!A631,Master_Produk!$A$1:$A$16,0))</f>
        <v>140000</v>
      </c>
      <c r="L631" s="8">
        <v>11</v>
      </c>
      <c r="M631" s="19">
        <f t="shared" si="45"/>
        <v>2310000</v>
      </c>
      <c r="N631" s="9">
        <v>0.05</v>
      </c>
      <c r="O631" s="19">
        <f t="shared" si="46"/>
        <v>115500</v>
      </c>
      <c r="P631" s="19">
        <f t="shared" si="47"/>
        <v>2194500</v>
      </c>
      <c r="Q631" s="19">
        <f t="shared" si="48"/>
        <v>1540000</v>
      </c>
      <c r="R631" s="19">
        <f t="shared" si="49"/>
        <v>654500</v>
      </c>
    </row>
    <row r="632" spans="1:18" x14ac:dyDescent="0.25">
      <c r="A632" t="str">
        <f>_xlfn.XLOOKUP(C632,Raw_Data_Transaksi!$A$1:$A$1001,Raw_Data_Transaksi!$D$1:$D$1001,,0)</f>
        <v>PRD-109</v>
      </c>
      <c r="B632" t="str">
        <f>_xlfn.XLOOKUP(C632,Raw_Data_Transaksi!$A$1:$A$1001,Raw_Data_Transaksi!$C$1:$C$1001,,0)</f>
        <v>SLS-01</v>
      </c>
      <c r="C632" s="6" t="s">
        <v>716</v>
      </c>
      <c r="D632" s="7">
        <v>45922</v>
      </c>
      <c r="E632" s="10" t="str">
        <f>VLOOKUP(B632,Master_Sales!$A$1:$D$9,2,FALSE)</f>
        <v>Andi Pratama</v>
      </c>
      <c r="F632" s="10" t="str">
        <f>INDEX(Master_Sales!$D$1:$D$9,MATCH(Lembar_Kerja_Analisis!B632,Master_Sales!$A$1:$A$9,0))</f>
        <v>Barat</v>
      </c>
      <c r="G632" s="10" t="str">
        <f>INDEX(Master_Sales!$C$1:$C$9,MATCH(Lembar_Kerja_Analisis!B632,Master_Sales!$A$1:$A$9,0))</f>
        <v>Jakarta</v>
      </c>
      <c r="H632" s="10" t="str">
        <f>VLOOKUP(A632,Master_Produk!$A$1:$E$16,2,FALSE)</f>
        <v>Kopi Arabika Gayo 250g</v>
      </c>
      <c r="I632" s="10" t="str">
        <f>INDEX(Master_Produk!$C$1:$C$16,MATCH(Lembar_Kerja_Analisis!A632,Master_Produk!$A$1:$A$16,0))</f>
        <v>F&amp;B</v>
      </c>
      <c r="J632" s="19">
        <f>_xlfn.XLOOKUP(A632,Master_Produk!$A$1:$A$16,Master_Produk!$D$1:$D$16,,0)</f>
        <v>85000</v>
      </c>
      <c r="K632" s="19">
        <f>INDEX(Master_Produk!$E$1:$E$16,MATCH(Lembar_Kerja_Analisis!A632,Master_Produk!$A$1:$A$16,0))</f>
        <v>55000</v>
      </c>
      <c r="L632" s="8">
        <v>29</v>
      </c>
      <c r="M632" s="19">
        <f t="shared" si="45"/>
        <v>2465000</v>
      </c>
      <c r="N632" s="9">
        <v>0.1</v>
      </c>
      <c r="O632" s="19">
        <f t="shared" si="46"/>
        <v>246500</v>
      </c>
      <c r="P632" s="19">
        <f t="shared" si="47"/>
        <v>2218500</v>
      </c>
      <c r="Q632" s="19">
        <f t="shared" si="48"/>
        <v>1595000</v>
      </c>
      <c r="R632" s="19">
        <f t="shared" si="49"/>
        <v>623500</v>
      </c>
    </row>
    <row r="633" spans="1:18" x14ac:dyDescent="0.25">
      <c r="A633" t="str">
        <f>_xlfn.XLOOKUP(C633,Raw_Data_Transaksi!$A$1:$A$1001,Raw_Data_Transaksi!$D$1:$D$1001,,0)</f>
        <v>PRD-111</v>
      </c>
      <c r="B633" t="str">
        <f>_xlfn.XLOOKUP(C633,Raw_Data_Transaksi!$A$1:$A$1001,Raw_Data_Transaksi!$C$1:$C$1001,,0)</f>
        <v>SLS-06</v>
      </c>
      <c r="C633" s="6" t="s">
        <v>717</v>
      </c>
      <c r="D633" s="7">
        <v>45862</v>
      </c>
      <c r="E633" s="10" t="str">
        <f>VLOOKUP(B633,Master_Sales!$A$1:$D$9,2,FALSE)</f>
        <v>Fajar Nugraha</v>
      </c>
      <c r="F633" s="10" t="str">
        <f>INDEX(Master_Sales!$D$1:$D$9,MATCH(Lembar_Kerja_Analisis!B633,Master_Sales!$A$1:$A$9,0))</f>
        <v>Timur</v>
      </c>
      <c r="G633" s="10" t="str">
        <f>INDEX(Master_Sales!$C$1:$C$9,MATCH(Lembar_Kerja_Analisis!B633,Master_Sales!$A$1:$A$9,0))</f>
        <v>Makassar</v>
      </c>
      <c r="H633" s="10" t="str">
        <f>VLOOKUP(A633,Master_Produk!$A$1:$E$16,2,FALSE)</f>
        <v>Beras Premium 5kg</v>
      </c>
      <c r="I633" s="10" t="str">
        <f>INDEX(Master_Produk!$C$1:$C$16,MATCH(Lembar_Kerja_Analisis!A633,Master_Produk!$A$1:$A$16,0))</f>
        <v>F&amp;B</v>
      </c>
      <c r="J633" s="19">
        <f>_xlfn.XLOOKUP(A633,Master_Produk!$A$1:$A$16,Master_Produk!$D$1:$D$16,,0)</f>
        <v>74000</v>
      </c>
      <c r="K633" s="19">
        <f>INDEX(Master_Produk!$E$1:$E$16,MATCH(Lembar_Kerja_Analisis!A633,Master_Produk!$A$1:$A$16,0))</f>
        <v>65000</v>
      </c>
      <c r="L633" s="8">
        <v>20</v>
      </c>
      <c r="M633" s="19">
        <f t="shared" si="45"/>
        <v>1480000</v>
      </c>
      <c r="N633" s="9">
        <v>0.05</v>
      </c>
      <c r="O633" s="19">
        <f t="shared" si="46"/>
        <v>74000</v>
      </c>
      <c r="P633" s="19">
        <f t="shared" si="47"/>
        <v>1406000</v>
      </c>
      <c r="Q633" s="19">
        <f t="shared" si="48"/>
        <v>1300000</v>
      </c>
      <c r="R633" s="19">
        <f t="shared" si="49"/>
        <v>106000</v>
      </c>
    </row>
    <row r="634" spans="1:18" x14ac:dyDescent="0.25">
      <c r="A634" t="str">
        <f>_xlfn.XLOOKUP(C634,Raw_Data_Transaksi!$A$1:$A$1001,Raw_Data_Transaksi!$D$1:$D$1001,,0)</f>
        <v>PRD-115</v>
      </c>
      <c r="B634" t="str">
        <f>_xlfn.XLOOKUP(C634,Raw_Data_Transaksi!$A$1:$A$1001,Raw_Data_Transaksi!$C$1:$C$1001,,0)</f>
        <v>SLS-05</v>
      </c>
      <c r="C634" s="6" t="s">
        <v>718</v>
      </c>
      <c r="D634" s="7">
        <v>45769</v>
      </c>
      <c r="E634" s="10" t="str">
        <f>VLOOKUP(B634,Master_Sales!$A$1:$D$9,2,FALSE)</f>
        <v>Eko Prasetyo</v>
      </c>
      <c r="F634" s="10" t="str">
        <f>INDEX(Master_Sales!$D$1:$D$9,MATCH(Lembar_Kerja_Analisis!B634,Master_Sales!$A$1:$A$9,0))</f>
        <v>Tengah</v>
      </c>
      <c r="G634" s="10" t="str">
        <f>INDEX(Master_Sales!$C$1:$C$9,MATCH(Lembar_Kerja_Analisis!B634,Master_Sales!$A$1:$A$9,0))</f>
        <v>Semarang</v>
      </c>
      <c r="H634" s="10" t="str">
        <f>VLOOKUP(A634,Master_Produk!$A$1:$E$16,2,FALSE)</f>
        <v>Set Pisau Dapur Stainless</v>
      </c>
      <c r="I634" s="10" t="str">
        <f>INDEX(Master_Produk!$C$1:$C$16,MATCH(Lembar_Kerja_Analisis!A634,Master_Produk!$A$1:$A$16,0))</f>
        <v>Peralatan Rumah</v>
      </c>
      <c r="J634" s="19">
        <f>_xlfn.XLOOKUP(A634,Master_Produk!$A$1:$A$16,Master_Produk!$D$1:$D$16,,0)</f>
        <v>165000</v>
      </c>
      <c r="K634" s="19">
        <f>INDEX(Master_Produk!$E$1:$E$16,MATCH(Lembar_Kerja_Analisis!A634,Master_Produk!$A$1:$A$16,0))</f>
        <v>105000</v>
      </c>
      <c r="L634" s="8">
        <v>3</v>
      </c>
      <c r="M634" s="19">
        <f t="shared" si="45"/>
        <v>495000</v>
      </c>
      <c r="N634" s="9">
        <v>0.05</v>
      </c>
      <c r="O634" s="19">
        <f t="shared" si="46"/>
        <v>24750</v>
      </c>
      <c r="P634" s="19">
        <f t="shared" si="47"/>
        <v>470250</v>
      </c>
      <c r="Q634" s="19">
        <f t="shared" si="48"/>
        <v>315000</v>
      </c>
      <c r="R634" s="19">
        <f t="shared" si="49"/>
        <v>155250</v>
      </c>
    </row>
    <row r="635" spans="1:18" x14ac:dyDescent="0.25">
      <c r="A635" t="str">
        <f>_xlfn.XLOOKUP(C635,Raw_Data_Transaksi!$A$1:$A$1001,Raw_Data_Transaksi!$D$1:$D$1001,,0)</f>
        <v>PRD-112</v>
      </c>
      <c r="B635" t="str">
        <f>_xlfn.XLOOKUP(C635,Raw_Data_Transaksi!$A$1:$A$1001,Raw_Data_Transaksi!$C$1:$C$1001,,0)</f>
        <v>SLS-04</v>
      </c>
      <c r="C635" s="6" t="s">
        <v>719</v>
      </c>
      <c r="D635" s="7">
        <v>45778</v>
      </c>
      <c r="E635" s="10" t="str">
        <f>VLOOKUP(B635,Master_Sales!$A$1:$D$9,2,FALSE)</f>
        <v>Dewi Anggraini</v>
      </c>
      <c r="F635" s="10" t="str">
        <f>INDEX(Master_Sales!$D$1:$D$9,MATCH(Lembar_Kerja_Analisis!B635,Master_Sales!$A$1:$A$9,0))</f>
        <v>Barat</v>
      </c>
      <c r="G635" s="10" t="str">
        <f>INDEX(Master_Sales!$C$1:$C$9,MATCH(Lembar_Kerja_Analisis!B635,Master_Sales!$A$1:$A$9,0))</f>
        <v>Medan</v>
      </c>
      <c r="H635" s="10" t="str">
        <f>VLOOKUP(A635,Master_Produk!$A$1:$E$16,2,FALSE)</f>
        <v>Susu UHT Full Cream 1L</v>
      </c>
      <c r="I635" s="10" t="str">
        <f>INDEX(Master_Produk!$C$1:$C$16,MATCH(Lembar_Kerja_Analisis!A635,Master_Produk!$A$1:$A$16,0))</f>
        <v>F&amp;B</v>
      </c>
      <c r="J635" s="19">
        <f>_xlfn.XLOOKUP(A635,Master_Produk!$A$1:$A$16,Master_Produk!$D$1:$D$16,,0)</f>
        <v>22000</v>
      </c>
      <c r="K635" s="19">
        <f>INDEX(Master_Produk!$E$1:$E$16,MATCH(Lembar_Kerja_Analisis!A635,Master_Produk!$A$1:$A$16,0))</f>
        <v>18000</v>
      </c>
      <c r="L635" s="8">
        <v>9</v>
      </c>
      <c r="M635" s="19">
        <f t="shared" si="45"/>
        <v>198000</v>
      </c>
      <c r="N635" s="9">
        <v>0.05</v>
      </c>
      <c r="O635" s="19">
        <f t="shared" si="46"/>
        <v>9900</v>
      </c>
      <c r="P635" s="19">
        <f t="shared" si="47"/>
        <v>188100</v>
      </c>
      <c r="Q635" s="19">
        <f t="shared" si="48"/>
        <v>162000</v>
      </c>
      <c r="R635" s="19">
        <f t="shared" si="49"/>
        <v>26100</v>
      </c>
    </row>
    <row r="636" spans="1:18" x14ac:dyDescent="0.25">
      <c r="A636" t="str">
        <f>_xlfn.XLOOKUP(C636,Raw_Data_Transaksi!$A$1:$A$1001,Raw_Data_Transaksi!$D$1:$D$1001,,0)</f>
        <v>PRD-113</v>
      </c>
      <c r="B636" t="str">
        <f>_xlfn.XLOOKUP(C636,Raw_Data_Transaksi!$A$1:$A$1001,Raw_Data_Transaksi!$C$1:$C$1001,,0)</f>
        <v>SLS-02</v>
      </c>
      <c r="C636" s="6" t="s">
        <v>720</v>
      </c>
      <c r="D636" s="7">
        <v>45737</v>
      </c>
      <c r="E636" s="10" t="str">
        <f>VLOOKUP(B636,Master_Sales!$A$1:$D$9,2,FALSE)</f>
        <v>Budi Santoso</v>
      </c>
      <c r="F636" s="10" t="str">
        <f>INDEX(Master_Sales!$D$1:$D$9,MATCH(Lembar_Kerja_Analisis!B636,Master_Sales!$A$1:$A$9,0))</f>
        <v>Timur</v>
      </c>
      <c r="G636" s="10" t="str">
        <f>INDEX(Master_Sales!$C$1:$C$9,MATCH(Lembar_Kerja_Analisis!B636,Master_Sales!$A$1:$A$9,0))</f>
        <v>Surabaya</v>
      </c>
      <c r="H636" s="10" t="str">
        <f>VLOOKUP(A636,Master_Produk!$A$1:$E$16,2,FALSE)</f>
        <v>Wajan Anti Lengket 28cm</v>
      </c>
      <c r="I636" s="10" t="str">
        <f>INDEX(Master_Produk!$C$1:$C$16,MATCH(Lembar_Kerja_Analisis!A636,Master_Produk!$A$1:$A$16,0))</f>
        <v>Peralatan Rumah</v>
      </c>
      <c r="J636" s="19">
        <f>_xlfn.XLOOKUP(A636,Master_Produk!$A$1:$A$16,Master_Produk!$D$1:$D$16,,0)</f>
        <v>210000</v>
      </c>
      <c r="K636" s="19">
        <f>INDEX(Master_Produk!$E$1:$E$16,MATCH(Lembar_Kerja_Analisis!A636,Master_Produk!$A$1:$A$16,0))</f>
        <v>140000</v>
      </c>
      <c r="L636" s="8">
        <v>2</v>
      </c>
      <c r="M636" s="19">
        <f t="shared" si="45"/>
        <v>420000</v>
      </c>
      <c r="N636" s="9">
        <v>0</v>
      </c>
      <c r="O636" s="19">
        <f t="shared" si="46"/>
        <v>0</v>
      </c>
      <c r="P636" s="19">
        <f t="shared" si="47"/>
        <v>420000</v>
      </c>
      <c r="Q636" s="19">
        <f t="shared" si="48"/>
        <v>280000</v>
      </c>
      <c r="R636" s="19">
        <f t="shared" si="49"/>
        <v>140000</v>
      </c>
    </row>
    <row r="637" spans="1:18" x14ac:dyDescent="0.25">
      <c r="A637" t="str">
        <f>_xlfn.XLOOKUP(C637,Raw_Data_Transaksi!$A$1:$A$1001,Raw_Data_Transaksi!$D$1:$D$1001,,0)</f>
        <v>PRD-101</v>
      </c>
      <c r="B637" t="str">
        <f>_xlfn.XLOOKUP(C637,Raw_Data_Transaksi!$A$1:$A$1001,Raw_Data_Transaksi!$C$1:$C$1001,,0)</f>
        <v>SLS-08</v>
      </c>
      <c r="C637" s="6" t="s">
        <v>721</v>
      </c>
      <c r="D637" s="7">
        <v>45935</v>
      </c>
      <c r="E637" s="10" t="str">
        <f>VLOOKUP(B637,Master_Sales!$A$1:$D$9,2,FALSE)</f>
        <v>Hendra Wijaya</v>
      </c>
      <c r="F637" s="10" t="str">
        <f>INDEX(Master_Sales!$D$1:$D$9,MATCH(Lembar_Kerja_Analisis!B637,Master_Sales!$A$1:$A$9,0))</f>
        <v>Tengah</v>
      </c>
      <c r="G637" s="10" t="str">
        <f>INDEX(Master_Sales!$C$1:$C$9,MATCH(Lembar_Kerja_Analisis!B637,Master_Sales!$A$1:$A$9,0))</f>
        <v>Yogyakarta</v>
      </c>
      <c r="H637" s="10" t="str">
        <f>VLOOKUP(A637,Master_Produk!$A$1:$E$16,2,FALSE)</f>
        <v>Laptop Ultrabook 14"</v>
      </c>
      <c r="I637" s="10" t="str">
        <f>INDEX(Master_Produk!$C$1:$C$16,MATCH(Lembar_Kerja_Analisis!A637,Master_Produk!$A$1:$A$16,0))</f>
        <v>Elektronik</v>
      </c>
      <c r="J637" s="19">
        <f>_xlfn.XLOOKUP(A637,Master_Produk!$A$1:$A$16,Master_Produk!$D$1:$D$16,,0)</f>
        <v>8500000</v>
      </c>
      <c r="K637" s="19">
        <f>INDEX(Master_Produk!$E$1:$E$16,MATCH(Lembar_Kerja_Analisis!A637,Master_Produk!$A$1:$A$16,0))</f>
        <v>7200000</v>
      </c>
      <c r="L637" s="8">
        <v>6</v>
      </c>
      <c r="M637" s="19">
        <f t="shared" si="45"/>
        <v>51000000</v>
      </c>
      <c r="N637" s="9">
        <v>0.2</v>
      </c>
      <c r="O637" s="19">
        <f t="shared" si="46"/>
        <v>10200000</v>
      </c>
      <c r="P637" s="19">
        <f t="shared" si="47"/>
        <v>40800000</v>
      </c>
      <c r="Q637" s="19">
        <f t="shared" si="48"/>
        <v>43200000</v>
      </c>
      <c r="R637" s="19">
        <f t="shared" si="49"/>
        <v>-2400000</v>
      </c>
    </row>
    <row r="638" spans="1:18" x14ac:dyDescent="0.25">
      <c r="A638" t="str">
        <f>_xlfn.XLOOKUP(C638,Raw_Data_Transaksi!$A$1:$A$1001,Raw_Data_Transaksi!$D$1:$D$1001,,0)</f>
        <v>PRD-103</v>
      </c>
      <c r="B638" t="str">
        <f>_xlfn.XLOOKUP(C638,Raw_Data_Transaksi!$A$1:$A$1001,Raw_Data_Transaksi!$C$1:$C$1001,,0)</f>
        <v>SLS-05</v>
      </c>
      <c r="C638" s="6" t="s">
        <v>722</v>
      </c>
      <c r="D638" s="7">
        <v>45909</v>
      </c>
      <c r="E638" s="10" t="str">
        <f>VLOOKUP(B638,Master_Sales!$A$1:$D$9,2,FALSE)</f>
        <v>Eko Prasetyo</v>
      </c>
      <c r="F638" s="10" t="str">
        <f>INDEX(Master_Sales!$D$1:$D$9,MATCH(Lembar_Kerja_Analisis!B638,Master_Sales!$A$1:$A$9,0))</f>
        <v>Tengah</v>
      </c>
      <c r="G638" s="10" t="str">
        <f>INDEX(Master_Sales!$C$1:$C$9,MATCH(Lembar_Kerja_Analisis!B638,Master_Sales!$A$1:$A$9,0))</f>
        <v>Semarang</v>
      </c>
      <c r="H638" s="10" t="str">
        <f>VLOOKUP(A638,Master_Produk!$A$1:$E$16,2,FALSE)</f>
        <v>Mechanical Keyboard RGB</v>
      </c>
      <c r="I638" s="10" t="str">
        <f>INDEX(Master_Produk!$C$1:$C$16,MATCH(Lembar_Kerja_Analisis!A638,Master_Produk!$A$1:$A$16,0))</f>
        <v>Elektronik</v>
      </c>
      <c r="J638" s="19">
        <f>_xlfn.XLOOKUP(A638,Master_Produk!$A$1:$A$16,Master_Produk!$D$1:$D$16,,0)</f>
        <v>750000</v>
      </c>
      <c r="K638" s="19">
        <f>INDEX(Master_Produk!$E$1:$E$16,MATCH(Lembar_Kerja_Analisis!A638,Master_Produk!$A$1:$A$16,0))</f>
        <v>520000</v>
      </c>
      <c r="L638" s="8">
        <v>7</v>
      </c>
      <c r="M638" s="19">
        <f t="shared" si="45"/>
        <v>5250000</v>
      </c>
      <c r="N638" s="9">
        <v>0.05</v>
      </c>
      <c r="O638" s="19">
        <f t="shared" si="46"/>
        <v>262500</v>
      </c>
      <c r="P638" s="19">
        <f t="shared" si="47"/>
        <v>4987500</v>
      </c>
      <c r="Q638" s="19">
        <f t="shared" si="48"/>
        <v>3640000</v>
      </c>
      <c r="R638" s="19">
        <f t="shared" si="49"/>
        <v>1347500</v>
      </c>
    </row>
    <row r="639" spans="1:18" x14ac:dyDescent="0.25">
      <c r="A639" t="str">
        <f>_xlfn.XLOOKUP(C639,Raw_Data_Transaksi!$A$1:$A$1001,Raw_Data_Transaksi!$D$1:$D$1001,,0)</f>
        <v>PRD-109</v>
      </c>
      <c r="B639" t="str">
        <f>_xlfn.XLOOKUP(C639,Raw_Data_Transaksi!$A$1:$A$1001,Raw_Data_Transaksi!$C$1:$C$1001,,0)</f>
        <v>SLS-01</v>
      </c>
      <c r="C639" s="6" t="s">
        <v>723</v>
      </c>
      <c r="D639" s="7">
        <v>45902</v>
      </c>
      <c r="E639" s="10" t="str">
        <f>VLOOKUP(B639,Master_Sales!$A$1:$D$9,2,FALSE)</f>
        <v>Andi Pratama</v>
      </c>
      <c r="F639" s="10" t="str">
        <f>INDEX(Master_Sales!$D$1:$D$9,MATCH(Lembar_Kerja_Analisis!B639,Master_Sales!$A$1:$A$9,0))</f>
        <v>Barat</v>
      </c>
      <c r="G639" s="10" t="str">
        <f>INDEX(Master_Sales!$C$1:$C$9,MATCH(Lembar_Kerja_Analisis!B639,Master_Sales!$A$1:$A$9,0))</f>
        <v>Jakarta</v>
      </c>
      <c r="H639" s="10" t="str">
        <f>VLOOKUP(A639,Master_Produk!$A$1:$E$16,2,FALSE)</f>
        <v>Kopi Arabika Gayo 250g</v>
      </c>
      <c r="I639" s="10" t="str">
        <f>INDEX(Master_Produk!$C$1:$C$16,MATCH(Lembar_Kerja_Analisis!A639,Master_Produk!$A$1:$A$16,0))</f>
        <v>F&amp;B</v>
      </c>
      <c r="J639" s="19">
        <f>_xlfn.XLOOKUP(A639,Master_Produk!$A$1:$A$16,Master_Produk!$D$1:$D$16,,0)</f>
        <v>85000</v>
      </c>
      <c r="K639" s="19">
        <f>INDEX(Master_Produk!$E$1:$E$16,MATCH(Lembar_Kerja_Analisis!A639,Master_Produk!$A$1:$A$16,0))</f>
        <v>55000</v>
      </c>
      <c r="L639" s="8">
        <v>14</v>
      </c>
      <c r="M639" s="19">
        <f t="shared" si="45"/>
        <v>1190000</v>
      </c>
      <c r="N639" s="9">
        <v>0.15</v>
      </c>
      <c r="O639" s="19">
        <f t="shared" si="46"/>
        <v>178500</v>
      </c>
      <c r="P639" s="19">
        <f t="shared" si="47"/>
        <v>1011500</v>
      </c>
      <c r="Q639" s="19">
        <f t="shared" si="48"/>
        <v>770000</v>
      </c>
      <c r="R639" s="19">
        <f t="shared" si="49"/>
        <v>241500</v>
      </c>
    </row>
    <row r="640" spans="1:18" x14ac:dyDescent="0.25">
      <c r="A640" t="str">
        <f>_xlfn.XLOOKUP(C640,Raw_Data_Transaksi!$A$1:$A$1001,Raw_Data_Transaksi!$D$1:$D$1001,,0)</f>
        <v>PRD-109</v>
      </c>
      <c r="B640" t="str">
        <f>_xlfn.XLOOKUP(C640,Raw_Data_Transaksi!$A$1:$A$1001,Raw_Data_Transaksi!$C$1:$C$1001,,0)</f>
        <v>SLS-08</v>
      </c>
      <c r="C640" s="6" t="s">
        <v>724</v>
      </c>
      <c r="D640" s="7">
        <v>46015</v>
      </c>
      <c r="E640" s="10" t="str">
        <f>VLOOKUP(B640,Master_Sales!$A$1:$D$9,2,FALSE)</f>
        <v>Hendra Wijaya</v>
      </c>
      <c r="F640" s="10" t="str">
        <f>INDEX(Master_Sales!$D$1:$D$9,MATCH(Lembar_Kerja_Analisis!B640,Master_Sales!$A$1:$A$9,0))</f>
        <v>Tengah</v>
      </c>
      <c r="G640" s="10" t="str">
        <f>INDEX(Master_Sales!$C$1:$C$9,MATCH(Lembar_Kerja_Analisis!B640,Master_Sales!$A$1:$A$9,0))</f>
        <v>Yogyakarta</v>
      </c>
      <c r="H640" s="10" t="str">
        <f>VLOOKUP(A640,Master_Produk!$A$1:$E$16,2,FALSE)</f>
        <v>Kopi Arabika Gayo 250g</v>
      </c>
      <c r="I640" s="10" t="str">
        <f>INDEX(Master_Produk!$C$1:$C$16,MATCH(Lembar_Kerja_Analisis!A640,Master_Produk!$A$1:$A$16,0))</f>
        <v>F&amp;B</v>
      </c>
      <c r="J640" s="19">
        <f>_xlfn.XLOOKUP(A640,Master_Produk!$A$1:$A$16,Master_Produk!$D$1:$D$16,,0)</f>
        <v>85000</v>
      </c>
      <c r="K640" s="19">
        <f>INDEX(Master_Produk!$E$1:$E$16,MATCH(Lembar_Kerja_Analisis!A640,Master_Produk!$A$1:$A$16,0))</f>
        <v>55000</v>
      </c>
      <c r="L640" s="8">
        <v>25</v>
      </c>
      <c r="M640" s="19">
        <f t="shared" si="45"/>
        <v>2125000</v>
      </c>
      <c r="N640" s="9">
        <v>0</v>
      </c>
      <c r="O640" s="19">
        <f t="shared" si="46"/>
        <v>0</v>
      </c>
      <c r="P640" s="19">
        <f t="shared" si="47"/>
        <v>2125000</v>
      </c>
      <c r="Q640" s="19">
        <f t="shared" si="48"/>
        <v>1375000</v>
      </c>
      <c r="R640" s="19">
        <f t="shared" si="49"/>
        <v>750000</v>
      </c>
    </row>
    <row r="641" spans="1:18" x14ac:dyDescent="0.25">
      <c r="A641" t="str">
        <f>_xlfn.XLOOKUP(C641,Raw_Data_Transaksi!$A$1:$A$1001,Raw_Data_Transaksi!$D$1:$D$1001,,0)</f>
        <v>PRD-110</v>
      </c>
      <c r="B641" t="str">
        <f>_xlfn.XLOOKUP(C641,Raw_Data_Transaksi!$A$1:$A$1001,Raw_Data_Transaksi!$C$1:$C$1001,,0)</f>
        <v>SLS-02</v>
      </c>
      <c r="C641" s="6" t="s">
        <v>725</v>
      </c>
      <c r="D641" s="7">
        <v>45852</v>
      </c>
      <c r="E641" s="10" t="str">
        <f>VLOOKUP(B641,Master_Sales!$A$1:$D$9,2,FALSE)</f>
        <v>Budi Santoso</v>
      </c>
      <c r="F641" s="10" t="str">
        <f>INDEX(Master_Sales!$D$1:$D$9,MATCH(Lembar_Kerja_Analisis!B641,Master_Sales!$A$1:$A$9,0))</f>
        <v>Timur</v>
      </c>
      <c r="G641" s="10" t="str">
        <f>INDEX(Master_Sales!$C$1:$C$9,MATCH(Lembar_Kerja_Analisis!B641,Master_Sales!$A$1:$A$9,0))</f>
        <v>Surabaya</v>
      </c>
      <c r="H641" s="10" t="str">
        <f>VLOOKUP(A641,Master_Produk!$A$1:$E$16,2,FALSE)</f>
        <v>Minyak Goreng Sawit 2L</v>
      </c>
      <c r="I641" s="10" t="str">
        <f>INDEX(Master_Produk!$C$1:$C$16,MATCH(Lembar_Kerja_Analisis!A641,Master_Produk!$A$1:$A$16,0))</f>
        <v>F&amp;B</v>
      </c>
      <c r="J641" s="19">
        <f>_xlfn.XLOOKUP(A641,Master_Produk!$A$1:$A$16,Master_Produk!$D$1:$D$16,,0)</f>
        <v>36000</v>
      </c>
      <c r="K641" s="19">
        <f>INDEX(Master_Produk!$E$1:$E$16,MATCH(Lembar_Kerja_Analisis!A641,Master_Produk!$A$1:$A$16,0))</f>
        <v>31000</v>
      </c>
      <c r="L641" s="8">
        <v>14</v>
      </c>
      <c r="M641" s="19">
        <f t="shared" si="45"/>
        <v>504000</v>
      </c>
      <c r="N641" s="9">
        <v>0.2</v>
      </c>
      <c r="O641" s="19">
        <f t="shared" si="46"/>
        <v>100800</v>
      </c>
      <c r="P641" s="19">
        <f t="shared" si="47"/>
        <v>403200</v>
      </c>
      <c r="Q641" s="19">
        <f t="shared" si="48"/>
        <v>434000</v>
      </c>
      <c r="R641" s="19">
        <f t="shared" si="49"/>
        <v>-30800</v>
      </c>
    </row>
    <row r="642" spans="1:18" x14ac:dyDescent="0.25">
      <c r="A642" t="str">
        <f>_xlfn.XLOOKUP(C642,Raw_Data_Transaksi!$A$1:$A$1001,Raw_Data_Transaksi!$D$1:$D$1001,,0)</f>
        <v>PRD-105</v>
      </c>
      <c r="B642" t="str">
        <f>_xlfn.XLOOKUP(C642,Raw_Data_Transaksi!$A$1:$A$1001,Raw_Data_Transaksi!$C$1:$C$1001,,0)</f>
        <v>SLS-08</v>
      </c>
      <c r="C642" s="6" t="s">
        <v>726</v>
      </c>
      <c r="D642" s="7">
        <v>45779</v>
      </c>
      <c r="E642" s="10" t="str">
        <f>VLOOKUP(B642,Master_Sales!$A$1:$D$9,2,FALSE)</f>
        <v>Hendra Wijaya</v>
      </c>
      <c r="F642" s="10" t="str">
        <f>INDEX(Master_Sales!$D$1:$D$9,MATCH(Lembar_Kerja_Analisis!B642,Master_Sales!$A$1:$A$9,0))</f>
        <v>Tengah</v>
      </c>
      <c r="G642" s="10" t="str">
        <f>INDEX(Master_Sales!$C$1:$C$9,MATCH(Lembar_Kerja_Analisis!B642,Master_Sales!$A$1:$A$9,0))</f>
        <v>Yogyakarta</v>
      </c>
      <c r="H642" s="10" t="str">
        <f>VLOOKUP(A642,Master_Produk!$A$1:$E$16,2,FALSE)</f>
        <v>Kemeja Batik Katun Premium</v>
      </c>
      <c r="I642" s="10" t="str">
        <f>INDEX(Master_Produk!$C$1:$C$16,MATCH(Lembar_Kerja_Analisis!A642,Master_Produk!$A$1:$A$16,0))</f>
        <v>Fashion</v>
      </c>
      <c r="J642" s="19">
        <f>_xlfn.XLOOKUP(A642,Master_Produk!$A$1:$A$16,Master_Produk!$D$1:$D$16,,0)</f>
        <v>320000</v>
      </c>
      <c r="K642" s="19">
        <f>INDEX(Master_Produk!$E$1:$E$16,MATCH(Lembar_Kerja_Analisis!A642,Master_Produk!$A$1:$A$16,0))</f>
        <v>190000</v>
      </c>
      <c r="L642" s="8">
        <v>10</v>
      </c>
      <c r="M642" s="19">
        <f t="shared" si="45"/>
        <v>3200000</v>
      </c>
      <c r="N642" s="9">
        <v>0.1</v>
      </c>
      <c r="O642" s="19">
        <f t="shared" si="46"/>
        <v>320000</v>
      </c>
      <c r="P642" s="19">
        <f t="shared" si="47"/>
        <v>2880000</v>
      </c>
      <c r="Q642" s="19">
        <f t="shared" si="48"/>
        <v>1900000</v>
      </c>
      <c r="R642" s="19">
        <f t="shared" si="49"/>
        <v>980000</v>
      </c>
    </row>
    <row r="643" spans="1:18" x14ac:dyDescent="0.25">
      <c r="A643" t="str">
        <f>_xlfn.XLOOKUP(C643,Raw_Data_Transaksi!$A$1:$A$1001,Raw_Data_Transaksi!$D$1:$D$1001,,0)</f>
        <v>PRD-104</v>
      </c>
      <c r="B643" t="str">
        <f>_xlfn.XLOOKUP(C643,Raw_Data_Transaksi!$A$1:$A$1001,Raw_Data_Transaksi!$C$1:$C$1001,,0)</f>
        <v>SLS-07</v>
      </c>
      <c r="C643" s="6" t="s">
        <v>727</v>
      </c>
      <c r="D643" s="7">
        <v>45875</v>
      </c>
      <c r="E643" s="10" t="str">
        <f>VLOOKUP(B643,Master_Sales!$A$1:$D$9,2,FALSE)</f>
        <v>Gita Permata</v>
      </c>
      <c r="F643" s="10" t="str">
        <f>INDEX(Master_Sales!$D$1:$D$9,MATCH(Lembar_Kerja_Analisis!B643,Master_Sales!$A$1:$A$9,0))</f>
        <v>Tengah</v>
      </c>
      <c r="G643" s="10" t="str">
        <f>INDEX(Master_Sales!$C$1:$C$9,MATCH(Lembar_Kerja_Analisis!B643,Master_Sales!$A$1:$A$9,0))</f>
        <v>Denpasar</v>
      </c>
      <c r="H643" s="10" t="str">
        <f>VLOOKUP(A643,Master_Produk!$A$1:$E$16,2,FALSE)</f>
        <v>Monitor 24" FHD 144Hz</v>
      </c>
      <c r="I643" s="10" t="str">
        <f>INDEX(Master_Produk!$C$1:$C$16,MATCH(Lembar_Kerja_Analisis!A643,Master_Produk!$A$1:$A$16,0))</f>
        <v>Elektronik</v>
      </c>
      <c r="J643" s="19">
        <f>_xlfn.XLOOKUP(A643,Master_Produk!$A$1:$A$16,Master_Produk!$D$1:$D$16,,0)</f>
        <v>1950000</v>
      </c>
      <c r="K643" s="19">
        <f>INDEX(Master_Produk!$E$1:$E$16,MATCH(Lembar_Kerja_Analisis!A643,Master_Produk!$A$1:$A$16,0))</f>
        <v>1500000</v>
      </c>
      <c r="L643" s="8">
        <v>12</v>
      </c>
      <c r="M643" s="19">
        <f t="shared" ref="M643:M706" si="50">L643*J643</f>
        <v>23400000</v>
      </c>
      <c r="N643" s="9">
        <v>0.1</v>
      </c>
      <c r="O643" s="19">
        <f t="shared" ref="O643:O706" si="51">M643*N643</f>
        <v>2340000</v>
      </c>
      <c r="P643" s="19">
        <f t="shared" ref="P643:P706" si="52">M643-O643</f>
        <v>21060000</v>
      </c>
      <c r="Q643" s="19">
        <f t="shared" ref="Q643:Q706" si="53">L643*K643</f>
        <v>18000000</v>
      </c>
      <c r="R643" s="19">
        <f t="shared" ref="R643:R706" si="54">P643-Q643</f>
        <v>3060000</v>
      </c>
    </row>
    <row r="644" spans="1:18" x14ac:dyDescent="0.25">
      <c r="A644" t="str">
        <f>_xlfn.XLOOKUP(C644,Raw_Data_Transaksi!$A$1:$A$1001,Raw_Data_Transaksi!$D$1:$D$1001,,0)</f>
        <v>PRD-103</v>
      </c>
      <c r="B644" t="str">
        <f>_xlfn.XLOOKUP(C644,Raw_Data_Transaksi!$A$1:$A$1001,Raw_Data_Transaksi!$C$1:$C$1001,,0)</f>
        <v>SLS-03</v>
      </c>
      <c r="C644" s="6" t="s">
        <v>728</v>
      </c>
      <c r="D644" s="7">
        <v>45888</v>
      </c>
      <c r="E644" s="10" t="str">
        <f>VLOOKUP(B644,Master_Sales!$A$1:$D$9,2,FALSE)</f>
        <v>Citra Lestari</v>
      </c>
      <c r="F644" s="10" t="str">
        <f>INDEX(Master_Sales!$D$1:$D$9,MATCH(Lembar_Kerja_Analisis!B644,Master_Sales!$A$1:$A$9,0))</f>
        <v>Barat</v>
      </c>
      <c r="G644" s="10" t="str">
        <f>INDEX(Master_Sales!$C$1:$C$9,MATCH(Lembar_Kerja_Analisis!B644,Master_Sales!$A$1:$A$9,0))</f>
        <v>Bandung</v>
      </c>
      <c r="H644" s="10" t="str">
        <f>VLOOKUP(A644,Master_Produk!$A$1:$E$16,2,FALSE)</f>
        <v>Mechanical Keyboard RGB</v>
      </c>
      <c r="I644" s="10" t="str">
        <f>INDEX(Master_Produk!$C$1:$C$16,MATCH(Lembar_Kerja_Analisis!A644,Master_Produk!$A$1:$A$16,0))</f>
        <v>Elektronik</v>
      </c>
      <c r="J644" s="19">
        <f>_xlfn.XLOOKUP(A644,Master_Produk!$A$1:$A$16,Master_Produk!$D$1:$D$16,,0)</f>
        <v>750000</v>
      </c>
      <c r="K644" s="19">
        <f>INDEX(Master_Produk!$E$1:$E$16,MATCH(Lembar_Kerja_Analisis!A644,Master_Produk!$A$1:$A$16,0))</f>
        <v>520000</v>
      </c>
      <c r="L644" s="8">
        <v>10</v>
      </c>
      <c r="M644" s="19">
        <f t="shared" si="50"/>
        <v>7500000</v>
      </c>
      <c r="N644" s="9">
        <v>0.05</v>
      </c>
      <c r="O644" s="19">
        <f t="shared" si="51"/>
        <v>375000</v>
      </c>
      <c r="P644" s="19">
        <f t="shared" si="52"/>
        <v>7125000</v>
      </c>
      <c r="Q644" s="19">
        <f t="shared" si="53"/>
        <v>5200000</v>
      </c>
      <c r="R644" s="19">
        <f t="shared" si="54"/>
        <v>1925000</v>
      </c>
    </row>
    <row r="645" spans="1:18" x14ac:dyDescent="0.25">
      <c r="A645" t="str">
        <f>_xlfn.XLOOKUP(C645,Raw_Data_Transaksi!$A$1:$A$1001,Raw_Data_Transaksi!$D$1:$D$1001,,0)</f>
        <v>PRD-109</v>
      </c>
      <c r="B645" t="str">
        <f>_xlfn.XLOOKUP(C645,Raw_Data_Transaksi!$A$1:$A$1001,Raw_Data_Transaksi!$C$1:$C$1001,,0)</f>
        <v>SLS-07</v>
      </c>
      <c r="C645" s="6" t="s">
        <v>729</v>
      </c>
      <c r="D645" s="7">
        <v>45778</v>
      </c>
      <c r="E645" s="10" t="str">
        <f>VLOOKUP(B645,Master_Sales!$A$1:$D$9,2,FALSE)</f>
        <v>Gita Permata</v>
      </c>
      <c r="F645" s="10" t="str">
        <f>INDEX(Master_Sales!$D$1:$D$9,MATCH(Lembar_Kerja_Analisis!B645,Master_Sales!$A$1:$A$9,0))</f>
        <v>Tengah</v>
      </c>
      <c r="G645" s="10" t="str">
        <f>INDEX(Master_Sales!$C$1:$C$9,MATCH(Lembar_Kerja_Analisis!B645,Master_Sales!$A$1:$A$9,0))</f>
        <v>Denpasar</v>
      </c>
      <c r="H645" s="10" t="str">
        <f>VLOOKUP(A645,Master_Produk!$A$1:$E$16,2,FALSE)</f>
        <v>Kopi Arabika Gayo 250g</v>
      </c>
      <c r="I645" s="10" t="str">
        <f>INDEX(Master_Produk!$C$1:$C$16,MATCH(Lembar_Kerja_Analisis!A645,Master_Produk!$A$1:$A$16,0))</f>
        <v>F&amp;B</v>
      </c>
      <c r="J645" s="19">
        <f>_xlfn.XLOOKUP(A645,Master_Produk!$A$1:$A$16,Master_Produk!$D$1:$D$16,,0)</f>
        <v>85000</v>
      </c>
      <c r="K645" s="19">
        <f>INDEX(Master_Produk!$E$1:$E$16,MATCH(Lembar_Kerja_Analisis!A645,Master_Produk!$A$1:$A$16,0))</f>
        <v>55000</v>
      </c>
      <c r="L645" s="8">
        <v>9</v>
      </c>
      <c r="M645" s="19">
        <f t="shared" si="50"/>
        <v>765000</v>
      </c>
      <c r="N645" s="9">
        <v>0.05</v>
      </c>
      <c r="O645" s="19">
        <f t="shared" si="51"/>
        <v>38250</v>
      </c>
      <c r="P645" s="19">
        <f t="shared" si="52"/>
        <v>726750</v>
      </c>
      <c r="Q645" s="19">
        <f t="shared" si="53"/>
        <v>495000</v>
      </c>
      <c r="R645" s="19">
        <f t="shared" si="54"/>
        <v>231750</v>
      </c>
    </row>
    <row r="646" spans="1:18" x14ac:dyDescent="0.25">
      <c r="A646" t="str">
        <f>_xlfn.XLOOKUP(C646,Raw_Data_Transaksi!$A$1:$A$1001,Raw_Data_Transaksi!$D$1:$D$1001,,0)</f>
        <v>PRD-107</v>
      </c>
      <c r="B646" t="str">
        <f>_xlfn.XLOOKUP(C646,Raw_Data_Transaksi!$A$1:$A$1001,Raw_Data_Transaksi!$C$1:$C$1001,,0)</f>
        <v>SLS-08</v>
      </c>
      <c r="C646" s="6" t="s">
        <v>730</v>
      </c>
      <c r="D646" s="7">
        <v>45748</v>
      </c>
      <c r="E646" s="10" t="str">
        <f>VLOOKUP(B646,Master_Sales!$A$1:$D$9,2,FALSE)</f>
        <v>Hendra Wijaya</v>
      </c>
      <c r="F646" s="10" t="str">
        <f>INDEX(Master_Sales!$D$1:$D$9,MATCH(Lembar_Kerja_Analisis!B646,Master_Sales!$A$1:$A$9,0))</f>
        <v>Tengah</v>
      </c>
      <c r="G646" s="10" t="str">
        <f>INDEX(Master_Sales!$C$1:$C$9,MATCH(Lembar_Kerja_Analisis!B646,Master_Sales!$A$1:$A$9,0))</f>
        <v>Yogyakarta</v>
      </c>
      <c r="H646" s="10" t="str">
        <f>VLOOKUP(A646,Master_Produk!$A$1:$E$16,2,FALSE)</f>
        <v>Jaket Hoodie Casual</v>
      </c>
      <c r="I646" s="10" t="str">
        <f>INDEX(Master_Produk!$C$1:$C$16,MATCH(Lembar_Kerja_Analisis!A646,Master_Produk!$A$1:$A$16,0))</f>
        <v>Fashion</v>
      </c>
      <c r="J646" s="19">
        <f>_xlfn.XLOOKUP(A646,Master_Produk!$A$1:$A$16,Master_Produk!$D$1:$D$16,,0)</f>
        <v>350000</v>
      </c>
      <c r="K646" s="19">
        <f>INDEX(Master_Produk!$E$1:$E$16,MATCH(Lembar_Kerja_Analisis!A646,Master_Produk!$A$1:$A$16,0))</f>
        <v>220000</v>
      </c>
      <c r="L646" s="8">
        <v>3</v>
      </c>
      <c r="M646" s="19">
        <f t="shared" si="50"/>
        <v>1050000</v>
      </c>
      <c r="N646" s="9">
        <v>0.2</v>
      </c>
      <c r="O646" s="19">
        <f t="shared" si="51"/>
        <v>210000</v>
      </c>
      <c r="P646" s="19">
        <f t="shared" si="52"/>
        <v>840000</v>
      </c>
      <c r="Q646" s="19">
        <f t="shared" si="53"/>
        <v>660000</v>
      </c>
      <c r="R646" s="19">
        <f t="shared" si="54"/>
        <v>180000</v>
      </c>
    </row>
    <row r="647" spans="1:18" x14ac:dyDescent="0.25">
      <c r="A647" t="str">
        <f>_xlfn.XLOOKUP(C647,Raw_Data_Transaksi!$A$1:$A$1001,Raw_Data_Transaksi!$D$1:$D$1001,,0)</f>
        <v>PRD-109</v>
      </c>
      <c r="B647" t="str">
        <f>_xlfn.XLOOKUP(C647,Raw_Data_Transaksi!$A$1:$A$1001,Raw_Data_Transaksi!$C$1:$C$1001,,0)</f>
        <v>SLS-01</v>
      </c>
      <c r="C647" s="6" t="s">
        <v>731</v>
      </c>
      <c r="D647" s="7">
        <v>45786</v>
      </c>
      <c r="E647" s="10" t="str">
        <f>VLOOKUP(B647,Master_Sales!$A$1:$D$9,2,FALSE)</f>
        <v>Andi Pratama</v>
      </c>
      <c r="F647" s="10" t="str">
        <f>INDEX(Master_Sales!$D$1:$D$9,MATCH(Lembar_Kerja_Analisis!B647,Master_Sales!$A$1:$A$9,0))</f>
        <v>Barat</v>
      </c>
      <c r="G647" s="10" t="str">
        <f>INDEX(Master_Sales!$C$1:$C$9,MATCH(Lembar_Kerja_Analisis!B647,Master_Sales!$A$1:$A$9,0))</f>
        <v>Jakarta</v>
      </c>
      <c r="H647" s="10" t="str">
        <f>VLOOKUP(A647,Master_Produk!$A$1:$E$16,2,FALSE)</f>
        <v>Kopi Arabika Gayo 250g</v>
      </c>
      <c r="I647" s="10" t="str">
        <f>INDEX(Master_Produk!$C$1:$C$16,MATCH(Lembar_Kerja_Analisis!A647,Master_Produk!$A$1:$A$16,0))</f>
        <v>F&amp;B</v>
      </c>
      <c r="J647" s="19">
        <f>_xlfn.XLOOKUP(A647,Master_Produk!$A$1:$A$16,Master_Produk!$D$1:$D$16,,0)</f>
        <v>85000</v>
      </c>
      <c r="K647" s="19">
        <f>INDEX(Master_Produk!$E$1:$E$16,MATCH(Lembar_Kerja_Analisis!A647,Master_Produk!$A$1:$A$16,0))</f>
        <v>55000</v>
      </c>
      <c r="L647" s="8">
        <v>6</v>
      </c>
      <c r="M647" s="19">
        <f t="shared" si="50"/>
        <v>510000</v>
      </c>
      <c r="N647" s="9">
        <v>0.05</v>
      </c>
      <c r="O647" s="19">
        <f t="shared" si="51"/>
        <v>25500</v>
      </c>
      <c r="P647" s="19">
        <f t="shared" si="52"/>
        <v>484500</v>
      </c>
      <c r="Q647" s="19">
        <f t="shared" si="53"/>
        <v>330000</v>
      </c>
      <c r="R647" s="19">
        <f t="shared" si="54"/>
        <v>154500</v>
      </c>
    </row>
    <row r="648" spans="1:18" x14ac:dyDescent="0.25">
      <c r="A648" t="str">
        <f>_xlfn.XLOOKUP(C648,Raw_Data_Transaksi!$A$1:$A$1001,Raw_Data_Transaksi!$D$1:$D$1001,,0)</f>
        <v>PRD-114</v>
      </c>
      <c r="B648" t="str">
        <f>_xlfn.XLOOKUP(C648,Raw_Data_Transaksi!$A$1:$A$1001,Raw_Data_Transaksi!$C$1:$C$1001,,0)</f>
        <v>SLS-02</v>
      </c>
      <c r="C648" s="6" t="s">
        <v>732</v>
      </c>
      <c r="D648" s="7">
        <v>45901</v>
      </c>
      <c r="E648" s="10" t="str">
        <f>VLOOKUP(B648,Master_Sales!$A$1:$D$9,2,FALSE)</f>
        <v>Budi Santoso</v>
      </c>
      <c r="F648" s="10" t="str">
        <f>INDEX(Master_Sales!$D$1:$D$9,MATCH(Lembar_Kerja_Analisis!B648,Master_Sales!$A$1:$A$9,0))</f>
        <v>Timur</v>
      </c>
      <c r="G648" s="10" t="str">
        <f>INDEX(Master_Sales!$C$1:$C$9,MATCH(Lembar_Kerja_Analisis!B648,Master_Sales!$A$1:$A$9,0))</f>
        <v>Surabaya</v>
      </c>
      <c r="H648" s="10" t="str">
        <f>VLOOKUP(A648,Master_Produk!$A$1:$E$16,2,FALSE)</f>
        <v>Blender Multifungsi 2-in-1</v>
      </c>
      <c r="I648" s="10" t="str">
        <f>INDEX(Master_Produk!$C$1:$C$16,MATCH(Lembar_Kerja_Analisis!A648,Master_Produk!$A$1:$A$16,0))</f>
        <v>Peralatan Rumah</v>
      </c>
      <c r="J648" s="19">
        <f>_xlfn.XLOOKUP(A648,Master_Produk!$A$1:$A$16,Master_Produk!$D$1:$D$16,,0)</f>
        <v>340000</v>
      </c>
      <c r="K648" s="19">
        <f>INDEX(Master_Produk!$E$1:$E$16,MATCH(Lembar_Kerja_Analisis!A648,Master_Produk!$A$1:$A$16,0))</f>
        <v>240000</v>
      </c>
      <c r="L648" s="8">
        <v>8</v>
      </c>
      <c r="M648" s="19">
        <f t="shared" si="50"/>
        <v>2720000</v>
      </c>
      <c r="N648" s="9">
        <v>0.1</v>
      </c>
      <c r="O648" s="19">
        <f t="shared" si="51"/>
        <v>272000</v>
      </c>
      <c r="P648" s="19">
        <f t="shared" si="52"/>
        <v>2448000</v>
      </c>
      <c r="Q648" s="19">
        <f t="shared" si="53"/>
        <v>1920000</v>
      </c>
      <c r="R648" s="19">
        <f t="shared" si="54"/>
        <v>528000</v>
      </c>
    </row>
    <row r="649" spans="1:18" x14ac:dyDescent="0.25">
      <c r="A649" t="str">
        <f>_xlfn.XLOOKUP(C649,Raw_Data_Transaksi!$A$1:$A$1001,Raw_Data_Transaksi!$D$1:$D$1001,,0)</f>
        <v>PRD-109</v>
      </c>
      <c r="B649" t="str">
        <f>_xlfn.XLOOKUP(C649,Raw_Data_Transaksi!$A$1:$A$1001,Raw_Data_Transaksi!$C$1:$C$1001,,0)</f>
        <v>SLS-05</v>
      </c>
      <c r="C649" s="6" t="s">
        <v>733</v>
      </c>
      <c r="D649" s="7">
        <v>45944</v>
      </c>
      <c r="E649" s="10" t="str">
        <f>VLOOKUP(B649,Master_Sales!$A$1:$D$9,2,FALSE)</f>
        <v>Eko Prasetyo</v>
      </c>
      <c r="F649" s="10" t="str">
        <f>INDEX(Master_Sales!$D$1:$D$9,MATCH(Lembar_Kerja_Analisis!B649,Master_Sales!$A$1:$A$9,0))</f>
        <v>Tengah</v>
      </c>
      <c r="G649" s="10" t="str">
        <f>INDEX(Master_Sales!$C$1:$C$9,MATCH(Lembar_Kerja_Analisis!B649,Master_Sales!$A$1:$A$9,0))</f>
        <v>Semarang</v>
      </c>
      <c r="H649" s="10" t="str">
        <f>VLOOKUP(A649,Master_Produk!$A$1:$E$16,2,FALSE)</f>
        <v>Kopi Arabika Gayo 250g</v>
      </c>
      <c r="I649" s="10" t="str">
        <f>INDEX(Master_Produk!$C$1:$C$16,MATCH(Lembar_Kerja_Analisis!A649,Master_Produk!$A$1:$A$16,0))</f>
        <v>F&amp;B</v>
      </c>
      <c r="J649" s="19">
        <f>_xlfn.XLOOKUP(A649,Master_Produk!$A$1:$A$16,Master_Produk!$D$1:$D$16,,0)</f>
        <v>85000</v>
      </c>
      <c r="K649" s="19">
        <f>INDEX(Master_Produk!$E$1:$E$16,MATCH(Lembar_Kerja_Analisis!A649,Master_Produk!$A$1:$A$16,0))</f>
        <v>55000</v>
      </c>
      <c r="L649" s="8">
        <v>3</v>
      </c>
      <c r="M649" s="19">
        <f t="shared" si="50"/>
        <v>255000</v>
      </c>
      <c r="N649" s="9">
        <v>0.15</v>
      </c>
      <c r="O649" s="19">
        <f t="shared" si="51"/>
        <v>38250</v>
      </c>
      <c r="P649" s="19">
        <f t="shared" si="52"/>
        <v>216750</v>
      </c>
      <c r="Q649" s="19">
        <f t="shared" si="53"/>
        <v>165000</v>
      </c>
      <c r="R649" s="19">
        <f t="shared" si="54"/>
        <v>51750</v>
      </c>
    </row>
    <row r="650" spans="1:18" x14ac:dyDescent="0.25">
      <c r="A650" t="str">
        <f>_xlfn.XLOOKUP(C650,Raw_Data_Transaksi!$A$1:$A$1001,Raw_Data_Transaksi!$D$1:$D$1001,,0)</f>
        <v>PRD-110</v>
      </c>
      <c r="B650" t="str">
        <f>_xlfn.XLOOKUP(C650,Raw_Data_Transaksi!$A$1:$A$1001,Raw_Data_Transaksi!$C$1:$C$1001,,0)</f>
        <v>SLS-03</v>
      </c>
      <c r="C650" s="6" t="s">
        <v>734</v>
      </c>
      <c r="D650" s="7">
        <v>45953</v>
      </c>
      <c r="E650" s="10" t="str">
        <f>VLOOKUP(B650,Master_Sales!$A$1:$D$9,2,FALSE)</f>
        <v>Citra Lestari</v>
      </c>
      <c r="F650" s="10" t="str">
        <f>INDEX(Master_Sales!$D$1:$D$9,MATCH(Lembar_Kerja_Analisis!B650,Master_Sales!$A$1:$A$9,0))</f>
        <v>Barat</v>
      </c>
      <c r="G650" s="10" t="str">
        <f>INDEX(Master_Sales!$C$1:$C$9,MATCH(Lembar_Kerja_Analisis!B650,Master_Sales!$A$1:$A$9,0))</f>
        <v>Bandung</v>
      </c>
      <c r="H650" s="10" t="str">
        <f>VLOOKUP(A650,Master_Produk!$A$1:$E$16,2,FALSE)</f>
        <v>Minyak Goreng Sawit 2L</v>
      </c>
      <c r="I650" s="10" t="str">
        <f>INDEX(Master_Produk!$C$1:$C$16,MATCH(Lembar_Kerja_Analisis!A650,Master_Produk!$A$1:$A$16,0))</f>
        <v>F&amp;B</v>
      </c>
      <c r="J650" s="19">
        <f>_xlfn.XLOOKUP(A650,Master_Produk!$A$1:$A$16,Master_Produk!$D$1:$D$16,,0)</f>
        <v>36000</v>
      </c>
      <c r="K650" s="19">
        <f>INDEX(Master_Produk!$E$1:$E$16,MATCH(Lembar_Kerja_Analisis!A650,Master_Produk!$A$1:$A$16,0))</f>
        <v>31000</v>
      </c>
      <c r="L650" s="8">
        <v>14</v>
      </c>
      <c r="M650" s="19">
        <f t="shared" si="50"/>
        <v>504000</v>
      </c>
      <c r="N650" s="9">
        <v>0.1</v>
      </c>
      <c r="O650" s="19">
        <f t="shared" si="51"/>
        <v>50400</v>
      </c>
      <c r="P650" s="19">
        <f t="shared" si="52"/>
        <v>453600</v>
      </c>
      <c r="Q650" s="19">
        <f t="shared" si="53"/>
        <v>434000</v>
      </c>
      <c r="R650" s="19">
        <f t="shared" si="54"/>
        <v>19600</v>
      </c>
    </row>
    <row r="651" spans="1:18" x14ac:dyDescent="0.25">
      <c r="A651" t="str">
        <f>_xlfn.XLOOKUP(C651,Raw_Data_Transaksi!$A$1:$A$1001,Raw_Data_Transaksi!$D$1:$D$1001,,0)</f>
        <v>PRD-107</v>
      </c>
      <c r="B651" t="str">
        <f>_xlfn.XLOOKUP(C651,Raw_Data_Transaksi!$A$1:$A$1001,Raw_Data_Transaksi!$C$1:$C$1001,,0)</f>
        <v>SLS-05</v>
      </c>
      <c r="C651" s="6" t="s">
        <v>735</v>
      </c>
      <c r="D651" s="7">
        <v>45698</v>
      </c>
      <c r="E651" s="10" t="str">
        <f>VLOOKUP(B651,Master_Sales!$A$1:$D$9,2,FALSE)</f>
        <v>Eko Prasetyo</v>
      </c>
      <c r="F651" s="10" t="str">
        <f>INDEX(Master_Sales!$D$1:$D$9,MATCH(Lembar_Kerja_Analisis!B651,Master_Sales!$A$1:$A$9,0))</f>
        <v>Tengah</v>
      </c>
      <c r="G651" s="10" t="str">
        <f>INDEX(Master_Sales!$C$1:$C$9,MATCH(Lembar_Kerja_Analisis!B651,Master_Sales!$A$1:$A$9,0))</f>
        <v>Semarang</v>
      </c>
      <c r="H651" s="10" t="str">
        <f>VLOOKUP(A651,Master_Produk!$A$1:$E$16,2,FALSE)</f>
        <v>Jaket Hoodie Casual</v>
      </c>
      <c r="I651" s="10" t="str">
        <f>INDEX(Master_Produk!$C$1:$C$16,MATCH(Lembar_Kerja_Analisis!A651,Master_Produk!$A$1:$A$16,0))</f>
        <v>Fashion</v>
      </c>
      <c r="J651" s="19">
        <f>_xlfn.XLOOKUP(A651,Master_Produk!$A$1:$A$16,Master_Produk!$D$1:$D$16,,0)</f>
        <v>350000</v>
      </c>
      <c r="K651" s="19">
        <f>INDEX(Master_Produk!$E$1:$E$16,MATCH(Lembar_Kerja_Analisis!A651,Master_Produk!$A$1:$A$16,0))</f>
        <v>220000</v>
      </c>
      <c r="L651" s="8">
        <v>8</v>
      </c>
      <c r="M651" s="19">
        <f t="shared" si="50"/>
        <v>2800000</v>
      </c>
      <c r="N651" s="9">
        <v>0.05</v>
      </c>
      <c r="O651" s="19">
        <f t="shared" si="51"/>
        <v>140000</v>
      </c>
      <c r="P651" s="19">
        <f t="shared" si="52"/>
        <v>2660000</v>
      </c>
      <c r="Q651" s="19">
        <f t="shared" si="53"/>
        <v>1760000</v>
      </c>
      <c r="R651" s="19">
        <f t="shared" si="54"/>
        <v>900000</v>
      </c>
    </row>
    <row r="652" spans="1:18" x14ac:dyDescent="0.25">
      <c r="A652" t="str">
        <f>_xlfn.XLOOKUP(C652,Raw_Data_Transaksi!$A$1:$A$1001,Raw_Data_Transaksi!$D$1:$D$1001,,0)</f>
        <v>PRD-111</v>
      </c>
      <c r="B652" t="str">
        <f>_xlfn.XLOOKUP(C652,Raw_Data_Transaksi!$A$1:$A$1001,Raw_Data_Transaksi!$C$1:$C$1001,,0)</f>
        <v>SLS-07</v>
      </c>
      <c r="C652" s="6" t="s">
        <v>736</v>
      </c>
      <c r="D652" s="7">
        <v>45873</v>
      </c>
      <c r="E652" s="10" t="str">
        <f>VLOOKUP(B652,Master_Sales!$A$1:$D$9,2,FALSE)</f>
        <v>Gita Permata</v>
      </c>
      <c r="F652" s="10" t="str">
        <f>INDEX(Master_Sales!$D$1:$D$9,MATCH(Lembar_Kerja_Analisis!B652,Master_Sales!$A$1:$A$9,0))</f>
        <v>Tengah</v>
      </c>
      <c r="G652" s="10" t="str">
        <f>INDEX(Master_Sales!$C$1:$C$9,MATCH(Lembar_Kerja_Analisis!B652,Master_Sales!$A$1:$A$9,0))</f>
        <v>Denpasar</v>
      </c>
      <c r="H652" s="10" t="str">
        <f>VLOOKUP(A652,Master_Produk!$A$1:$E$16,2,FALSE)</f>
        <v>Beras Premium 5kg</v>
      </c>
      <c r="I652" s="10" t="str">
        <f>INDEX(Master_Produk!$C$1:$C$16,MATCH(Lembar_Kerja_Analisis!A652,Master_Produk!$A$1:$A$16,0))</f>
        <v>F&amp;B</v>
      </c>
      <c r="J652" s="19">
        <f>_xlfn.XLOOKUP(A652,Master_Produk!$A$1:$A$16,Master_Produk!$D$1:$D$16,,0)</f>
        <v>74000</v>
      </c>
      <c r="K652" s="19">
        <f>INDEX(Master_Produk!$E$1:$E$16,MATCH(Lembar_Kerja_Analisis!A652,Master_Produk!$A$1:$A$16,0))</f>
        <v>65000</v>
      </c>
      <c r="L652" s="8">
        <v>5</v>
      </c>
      <c r="M652" s="19">
        <f t="shared" si="50"/>
        <v>370000</v>
      </c>
      <c r="N652" s="9">
        <v>0.05</v>
      </c>
      <c r="O652" s="19">
        <f t="shared" si="51"/>
        <v>18500</v>
      </c>
      <c r="P652" s="19">
        <f t="shared" si="52"/>
        <v>351500</v>
      </c>
      <c r="Q652" s="19">
        <f t="shared" si="53"/>
        <v>325000</v>
      </c>
      <c r="R652" s="19">
        <f t="shared" si="54"/>
        <v>26500</v>
      </c>
    </row>
    <row r="653" spans="1:18" x14ac:dyDescent="0.25">
      <c r="A653" t="str">
        <f>_xlfn.XLOOKUP(C653,Raw_Data_Transaksi!$A$1:$A$1001,Raw_Data_Transaksi!$D$1:$D$1001,,0)</f>
        <v>PRD-111</v>
      </c>
      <c r="B653" t="str">
        <f>_xlfn.XLOOKUP(C653,Raw_Data_Transaksi!$A$1:$A$1001,Raw_Data_Transaksi!$C$1:$C$1001,,0)</f>
        <v>SLS-05</v>
      </c>
      <c r="C653" s="6" t="s">
        <v>737</v>
      </c>
      <c r="D653" s="7">
        <v>45820</v>
      </c>
      <c r="E653" s="10" t="str">
        <f>VLOOKUP(B653,Master_Sales!$A$1:$D$9,2,FALSE)</f>
        <v>Eko Prasetyo</v>
      </c>
      <c r="F653" s="10" t="str">
        <f>INDEX(Master_Sales!$D$1:$D$9,MATCH(Lembar_Kerja_Analisis!B653,Master_Sales!$A$1:$A$9,0))</f>
        <v>Tengah</v>
      </c>
      <c r="G653" s="10" t="str">
        <f>INDEX(Master_Sales!$C$1:$C$9,MATCH(Lembar_Kerja_Analisis!B653,Master_Sales!$A$1:$A$9,0))</f>
        <v>Semarang</v>
      </c>
      <c r="H653" s="10" t="str">
        <f>VLOOKUP(A653,Master_Produk!$A$1:$E$16,2,FALSE)</f>
        <v>Beras Premium 5kg</v>
      </c>
      <c r="I653" s="10" t="str">
        <f>INDEX(Master_Produk!$C$1:$C$16,MATCH(Lembar_Kerja_Analisis!A653,Master_Produk!$A$1:$A$16,0))</f>
        <v>F&amp;B</v>
      </c>
      <c r="J653" s="19">
        <f>_xlfn.XLOOKUP(A653,Master_Produk!$A$1:$A$16,Master_Produk!$D$1:$D$16,,0)</f>
        <v>74000</v>
      </c>
      <c r="K653" s="19">
        <f>INDEX(Master_Produk!$E$1:$E$16,MATCH(Lembar_Kerja_Analisis!A653,Master_Produk!$A$1:$A$16,0))</f>
        <v>65000</v>
      </c>
      <c r="L653" s="8">
        <v>11</v>
      </c>
      <c r="M653" s="19">
        <f t="shared" si="50"/>
        <v>814000</v>
      </c>
      <c r="N653" s="9">
        <v>0.2</v>
      </c>
      <c r="O653" s="19">
        <f t="shared" si="51"/>
        <v>162800</v>
      </c>
      <c r="P653" s="19">
        <f t="shared" si="52"/>
        <v>651200</v>
      </c>
      <c r="Q653" s="19">
        <f t="shared" si="53"/>
        <v>715000</v>
      </c>
      <c r="R653" s="19">
        <f t="shared" si="54"/>
        <v>-63800</v>
      </c>
    </row>
    <row r="654" spans="1:18" x14ac:dyDescent="0.25">
      <c r="A654" t="str">
        <f>_xlfn.XLOOKUP(C654,Raw_Data_Transaksi!$A$1:$A$1001,Raw_Data_Transaksi!$D$1:$D$1001,,0)</f>
        <v>PRD-112</v>
      </c>
      <c r="B654" t="str">
        <f>_xlfn.XLOOKUP(C654,Raw_Data_Transaksi!$A$1:$A$1001,Raw_Data_Transaksi!$C$1:$C$1001,,0)</f>
        <v>SLS-08</v>
      </c>
      <c r="C654" s="6" t="s">
        <v>738</v>
      </c>
      <c r="D654" s="7">
        <v>45843</v>
      </c>
      <c r="E654" s="10" t="str">
        <f>VLOOKUP(B654,Master_Sales!$A$1:$D$9,2,FALSE)</f>
        <v>Hendra Wijaya</v>
      </c>
      <c r="F654" s="10" t="str">
        <f>INDEX(Master_Sales!$D$1:$D$9,MATCH(Lembar_Kerja_Analisis!B654,Master_Sales!$A$1:$A$9,0))</f>
        <v>Tengah</v>
      </c>
      <c r="G654" s="10" t="str">
        <f>INDEX(Master_Sales!$C$1:$C$9,MATCH(Lembar_Kerja_Analisis!B654,Master_Sales!$A$1:$A$9,0))</f>
        <v>Yogyakarta</v>
      </c>
      <c r="H654" s="10" t="str">
        <f>VLOOKUP(A654,Master_Produk!$A$1:$E$16,2,FALSE)</f>
        <v>Susu UHT Full Cream 1L</v>
      </c>
      <c r="I654" s="10" t="str">
        <f>INDEX(Master_Produk!$C$1:$C$16,MATCH(Lembar_Kerja_Analisis!A654,Master_Produk!$A$1:$A$16,0))</f>
        <v>F&amp;B</v>
      </c>
      <c r="J654" s="19">
        <f>_xlfn.XLOOKUP(A654,Master_Produk!$A$1:$A$16,Master_Produk!$D$1:$D$16,,0)</f>
        <v>22000</v>
      </c>
      <c r="K654" s="19">
        <f>INDEX(Master_Produk!$E$1:$E$16,MATCH(Lembar_Kerja_Analisis!A654,Master_Produk!$A$1:$A$16,0))</f>
        <v>18000</v>
      </c>
      <c r="L654" s="8">
        <v>8</v>
      </c>
      <c r="M654" s="19">
        <f t="shared" si="50"/>
        <v>176000</v>
      </c>
      <c r="N654" s="9">
        <v>0.05</v>
      </c>
      <c r="O654" s="19">
        <f t="shared" si="51"/>
        <v>8800</v>
      </c>
      <c r="P654" s="19">
        <f t="shared" si="52"/>
        <v>167200</v>
      </c>
      <c r="Q654" s="19">
        <f t="shared" si="53"/>
        <v>144000</v>
      </c>
      <c r="R654" s="19">
        <f t="shared" si="54"/>
        <v>23200</v>
      </c>
    </row>
    <row r="655" spans="1:18" x14ac:dyDescent="0.25">
      <c r="A655" t="str">
        <f>_xlfn.XLOOKUP(C655,Raw_Data_Transaksi!$A$1:$A$1001,Raw_Data_Transaksi!$D$1:$D$1001,,0)</f>
        <v>PRD-105</v>
      </c>
      <c r="B655" t="str">
        <f>_xlfn.XLOOKUP(C655,Raw_Data_Transaksi!$A$1:$A$1001,Raw_Data_Transaksi!$C$1:$C$1001,,0)</f>
        <v>SLS-02</v>
      </c>
      <c r="C655" s="6" t="s">
        <v>739</v>
      </c>
      <c r="D655" s="7">
        <v>45996</v>
      </c>
      <c r="E655" s="10" t="str">
        <f>VLOOKUP(B655,Master_Sales!$A$1:$D$9,2,FALSE)</f>
        <v>Budi Santoso</v>
      </c>
      <c r="F655" s="10" t="str">
        <f>INDEX(Master_Sales!$D$1:$D$9,MATCH(Lembar_Kerja_Analisis!B655,Master_Sales!$A$1:$A$9,0))</f>
        <v>Timur</v>
      </c>
      <c r="G655" s="10" t="str">
        <f>INDEX(Master_Sales!$C$1:$C$9,MATCH(Lembar_Kerja_Analisis!B655,Master_Sales!$A$1:$A$9,0))</f>
        <v>Surabaya</v>
      </c>
      <c r="H655" s="10" t="str">
        <f>VLOOKUP(A655,Master_Produk!$A$1:$E$16,2,FALSE)</f>
        <v>Kemeja Batik Katun Premium</v>
      </c>
      <c r="I655" s="10" t="str">
        <f>INDEX(Master_Produk!$C$1:$C$16,MATCH(Lembar_Kerja_Analisis!A655,Master_Produk!$A$1:$A$16,0))</f>
        <v>Fashion</v>
      </c>
      <c r="J655" s="19">
        <f>_xlfn.XLOOKUP(A655,Master_Produk!$A$1:$A$16,Master_Produk!$D$1:$D$16,,0)</f>
        <v>320000</v>
      </c>
      <c r="K655" s="19">
        <f>INDEX(Master_Produk!$E$1:$E$16,MATCH(Lembar_Kerja_Analisis!A655,Master_Produk!$A$1:$A$16,0))</f>
        <v>190000</v>
      </c>
      <c r="L655" s="8">
        <v>4</v>
      </c>
      <c r="M655" s="19">
        <f t="shared" si="50"/>
        <v>1280000</v>
      </c>
      <c r="N655" s="9">
        <v>0.05</v>
      </c>
      <c r="O655" s="19">
        <f t="shared" si="51"/>
        <v>64000</v>
      </c>
      <c r="P655" s="19">
        <f t="shared" si="52"/>
        <v>1216000</v>
      </c>
      <c r="Q655" s="19">
        <f t="shared" si="53"/>
        <v>760000</v>
      </c>
      <c r="R655" s="19">
        <f t="shared" si="54"/>
        <v>456000</v>
      </c>
    </row>
    <row r="656" spans="1:18" x14ac:dyDescent="0.25">
      <c r="A656" t="str">
        <f>_xlfn.XLOOKUP(C656,Raw_Data_Transaksi!$A$1:$A$1001,Raw_Data_Transaksi!$D$1:$D$1001,,0)</f>
        <v>PRD-115</v>
      </c>
      <c r="B656" t="str">
        <f>_xlfn.XLOOKUP(C656,Raw_Data_Transaksi!$A$1:$A$1001,Raw_Data_Transaksi!$C$1:$C$1001,,0)</f>
        <v>SLS-08</v>
      </c>
      <c r="C656" s="6" t="s">
        <v>740</v>
      </c>
      <c r="D656" s="7">
        <v>45690</v>
      </c>
      <c r="E656" s="10" t="str">
        <f>VLOOKUP(B656,Master_Sales!$A$1:$D$9,2,FALSE)</f>
        <v>Hendra Wijaya</v>
      </c>
      <c r="F656" s="10" t="str">
        <f>INDEX(Master_Sales!$D$1:$D$9,MATCH(Lembar_Kerja_Analisis!B656,Master_Sales!$A$1:$A$9,0))</f>
        <v>Tengah</v>
      </c>
      <c r="G656" s="10" t="str">
        <f>INDEX(Master_Sales!$C$1:$C$9,MATCH(Lembar_Kerja_Analisis!B656,Master_Sales!$A$1:$A$9,0))</f>
        <v>Yogyakarta</v>
      </c>
      <c r="H656" s="10" t="str">
        <f>VLOOKUP(A656,Master_Produk!$A$1:$E$16,2,FALSE)</f>
        <v>Set Pisau Dapur Stainless</v>
      </c>
      <c r="I656" s="10" t="str">
        <f>INDEX(Master_Produk!$C$1:$C$16,MATCH(Lembar_Kerja_Analisis!A656,Master_Produk!$A$1:$A$16,0))</f>
        <v>Peralatan Rumah</v>
      </c>
      <c r="J656" s="19">
        <f>_xlfn.XLOOKUP(A656,Master_Produk!$A$1:$A$16,Master_Produk!$D$1:$D$16,,0)</f>
        <v>165000</v>
      </c>
      <c r="K656" s="19">
        <f>INDEX(Master_Produk!$E$1:$E$16,MATCH(Lembar_Kerja_Analisis!A656,Master_Produk!$A$1:$A$16,0))</f>
        <v>105000</v>
      </c>
      <c r="L656" s="8">
        <v>9</v>
      </c>
      <c r="M656" s="19">
        <f t="shared" si="50"/>
        <v>1485000</v>
      </c>
      <c r="N656" s="9">
        <v>0</v>
      </c>
      <c r="O656" s="19">
        <f t="shared" si="51"/>
        <v>0</v>
      </c>
      <c r="P656" s="19">
        <f t="shared" si="52"/>
        <v>1485000</v>
      </c>
      <c r="Q656" s="19">
        <f t="shared" si="53"/>
        <v>945000</v>
      </c>
      <c r="R656" s="19">
        <f t="shared" si="54"/>
        <v>540000</v>
      </c>
    </row>
    <row r="657" spans="1:18" x14ac:dyDescent="0.25">
      <c r="A657" t="str">
        <f>_xlfn.XLOOKUP(C657,Raw_Data_Transaksi!$A$1:$A$1001,Raw_Data_Transaksi!$D$1:$D$1001,,0)</f>
        <v>PRD-105</v>
      </c>
      <c r="B657" t="str">
        <f>_xlfn.XLOOKUP(C657,Raw_Data_Transaksi!$A$1:$A$1001,Raw_Data_Transaksi!$C$1:$C$1001,,0)</f>
        <v>SLS-03</v>
      </c>
      <c r="C657" s="6" t="s">
        <v>741</v>
      </c>
      <c r="D657" s="7">
        <v>45711</v>
      </c>
      <c r="E657" s="10" t="str">
        <f>VLOOKUP(B657,Master_Sales!$A$1:$D$9,2,FALSE)</f>
        <v>Citra Lestari</v>
      </c>
      <c r="F657" s="10" t="str">
        <f>INDEX(Master_Sales!$D$1:$D$9,MATCH(Lembar_Kerja_Analisis!B657,Master_Sales!$A$1:$A$9,0))</f>
        <v>Barat</v>
      </c>
      <c r="G657" s="10" t="str">
        <f>INDEX(Master_Sales!$C$1:$C$9,MATCH(Lembar_Kerja_Analisis!B657,Master_Sales!$A$1:$A$9,0))</f>
        <v>Bandung</v>
      </c>
      <c r="H657" s="10" t="str">
        <f>VLOOKUP(A657,Master_Produk!$A$1:$E$16,2,FALSE)</f>
        <v>Kemeja Batik Katun Premium</v>
      </c>
      <c r="I657" s="10" t="str">
        <f>INDEX(Master_Produk!$C$1:$C$16,MATCH(Lembar_Kerja_Analisis!A657,Master_Produk!$A$1:$A$16,0))</f>
        <v>Fashion</v>
      </c>
      <c r="J657" s="19">
        <f>_xlfn.XLOOKUP(A657,Master_Produk!$A$1:$A$16,Master_Produk!$D$1:$D$16,,0)</f>
        <v>320000</v>
      </c>
      <c r="K657" s="19">
        <f>INDEX(Master_Produk!$E$1:$E$16,MATCH(Lembar_Kerja_Analisis!A657,Master_Produk!$A$1:$A$16,0))</f>
        <v>190000</v>
      </c>
      <c r="L657" s="8">
        <v>2</v>
      </c>
      <c r="M657" s="19">
        <f t="shared" si="50"/>
        <v>640000</v>
      </c>
      <c r="N657" s="9">
        <v>0.15</v>
      </c>
      <c r="O657" s="19">
        <f t="shared" si="51"/>
        <v>96000</v>
      </c>
      <c r="P657" s="19">
        <f t="shared" si="52"/>
        <v>544000</v>
      </c>
      <c r="Q657" s="19">
        <f t="shared" si="53"/>
        <v>380000</v>
      </c>
      <c r="R657" s="19">
        <f t="shared" si="54"/>
        <v>164000</v>
      </c>
    </row>
    <row r="658" spans="1:18" x14ac:dyDescent="0.25">
      <c r="A658" t="str">
        <f>_xlfn.XLOOKUP(C658,Raw_Data_Transaksi!$A$1:$A$1001,Raw_Data_Transaksi!$D$1:$D$1001,,0)</f>
        <v>PRD-108</v>
      </c>
      <c r="B658" t="str">
        <f>_xlfn.XLOOKUP(C658,Raw_Data_Transaksi!$A$1:$A$1001,Raw_Data_Transaksi!$C$1:$C$1001,,0)</f>
        <v>SLS-03</v>
      </c>
      <c r="C658" s="6" t="s">
        <v>742</v>
      </c>
      <c r="D658" s="7">
        <v>45803</v>
      </c>
      <c r="E658" s="10" t="str">
        <f>VLOOKUP(B658,Master_Sales!$A$1:$D$9,2,FALSE)</f>
        <v>Citra Lestari</v>
      </c>
      <c r="F658" s="10" t="str">
        <f>INDEX(Master_Sales!$D$1:$D$9,MATCH(Lembar_Kerja_Analisis!B658,Master_Sales!$A$1:$A$9,0))</f>
        <v>Barat</v>
      </c>
      <c r="G658" s="10" t="str">
        <f>INDEX(Master_Sales!$C$1:$C$9,MATCH(Lembar_Kerja_Analisis!B658,Master_Sales!$A$1:$A$9,0))</f>
        <v>Bandung</v>
      </c>
      <c r="H658" s="10" t="str">
        <f>VLOOKUP(A658,Master_Produk!$A$1:$E$16,2,FALSE)</f>
        <v>Sepatu Sneakers Pria/Wanita</v>
      </c>
      <c r="I658" s="10" t="str">
        <f>INDEX(Master_Produk!$C$1:$C$16,MATCH(Lembar_Kerja_Analisis!A658,Master_Produk!$A$1:$A$16,0))</f>
        <v>Fashion</v>
      </c>
      <c r="J658" s="19">
        <f>_xlfn.XLOOKUP(A658,Master_Produk!$A$1:$A$16,Master_Produk!$D$1:$D$16,,0)</f>
        <v>450000</v>
      </c>
      <c r="K658" s="19">
        <f>INDEX(Master_Produk!$E$1:$E$16,MATCH(Lembar_Kerja_Analisis!A658,Master_Produk!$A$1:$A$16,0))</f>
        <v>290000</v>
      </c>
      <c r="L658" s="8">
        <v>3</v>
      </c>
      <c r="M658" s="19">
        <f t="shared" si="50"/>
        <v>1350000</v>
      </c>
      <c r="N658" s="9">
        <v>0.2</v>
      </c>
      <c r="O658" s="19">
        <f t="shared" si="51"/>
        <v>270000</v>
      </c>
      <c r="P658" s="19">
        <f t="shared" si="52"/>
        <v>1080000</v>
      </c>
      <c r="Q658" s="19">
        <f t="shared" si="53"/>
        <v>870000</v>
      </c>
      <c r="R658" s="19">
        <f t="shared" si="54"/>
        <v>210000</v>
      </c>
    </row>
    <row r="659" spans="1:18" x14ac:dyDescent="0.25">
      <c r="A659" t="str">
        <f>_xlfn.XLOOKUP(C659,Raw_Data_Transaksi!$A$1:$A$1001,Raw_Data_Transaksi!$D$1:$D$1001,,0)</f>
        <v>PRD-106</v>
      </c>
      <c r="B659" t="str">
        <f>_xlfn.XLOOKUP(C659,Raw_Data_Transaksi!$A$1:$A$1001,Raw_Data_Transaksi!$C$1:$C$1001,,0)</f>
        <v>SLS-06</v>
      </c>
      <c r="C659" s="6" t="s">
        <v>743</v>
      </c>
      <c r="D659" s="7">
        <v>45997</v>
      </c>
      <c r="E659" s="10" t="str">
        <f>VLOOKUP(B659,Master_Sales!$A$1:$D$9,2,FALSE)</f>
        <v>Fajar Nugraha</v>
      </c>
      <c r="F659" s="10" t="str">
        <f>INDEX(Master_Sales!$D$1:$D$9,MATCH(Lembar_Kerja_Analisis!B659,Master_Sales!$A$1:$A$9,0))</f>
        <v>Timur</v>
      </c>
      <c r="G659" s="10" t="str">
        <f>INDEX(Master_Sales!$C$1:$C$9,MATCH(Lembar_Kerja_Analisis!B659,Master_Sales!$A$1:$A$9,0))</f>
        <v>Makassar</v>
      </c>
      <c r="H659" s="10" t="str">
        <f>VLOOKUP(A659,Master_Produk!$A$1:$E$16,2,FALSE)</f>
        <v>Celana Chino Slim Fit</v>
      </c>
      <c r="I659" s="10" t="str">
        <f>INDEX(Master_Produk!$C$1:$C$16,MATCH(Lembar_Kerja_Analisis!A659,Master_Produk!$A$1:$A$16,0))</f>
        <v>Fashion</v>
      </c>
      <c r="J659" s="19">
        <f>_xlfn.XLOOKUP(A659,Master_Produk!$A$1:$A$16,Master_Produk!$D$1:$D$16,,0)</f>
        <v>280000</v>
      </c>
      <c r="K659" s="19">
        <f>INDEX(Master_Produk!$E$1:$E$16,MATCH(Lembar_Kerja_Analisis!A659,Master_Produk!$A$1:$A$16,0))</f>
        <v>175000</v>
      </c>
      <c r="L659" s="8">
        <v>8</v>
      </c>
      <c r="M659" s="19">
        <f t="shared" si="50"/>
        <v>2240000</v>
      </c>
      <c r="N659" s="9">
        <v>0.15</v>
      </c>
      <c r="O659" s="19">
        <f t="shared" si="51"/>
        <v>336000</v>
      </c>
      <c r="P659" s="19">
        <f t="shared" si="52"/>
        <v>1904000</v>
      </c>
      <c r="Q659" s="19">
        <f t="shared" si="53"/>
        <v>1400000</v>
      </c>
      <c r="R659" s="19">
        <f t="shared" si="54"/>
        <v>504000</v>
      </c>
    </row>
    <row r="660" spans="1:18" x14ac:dyDescent="0.25">
      <c r="A660" t="str">
        <f>_xlfn.XLOOKUP(C660,Raw_Data_Transaksi!$A$1:$A$1001,Raw_Data_Transaksi!$D$1:$D$1001,,0)</f>
        <v>PRD-112</v>
      </c>
      <c r="B660" t="str">
        <f>_xlfn.XLOOKUP(C660,Raw_Data_Transaksi!$A$1:$A$1001,Raw_Data_Transaksi!$C$1:$C$1001,,0)</f>
        <v>SLS-03</v>
      </c>
      <c r="C660" s="6" t="s">
        <v>744</v>
      </c>
      <c r="D660" s="7">
        <v>45727</v>
      </c>
      <c r="E660" s="10" t="str">
        <f>VLOOKUP(B660,Master_Sales!$A$1:$D$9,2,FALSE)</f>
        <v>Citra Lestari</v>
      </c>
      <c r="F660" s="10" t="str">
        <f>INDEX(Master_Sales!$D$1:$D$9,MATCH(Lembar_Kerja_Analisis!B660,Master_Sales!$A$1:$A$9,0))</f>
        <v>Barat</v>
      </c>
      <c r="G660" s="10" t="str">
        <f>INDEX(Master_Sales!$C$1:$C$9,MATCH(Lembar_Kerja_Analisis!B660,Master_Sales!$A$1:$A$9,0))</f>
        <v>Bandung</v>
      </c>
      <c r="H660" s="10" t="str">
        <f>VLOOKUP(A660,Master_Produk!$A$1:$E$16,2,FALSE)</f>
        <v>Susu UHT Full Cream 1L</v>
      </c>
      <c r="I660" s="10" t="str">
        <f>INDEX(Master_Produk!$C$1:$C$16,MATCH(Lembar_Kerja_Analisis!A660,Master_Produk!$A$1:$A$16,0))</f>
        <v>F&amp;B</v>
      </c>
      <c r="J660" s="19">
        <f>_xlfn.XLOOKUP(A660,Master_Produk!$A$1:$A$16,Master_Produk!$D$1:$D$16,,0)</f>
        <v>22000</v>
      </c>
      <c r="K660" s="19">
        <f>INDEX(Master_Produk!$E$1:$E$16,MATCH(Lembar_Kerja_Analisis!A660,Master_Produk!$A$1:$A$16,0))</f>
        <v>18000</v>
      </c>
      <c r="L660" s="8">
        <v>22</v>
      </c>
      <c r="M660" s="19">
        <f t="shared" si="50"/>
        <v>484000</v>
      </c>
      <c r="N660" s="9">
        <v>0.15</v>
      </c>
      <c r="O660" s="19">
        <f t="shared" si="51"/>
        <v>72600</v>
      </c>
      <c r="P660" s="19">
        <f t="shared" si="52"/>
        <v>411400</v>
      </c>
      <c r="Q660" s="19">
        <f t="shared" si="53"/>
        <v>396000</v>
      </c>
      <c r="R660" s="19">
        <f t="shared" si="54"/>
        <v>15400</v>
      </c>
    </row>
    <row r="661" spans="1:18" x14ac:dyDescent="0.25">
      <c r="A661" t="str">
        <f>_xlfn.XLOOKUP(C661,Raw_Data_Transaksi!$A$1:$A$1001,Raw_Data_Transaksi!$D$1:$D$1001,,0)</f>
        <v>PRD-108</v>
      </c>
      <c r="B661" t="str">
        <f>_xlfn.XLOOKUP(C661,Raw_Data_Transaksi!$A$1:$A$1001,Raw_Data_Transaksi!$C$1:$C$1001,,0)</f>
        <v>SLS-04</v>
      </c>
      <c r="C661" s="6" t="s">
        <v>745</v>
      </c>
      <c r="D661" s="7">
        <v>45835</v>
      </c>
      <c r="E661" s="10" t="str">
        <f>VLOOKUP(B661,Master_Sales!$A$1:$D$9,2,FALSE)</f>
        <v>Dewi Anggraini</v>
      </c>
      <c r="F661" s="10" t="str">
        <f>INDEX(Master_Sales!$D$1:$D$9,MATCH(Lembar_Kerja_Analisis!B661,Master_Sales!$A$1:$A$9,0))</f>
        <v>Barat</v>
      </c>
      <c r="G661" s="10" t="str">
        <f>INDEX(Master_Sales!$C$1:$C$9,MATCH(Lembar_Kerja_Analisis!B661,Master_Sales!$A$1:$A$9,0))</f>
        <v>Medan</v>
      </c>
      <c r="H661" s="10" t="str">
        <f>VLOOKUP(A661,Master_Produk!$A$1:$E$16,2,FALSE)</f>
        <v>Sepatu Sneakers Pria/Wanita</v>
      </c>
      <c r="I661" s="10" t="str">
        <f>INDEX(Master_Produk!$C$1:$C$16,MATCH(Lembar_Kerja_Analisis!A661,Master_Produk!$A$1:$A$16,0))</f>
        <v>Fashion</v>
      </c>
      <c r="J661" s="19">
        <f>_xlfn.XLOOKUP(A661,Master_Produk!$A$1:$A$16,Master_Produk!$D$1:$D$16,,0)</f>
        <v>450000</v>
      </c>
      <c r="K661" s="19">
        <f>INDEX(Master_Produk!$E$1:$E$16,MATCH(Lembar_Kerja_Analisis!A661,Master_Produk!$A$1:$A$16,0))</f>
        <v>290000</v>
      </c>
      <c r="L661" s="8">
        <v>2</v>
      </c>
      <c r="M661" s="19">
        <f t="shared" si="50"/>
        <v>900000</v>
      </c>
      <c r="N661" s="9">
        <v>0.15</v>
      </c>
      <c r="O661" s="19">
        <f t="shared" si="51"/>
        <v>135000</v>
      </c>
      <c r="P661" s="19">
        <f t="shared" si="52"/>
        <v>765000</v>
      </c>
      <c r="Q661" s="19">
        <f t="shared" si="53"/>
        <v>580000</v>
      </c>
      <c r="R661" s="19">
        <f t="shared" si="54"/>
        <v>185000</v>
      </c>
    </row>
    <row r="662" spans="1:18" x14ac:dyDescent="0.25">
      <c r="A662" t="str">
        <f>_xlfn.XLOOKUP(C662,Raw_Data_Transaksi!$A$1:$A$1001,Raw_Data_Transaksi!$D$1:$D$1001,,0)</f>
        <v>PRD-103</v>
      </c>
      <c r="B662" t="str">
        <f>_xlfn.XLOOKUP(C662,Raw_Data_Transaksi!$A$1:$A$1001,Raw_Data_Transaksi!$C$1:$C$1001,,0)</f>
        <v>SLS-05</v>
      </c>
      <c r="C662" s="6" t="s">
        <v>746</v>
      </c>
      <c r="D662" s="7">
        <v>45791</v>
      </c>
      <c r="E662" s="10" t="str">
        <f>VLOOKUP(B662,Master_Sales!$A$1:$D$9,2,FALSE)</f>
        <v>Eko Prasetyo</v>
      </c>
      <c r="F662" s="10" t="str">
        <f>INDEX(Master_Sales!$D$1:$D$9,MATCH(Lembar_Kerja_Analisis!B662,Master_Sales!$A$1:$A$9,0))</f>
        <v>Tengah</v>
      </c>
      <c r="G662" s="10" t="str">
        <f>INDEX(Master_Sales!$C$1:$C$9,MATCH(Lembar_Kerja_Analisis!B662,Master_Sales!$A$1:$A$9,0))</f>
        <v>Semarang</v>
      </c>
      <c r="H662" s="10" t="str">
        <f>VLOOKUP(A662,Master_Produk!$A$1:$E$16,2,FALSE)</f>
        <v>Mechanical Keyboard RGB</v>
      </c>
      <c r="I662" s="10" t="str">
        <f>INDEX(Master_Produk!$C$1:$C$16,MATCH(Lembar_Kerja_Analisis!A662,Master_Produk!$A$1:$A$16,0))</f>
        <v>Elektronik</v>
      </c>
      <c r="J662" s="19">
        <f>_xlfn.XLOOKUP(A662,Master_Produk!$A$1:$A$16,Master_Produk!$D$1:$D$16,,0)</f>
        <v>750000</v>
      </c>
      <c r="K662" s="19">
        <f>INDEX(Master_Produk!$E$1:$E$16,MATCH(Lembar_Kerja_Analisis!A662,Master_Produk!$A$1:$A$16,0))</f>
        <v>520000</v>
      </c>
      <c r="L662" s="8">
        <v>1</v>
      </c>
      <c r="M662" s="19">
        <f t="shared" si="50"/>
        <v>750000</v>
      </c>
      <c r="N662" s="9">
        <v>0</v>
      </c>
      <c r="O662" s="19">
        <f t="shared" si="51"/>
        <v>0</v>
      </c>
      <c r="P662" s="19">
        <f t="shared" si="52"/>
        <v>750000</v>
      </c>
      <c r="Q662" s="19">
        <f t="shared" si="53"/>
        <v>520000</v>
      </c>
      <c r="R662" s="19">
        <f t="shared" si="54"/>
        <v>230000</v>
      </c>
    </row>
    <row r="663" spans="1:18" x14ac:dyDescent="0.25">
      <c r="A663" t="str">
        <f>_xlfn.XLOOKUP(C663,Raw_Data_Transaksi!$A$1:$A$1001,Raw_Data_Transaksi!$D$1:$D$1001,,0)</f>
        <v>PRD-109</v>
      </c>
      <c r="B663" t="str">
        <f>_xlfn.XLOOKUP(C663,Raw_Data_Transaksi!$A$1:$A$1001,Raw_Data_Transaksi!$C$1:$C$1001,,0)</f>
        <v>SLS-01</v>
      </c>
      <c r="C663" s="6" t="s">
        <v>747</v>
      </c>
      <c r="D663" s="7">
        <v>45898</v>
      </c>
      <c r="E663" s="10" t="str">
        <f>VLOOKUP(B663,Master_Sales!$A$1:$D$9,2,FALSE)</f>
        <v>Andi Pratama</v>
      </c>
      <c r="F663" s="10" t="str">
        <f>INDEX(Master_Sales!$D$1:$D$9,MATCH(Lembar_Kerja_Analisis!B663,Master_Sales!$A$1:$A$9,0))</f>
        <v>Barat</v>
      </c>
      <c r="G663" s="10" t="str">
        <f>INDEX(Master_Sales!$C$1:$C$9,MATCH(Lembar_Kerja_Analisis!B663,Master_Sales!$A$1:$A$9,0))</f>
        <v>Jakarta</v>
      </c>
      <c r="H663" s="10" t="str">
        <f>VLOOKUP(A663,Master_Produk!$A$1:$E$16,2,FALSE)</f>
        <v>Kopi Arabika Gayo 250g</v>
      </c>
      <c r="I663" s="10" t="str">
        <f>INDEX(Master_Produk!$C$1:$C$16,MATCH(Lembar_Kerja_Analisis!A663,Master_Produk!$A$1:$A$16,0))</f>
        <v>F&amp;B</v>
      </c>
      <c r="J663" s="19">
        <f>_xlfn.XLOOKUP(A663,Master_Produk!$A$1:$A$16,Master_Produk!$D$1:$D$16,,0)</f>
        <v>85000</v>
      </c>
      <c r="K663" s="19">
        <f>INDEX(Master_Produk!$E$1:$E$16,MATCH(Lembar_Kerja_Analisis!A663,Master_Produk!$A$1:$A$16,0))</f>
        <v>55000</v>
      </c>
      <c r="L663" s="8">
        <v>18</v>
      </c>
      <c r="M663" s="19">
        <f t="shared" si="50"/>
        <v>1530000</v>
      </c>
      <c r="N663" s="9">
        <v>0.15</v>
      </c>
      <c r="O663" s="19">
        <f t="shared" si="51"/>
        <v>229500</v>
      </c>
      <c r="P663" s="19">
        <f t="shared" si="52"/>
        <v>1300500</v>
      </c>
      <c r="Q663" s="19">
        <f t="shared" si="53"/>
        <v>990000</v>
      </c>
      <c r="R663" s="19">
        <f t="shared" si="54"/>
        <v>310500</v>
      </c>
    </row>
    <row r="664" spans="1:18" x14ac:dyDescent="0.25">
      <c r="A664" t="str">
        <f>_xlfn.XLOOKUP(C664,Raw_Data_Transaksi!$A$1:$A$1001,Raw_Data_Transaksi!$D$1:$D$1001,,0)</f>
        <v>PRD-110</v>
      </c>
      <c r="B664" t="str">
        <f>_xlfn.XLOOKUP(C664,Raw_Data_Transaksi!$A$1:$A$1001,Raw_Data_Transaksi!$C$1:$C$1001,,0)</f>
        <v>SLS-04</v>
      </c>
      <c r="C664" s="6" t="s">
        <v>748</v>
      </c>
      <c r="D664" s="7">
        <v>45807</v>
      </c>
      <c r="E664" s="10" t="str">
        <f>VLOOKUP(B664,Master_Sales!$A$1:$D$9,2,FALSE)</f>
        <v>Dewi Anggraini</v>
      </c>
      <c r="F664" s="10" t="str">
        <f>INDEX(Master_Sales!$D$1:$D$9,MATCH(Lembar_Kerja_Analisis!B664,Master_Sales!$A$1:$A$9,0))</f>
        <v>Barat</v>
      </c>
      <c r="G664" s="10" t="str">
        <f>INDEX(Master_Sales!$C$1:$C$9,MATCH(Lembar_Kerja_Analisis!B664,Master_Sales!$A$1:$A$9,0))</f>
        <v>Medan</v>
      </c>
      <c r="H664" s="10" t="str">
        <f>VLOOKUP(A664,Master_Produk!$A$1:$E$16,2,FALSE)</f>
        <v>Minyak Goreng Sawit 2L</v>
      </c>
      <c r="I664" s="10" t="str">
        <f>INDEX(Master_Produk!$C$1:$C$16,MATCH(Lembar_Kerja_Analisis!A664,Master_Produk!$A$1:$A$16,0))</f>
        <v>F&amp;B</v>
      </c>
      <c r="J664" s="19">
        <f>_xlfn.XLOOKUP(A664,Master_Produk!$A$1:$A$16,Master_Produk!$D$1:$D$16,,0)</f>
        <v>36000</v>
      </c>
      <c r="K664" s="19">
        <f>INDEX(Master_Produk!$E$1:$E$16,MATCH(Lembar_Kerja_Analisis!A664,Master_Produk!$A$1:$A$16,0))</f>
        <v>31000</v>
      </c>
      <c r="L664" s="8">
        <v>20</v>
      </c>
      <c r="M664" s="19">
        <f t="shared" si="50"/>
        <v>720000</v>
      </c>
      <c r="N664" s="9">
        <v>0.1</v>
      </c>
      <c r="O664" s="19">
        <f t="shared" si="51"/>
        <v>72000</v>
      </c>
      <c r="P664" s="19">
        <f t="shared" si="52"/>
        <v>648000</v>
      </c>
      <c r="Q664" s="19">
        <f t="shared" si="53"/>
        <v>620000</v>
      </c>
      <c r="R664" s="19">
        <f t="shared" si="54"/>
        <v>28000</v>
      </c>
    </row>
    <row r="665" spans="1:18" x14ac:dyDescent="0.25">
      <c r="A665" t="str">
        <f>_xlfn.XLOOKUP(C665,Raw_Data_Transaksi!$A$1:$A$1001,Raw_Data_Transaksi!$D$1:$D$1001,,0)</f>
        <v>PRD-104</v>
      </c>
      <c r="B665" t="str">
        <f>_xlfn.XLOOKUP(C665,Raw_Data_Transaksi!$A$1:$A$1001,Raw_Data_Transaksi!$C$1:$C$1001,,0)</f>
        <v>SLS-03</v>
      </c>
      <c r="C665" s="6" t="s">
        <v>749</v>
      </c>
      <c r="D665" s="7">
        <v>45860</v>
      </c>
      <c r="E665" s="10" t="str">
        <f>VLOOKUP(B665,Master_Sales!$A$1:$D$9,2,FALSE)</f>
        <v>Citra Lestari</v>
      </c>
      <c r="F665" s="10" t="str">
        <f>INDEX(Master_Sales!$D$1:$D$9,MATCH(Lembar_Kerja_Analisis!B665,Master_Sales!$A$1:$A$9,0))</f>
        <v>Barat</v>
      </c>
      <c r="G665" s="10" t="str">
        <f>INDEX(Master_Sales!$C$1:$C$9,MATCH(Lembar_Kerja_Analisis!B665,Master_Sales!$A$1:$A$9,0))</f>
        <v>Bandung</v>
      </c>
      <c r="H665" s="10" t="str">
        <f>VLOOKUP(A665,Master_Produk!$A$1:$E$16,2,FALSE)</f>
        <v>Monitor 24" FHD 144Hz</v>
      </c>
      <c r="I665" s="10" t="str">
        <f>INDEX(Master_Produk!$C$1:$C$16,MATCH(Lembar_Kerja_Analisis!A665,Master_Produk!$A$1:$A$16,0))</f>
        <v>Elektronik</v>
      </c>
      <c r="J665" s="19">
        <f>_xlfn.XLOOKUP(A665,Master_Produk!$A$1:$A$16,Master_Produk!$D$1:$D$16,,0)</f>
        <v>1950000</v>
      </c>
      <c r="K665" s="19">
        <f>INDEX(Master_Produk!$E$1:$E$16,MATCH(Lembar_Kerja_Analisis!A665,Master_Produk!$A$1:$A$16,0))</f>
        <v>1500000</v>
      </c>
      <c r="L665" s="8">
        <v>12</v>
      </c>
      <c r="M665" s="19">
        <f t="shared" si="50"/>
        <v>23400000</v>
      </c>
      <c r="N665" s="9">
        <v>0.15</v>
      </c>
      <c r="O665" s="19">
        <f t="shared" si="51"/>
        <v>3510000</v>
      </c>
      <c r="P665" s="19">
        <f t="shared" si="52"/>
        <v>19890000</v>
      </c>
      <c r="Q665" s="19">
        <f t="shared" si="53"/>
        <v>18000000</v>
      </c>
      <c r="R665" s="19">
        <f t="shared" si="54"/>
        <v>1890000</v>
      </c>
    </row>
    <row r="666" spans="1:18" x14ac:dyDescent="0.25">
      <c r="A666" t="str">
        <f>_xlfn.XLOOKUP(C666,Raw_Data_Transaksi!$A$1:$A$1001,Raw_Data_Transaksi!$D$1:$D$1001,,0)</f>
        <v>PRD-107</v>
      </c>
      <c r="B666" t="str">
        <f>_xlfn.XLOOKUP(C666,Raw_Data_Transaksi!$A$1:$A$1001,Raw_Data_Transaksi!$C$1:$C$1001,,0)</f>
        <v>SLS-04</v>
      </c>
      <c r="C666" s="6" t="s">
        <v>750</v>
      </c>
      <c r="D666" s="7">
        <v>45698</v>
      </c>
      <c r="E666" s="10" t="str">
        <f>VLOOKUP(B666,Master_Sales!$A$1:$D$9,2,FALSE)</f>
        <v>Dewi Anggraini</v>
      </c>
      <c r="F666" s="10" t="str">
        <f>INDEX(Master_Sales!$D$1:$D$9,MATCH(Lembar_Kerja_Analisis!B666,Master_Sales!$A$1:$A$9,0))</f>
        <v>Barat</v>
      </c>
      <c r="G666" s="10" t="str">
        <f>INDEX(Master_Sales!$C$1:$C$9,MATCH(Lembar_Kerja_Analisis!B666,Master_Sales!$A$1:$A$9,0))</f>
        <v>Medan</v>
      </c>
      <c r="H666" s="10" t="str">
        <f>VLOOKUP(A666,Master_Produk!$A$1:$E$16,2,FALSE)</f>
        <v>Jaket Hoodie Casual</v>
      </c>
      <c r="I666" s="10" t="str">
        <f>INDEX(Master_Produk!$C$1:$C$16,MATCH(Lembar_Kerja_Analisis!A666,Master_Produk!$A$1:$A$16,0))</f>
        <v>Fashion</v>
      </c>
      <c r="J666" s="19">
        <f>_xlfn.XLOOKUP(A666,Master_Produk!$A$1:$A$16,Master_Produk!$D$1:$D$16,,0)</f>
        <v>350000</v>
      </c>
      <c r="K666" s="19">
        <f>INDEX(Master_Produk!$E$1:$E$16,MATCH(Lembar_Kerja_Analisis!A666,Master_Produk!$A$1:$A$16,0))</f>
        <v>220000</v>
      </c>
      <c r="L666" s="8">
        <v>9</v>
      </c>
      <c r="M666" s="19">
        <f t="shared" si="50"/>
        <v>3150000</v>
      </c>
      <c r="N666" s="9">
        <v>0.2</v>
      </c>
      <c r="O666" s="19">
        <f t="shared" si="51"/>
        <v>630000</v>
      </c>
      <c r="P666" s="19">
        <f t="shared" si="52"/>
        <v>2520000</v>
      </c>
      <c r="Q666" s="19">
        <f t="shared" si="53"/>
        <v>1980000</v>
      </c>
      <c r="R666" s="19">
        <f t="shared" si="54"/>
        <v>540000</v>
      </c>
    </row>
    <row r="667" spans="1:18" x14ac:dyDescent="0.25">
      <c r="A667" t="str">
        <f>_xlfn.XLOOKUP(C667,Raw_Data_Transaksi!$A$1:$A$1001,Raw_Data_Transaksi!$D$1:$D$1001,,0)</f>
        <v>PRD-104</v>
      </c>
      <c r="B667" t="str">
        <f>_xlfn.XLOOKUP(C667,Raw_Data_Transaksi!$A$1:$A$1001,Raw_Data_Transaksi!$C$1:$C$1001,,0)</f>
        <v>SLS-02</v>
      </c>
      <c r="C667" s="6" t="s">
        <v>751</v>
      </c>
      <c r="D667" s="7">
        <v>45869</v>
      </c>
      <c r="E667" s="10" t="str">
        <f>VLOOKUP(B667,Master_Sales!$A$1:$D$9,2,FALSE)</f>
        <v>Budi Santoso</v>
      </c>
      <c r="F667" s="10" t="str">
        <f>INDEX(Master_Sales!$D$1:$D$9,MATCH(Lembar_Kerja_Analisis!B667,Master_Sales!$A$1:$A$9,0))</f>
        <v>Timur</v>
      </c>
      <c r="G667" s="10" t="str">
        <f>INDEX(Master_Sales!$C$1:$C$9,MATCH(Lembar_Kerja_Analisis!B667,Master_Sales!$A$1:$A$9,0))</f>
        <v>Surabaya</v>
      </c>
      <c r="H667" s="10" t="str">
        <f>VLOOKUP(A667,Master_Produk!$A$1:$E$16,2,FALSE)</f>
        <v>Monitor 24" FHD 144Hz</v>
      </c>
      <c r="I667" s="10" t="str">
        <f>INDEX(Master_Produk!$C$1:$C$16,MATCH(Lembar_Kerja_Analisis!A667,Master_Produk!$A$1:$A$16,0))</f>
        <v>Elektronik</v>
      </c>
      <c r="J667" s="19">
        <f>_xlfn.XLOOKUP(A667,Master_Produk!$A$1:$A$16,Master_Produk!$D$1:$D$16,,0)</f>
        <v>1950000</v>
      </c>
      <c r="K667" s="19">
        <f>INDEX(Master_Produk!$E$1:$E$16,MATCH(Lembar_Kerja_Analisis!A667,Master_Produk!$A$1:$A$16,0))</f>
        <v>1500000</v>
      </c>
      <c r="L667" s="8">
        <v>3</v>
      </c>
      <c r="M667" s="19">
        <f t="shared" si="50"/>
        <v>5850000</v>
      </c>
      <c r="N667" s="9">
        <v>0.05</v>
      </c>
      <c r="O667" s="19">
        <f t="shared" si="51"/>
        <v>292500</v>
      </c>
      <c r="P667" s="19">
        <f t="shared" si="52"/>
        <v>5557500</v>
      </c>
      <c r="Q667" s="19">
        <f t="shared" si="53"/>
        <v>4500000</v>
      </c>
      <c r="R667" s="19">
        <f t="shared" si="54"/>
        <v>1057500</v>
      </c>
    </row>
    <row r="668" spans="1:18" x14ac:dyDescent="0.25">
      <c r="A668" t="str">
        <f>_xlfn.XLOOKUP(C668,Raw_Data_Transaksi!$A$1:$A$1001,Raw_Data_Transaksi!$D$1:$D$1001,,0)</f>
        <v>PRD-108</v>
      </c>
      <c r="B668" t="str">
        <f>_xlfn.XLOOKUP(C668,Raw_Data_Transaksi!$A$1:$A$1001,Raw_Data_Transaksi!$C$1:$C$1001,,0)</f>
        <v>SLS-05</v>
      </c>
      <c r="C668" s="6" t="s">
        <v>752</v>
      </c>
      <c r="D668" s="7">
        <v>45974</v>
      </c>
      <c r="E668" s="10" t="str">
        <f>VLOOKUP(B668,Master_Sales!$A$1:$D$9,2,FALSE)</f>
        <v>Eko Prasetyo</v>
      </c>
      <c r="F668" s="10" t="str">
        <f>INDEX(Master_Sales!$D$1:$D$9,MATCH(Lembar_Kerja_Analisis!B668,Master_Sales!$A$1:$A$9,0))</f>
        <v>Tengah</v>
      </c>
      <c r="G668" s="10" t="str">
        <f>INDEX(Master_Sales!$C$1:$C$9,MATCH(Lembar_Kerja_Analisis!B668,Master_Sales!$A$1:$A$9,0))</f>
        <v>Semarang</v>
      </c>
      <c r="H668" s="10" t="str">
        <f>VLOOKUP(A668,Master_Produk!$A$1:$E$16,2,FALSE)</f>
        <v>Sepatu Sneakers Pria/Wanita</v>
      </c>
      <c r="I668" s="10" t="str">
        <f>INDEX(Master_Produk!$C$1:$C$16,MATCH(Lembar_Kerja_Analisis!A668,Master_Produk!$A$1:$A$16,0))</f>
        <v>Fashion</v>
      </c>
      <c r="J668" s="19">
        <f>_xlfn.XLOOKUP(A668,Master_Produk!$A$1:$A$16,Master_Produk!$D$1:$D$16,,0)</f>
        <v>450000</v>
      </c>
      <c r="K668" s="19">
        <f>INDEX(Master_Produk!$E$1:$E$16,MATCH(Lembar_Kerja_Analisis!A668,Master_Produk!$A$1:$A$16,0))</f>
        <v>290000</v>
      </c>
      <c r="L668" s="8">
        <v>12</v>
      </c>
      <c r="M668" s="19">
        <f t="shared" si="50"/>
        <v>5400000</v>
      </c>
      <c r="N668" s="9">
        <v>0.2</v>
      </c>
      <c r="O668" s="19">
        <f t="shared" si="51"/>
        <v>1080000</v>
      </c>
      <c r="P668" s="19">
        <f t="shared" si="52"/>
        <v>4320000</v>
      </c>
      <c r="Q668" s="19">
        <f t="shared" si="53"/>
        <v>3480000</v>
      </c>
      <c r="R668" s="19">
        <f t="shared" si="54"/>
        <v>840000</v>
      </c>
    </row>
    <row r="669" spans="1:18" x14ac:dyDescent="0.25">
      <c r="A669" t="str">
        <f>_xlfn.XLOOKUP(C669,Raw_Data_Transaksi!$A$1:$A$1001,Raw_Data_Transaksi!$D$1:$D$1001,,0)</f>
        <v>PRD-103</v>
      </c>
      <c r="B669" t="str">
        <f>_xlfn.XLOOKUP(C669,Raw_Data_Transaksi!$A$1:$A$1001,Raw_Data_Transaksi!$C$1:$C$1001,,0)</f>
        <v>SLS-01</v>
      </c>
      <c r="C669" s="6" t="s">
        <v>753</v>
      </c>
      <c r="D669" s="7">
        <v>45667</v>
      </c>
      <c r="E669" s="10" t="str">
        <f>VLOOKUP(B669,Master_Sales!$A$1:$D$9,2,FALSE)</f>
        <v>Andi Pratama</v>
      </c>
      <c r="F669" s="10" t="str">
        <f>INDEX(Master_Sales!$D$1:$D$9,MATCH(Lembar_Kerja_Analisis!B669,Master_Sales!$A$1:$A$9,0))</f>
        <v>Barat</v>
      </c>
      <c r="G669" s="10" t="str">
        <f>INDEX(Master_Sales!$C$1:$C$9,MATCH(Lembar_Kerja_Analisis!B669,Master_Sales!$A$1:$A$9,0))</f>
        <v>Jakarta</v>
      </c>
      <c r="H669" s="10" t="str">
        <f>VLOOKUP(A669,Master_Produk!$A$1:$E$16,2,FALSE)</f>
        <v>Mechanical Keyboard RGB</v>
      </c>
      <c r="I669" s="10" t="str">
        <f>INDEX(Master_Produk!$C$1:$C$16,MATCH(Lembar_Kerja_Analisis!A669,Master_Produk!$A$1:$A$16,0))</f>
        <v>Elektronik</v>
      </c>
      <c r="J669" s="19">
        <f>_xlfn.XLOOKUP(A669,Master_Produk!$A$1:$A$16,Master_Produk!$D$1:$D$16,,0)</f>
        <v>750000</v>
      </c>
      <c r="K669" s="19">
        <f>INDEX(Master_Produk!$E$1:$E$16,MATCH(Lembar_Kerja_Analisis!A669,Master_Produk!$A$1:$A$16,0))</f>
        <v>520000</v>
      </c>
      <c r="L669" s="8">
        <v>9</v>
      </c>
      <c r="M669" s="19">
        <f t="shared" si="50"/>
        <v>6750000</v>
      </c>
      <c r="N669" s="9">
        <v>0</v>
      </c>
      <c r="O669" s="19">
        <f t="shared" si="51"/>
        <v>0</v>
      </c>
      <c r="P669" s="19">
        <f t="shared" si="52"/>
        <v>6750000</v>
      </c>
      <c r="Q669" s="19">
        <f t="shared" si="53"/>
        <v>4680000</v>
      </c>
      <c r="R669" s="19">
        <f t="shared" si="54"/>
        <v>2070000</v>
      </c>
    </row>
    <row r="670" spans="1:18" x14ac:dyDescent="0.25">
      <c r="A670" t="str">
        <f>_xlfn.XLOOKUP(C670,Raw_Data_Transaksi!$A$1:$A$1001,Raw_Data_Transaksi!$D$1:$D$1001,,0)</f>
        <v>PRD-103</v>
      </c>
      <c r="B670" t="str">
        <f>_xlfn.XLOOKUP(C670,Raw_Data_Transaksi!$A$1:$A$1001,Raw_Data_Transaksi!$C$1:$C$1001,,0)</f>
        <v>SLS-08</v>
      </c>
      <c r="C670" s="6" t="s">
        <v>754</v>
      </c>
      <c r="D670" s="7">
        <v>45795</v>
      </c>
      <c r="E670" s="10" t="str">
        <f>VLOOKUP(B670,Master_Sales!$A$1:$D$9,2,FALSE)</f>
        <v>Hendra Wijaya</v>
      </c>
      <c r="F670" s="10" t="str">
        <f>INDEX(Master_Sales!$D$1:$D$9,MATCH(Lembar_Kerja_Analisis!B670,Master_Sales!$A$1:$A$9,0))</f>
        <v>Tengah</v>
      </c>
      <c r="G670" s="10" t="str">
        <f>INDEX(Master_Sales!$C$1:$C$9,MATCH(Lembar_Kerja_Analisis!B670,Master_Sales!$A$1:$A$9,0))</f>
        <v>Yogyakarta</v>
      </c>
      <c r="H670" s="10" t="str">
        <f>VLOOKUP(A670,Master_Produk!$A$1:$E$16,2,FALSE)</f>
        <v>Mechanical Keyboard RGB</v>
      </c>
      <c r="I670" s="10" t="str">
        <f>INDEX(Master_Produk!$C$1:$C$16,MATCH(Lembar_Kerja_Analisis!A670,Master_Produk!$A$1:$A$16,0))</f>
        <v>Elektronik</v>
      </c>
      <c r="J670" s="19">
        <f>_xlfn.XLOOKUP(A670,Master_Produk!$A$1:$A$16,Master_Produk!$D$1:$D$16,,0)</f>
        <v>750000</v>
      </c>
      <c r="K670" s="19">
        <f>INDEX(Master_Produk!$E$1:$E$16,MATCH(Lembar_Kerja_Analisis!A670,Master_Produk!$A$1:$A$16,0))</f>
        <v>520000</v>
      </c>
      <c r="L670" s="8">
        <v>12</v>
      </c>
      <c r="M670" s="19">
        <f t="shared" si="50"/>
        <v>9000000</v>
      </c>
      <c r="N670" s="9">
        <v>0</v>
      </c>
      <c r="O670" s="19">
        <f t="shared" si="51"/>
        <v>0</v>
      </c>
      <c r="P670" s="19">
        <f t="shared" si="52"/>
        <v>9000000</v>
      </c>
      <c r="Q670" s="19">
        <f t="shared" si="53"/>
        <v>6240000</v>
      </c>
      <c r="R670" s="19">
        <f t="shared" si="54"/>
        <v>2760000</v>
      </c>
    </row>
    <row r="671" spans="1:18" x14ac:dyDescent="0.25">
      <c r="A671" t="str">
        <f>_xlfn.XLOOKUP(C671,Raw_Data_Transaksi!$A$1:$A$1001,Raw_Data_Transaksi!$D$1:$D$1001,,0)</f>
        <v>PRD-108</v>
      </c>
      <c r="B671" t="str">
        <f>_xlfn.XLOOKUP(C671,Raw_Data_Transaksi!$A$1:$A$1001,Raw_Data_Transaksi!$C$1:$C$1001,,0)</f>
        <v>SLS-04</v>
      </c>
      <c r="C671" s="6" t="s">
        <v>755</v>
      </c>
      <c r="D671" s="7">
        <v>45665</v>
      </c>
      <c r="E671" s="10" t="str">
        <f>VLOOKUP(B671,Master_Sales!$A$1:$D$9,2,FALSE)</f>
        <v>Dewi Anggraini</v>
      </c>
      <c r="F671" s="10" t="str">
        <f>INDEX(Master_Sales!$D$1:$D$9,MATCH(Lembar_Kerja_Analisis!B671,Master_Sales!$A$1:$A$9,0))</f>
        <v>Barat</v>
      </c>
      <c r="G671" s="10" t="str">
        <f>INDEX(Master_Sales!$C$1:$C$9,MATCH(Lembar_Kerja_Analisis!B671,Master_Sales!$A$1:$A$9,0))</f>
        <v>Medan</v>
      </c>
      <c r="H671" s="10" t="str">
        <f>VLOOKUP(A671,Master_Produk!$A$1:$E$16,2,FALSE)</f>
        <v>Sepatu Sneakers Pria/Wanita</v>
      </c>
      <c r="I671" s="10" t="str">
        <f>INDEX(Master_Produk!$C$1:$C$16,MATCH(Lembar_Kerja_Analisis!A671,Master_Produk!$A$1:$A$16,0))</f>
        <v>Fashion</v>
      </c>
      <c r="J671" s="19">
        <f>_xlfn.XLOOKUP(A671,Master_Produk!$A$1:$A$16,Master_Produk!$D$1:$D$16,,0)</f>
        <v>450000</v>
      </c>
      <c r="K671" s="19">
        <f>INDEX(Master_Produk!$E$1:$E$16,MATCH(Lembar_Kerja_Analisis!A671,Master_Produk!$A$1:$A$16,0))</f>
        <v>290000</v>
      </c>
      <c r="L671" s="8">
        <v>6</v>
      </c>
      <c r="M671" s="19">
        <f t="shared" si="50"/>
        <v>2700000</v>
      </c>
      <c r="N671" s="9">
        <v>0.15</v>
      </c>
      <c r="O671" s="19">
        <f t="shared" si="51"/>
        <v>405000</v>
      </c>
      <c r="P671" s="19">
        <f t="shared" si="52"/>
        <v>2295000</v>
      </c>
      <c r="Q671" s="19">
        <f t="shared" si="53"/>
        <v>1740000</v>
      </c>
      <c r="R671" s="19">
        <f t="shared" si="54"/>
        <v>555000</v>
      </c>
    </row>
    <row r="672" spans="1:18" x14ac:dyDescent="0.25">
      <c r="A672" t="str">
        <f>_xlfn.XLOOKUP(C672,Raw_Data_Transaksi!$A$1:$A$1001,Raw_Data_Transaksi!$D$1:$D$1001,,0)</f>
        <v>PRD-112</v>
      </c>
      <c r="B672" t="str">
        <f>_xlfn.XLOOKUP(C672,Raw_Data_Transaksi!$A$1:$A$1001,Raw_Data_Transaksi!$C$1:$C$1001,,0)</f>
        <v>SLS-01</v>
      </c>
      <c r="C672" s="6" t="s">
        <v>756</v>
      </c>
      <c r="D672" s="7">
        <v>45895</v>
      </c>
      <c r="E672" s="10" t="str">
        <f>VLOOKUP(B672,Master_Sales!$A$1:$D$9,2,FALSE)</f>
        <v>Andi Pratama</v>
      </c>
      <c r="F672" s="10" t="str">
        <f>INDEX(Master_Sales!$D$1:$D$9,MATCH(Lembar_Kerja_Analisis!B672,Master_Sales!$A$1:$A$9,0))</f>
        <v>Barat</v>
      </c>
      <c r="G672" s="10" t="str">
        <f>INDEX(Master_Sales!$C$1:$C$9,MATCH(Lembar_Kerja_Analisis!B672,Master_Sales!$A$1:$A$9,0))</f>
        <v>Jakarta</v>
      </c>
      <c r="H672" s="10" t="str">
        <f>VLOOKUP(A672,Master_Produk!$A$1:$E$16,2,FALSE)</f>
        <v>Susu UHT Full Cream 1L</v>
      </c>
      <c r="I672" s="10" t="str">
        <f>INDEX(Master_Produk!$C$1:$C$16,MATCH(Lembar_Kerja_Analisis!A672,Master_Produk!$A$1:$A$16,0))</f>
        <v>F&amp;B</v>
      </c>
      <c r="J672" s="19">
        <f>_xlfn.XLOOKUP(A672,Master_Produk!$A$1:$A$16,Master_Produk!$D$1:$D$16,,0)</f>
        <v>22000</v>
      </c>
      <c r="K672" s="19">
        <f>INDEX(Master_Produk!$E$1:$E$16,MATCH(Lembar_Kerja_Analisis!A672,Master_Produk!$A$1:$A$16,0))</f>
        <v>18000</v>
      </c>
      <c r="L672" s="8">
        <v>5</v>
      </c>
      <c r="M672" s="19">
        <f t="shared" si="50"/>
        <v>110000</v>
      </c>
      <c r="N672" s="9">
        <v>0.05</v>
      </c>
      <c r="O672" s="19">
        <f t="shared" si="51"/>
        <v>5500</v>
      </c>
      <c r="P672" s="19">
        <f t="shared" si="52"/>
        <v>104500</v>
      </c>
      <c r="Q672" s="19">
        <f t="shared" si="53"/>
        <v>90000</v>
      </c>
      <c r="R672" s="19">
        <f t="shared" si="54"/>
        <v>14500</v>
      </c>
    </row>
    <row r="673" spans="1:18" x14ac:dyDescent="0.25">
      <c r="A673" t="str">
        <f>_xlfn.XLOOKUP(C673,Raw_Data_Transaksi!$A$1:$A$1001,Raw_Data_Transaksi!$D$1:$D$1001,,0)</f>
        <v>PRD-109</v>
      </c>
      <c r="B673" t="str">
        <f>_xlfn.XLOOKUP(C673,Raw_Data_Transaksi!$A$1:$A$1001,Raw_Data_Transaksi!$C$1:$C$1001,,0)</f>
        <v>SLS-08</v>
      </c>
      <c r="C673" s="6" t="s">
        <v>757</v>
      </c>
      <c r="D673" s="7">
        <v>45694</v>
      </c>
      <c r="E673" s="10" t="str">
        <f>VLOOKUP(B673,Master_Sales!$A$1:$D$9,2,FALSE)</f>
        <v>Hendra Wijaya</v>
      </c>
      <c r="F673" s="10" t="str">
        <f>INDEX(Master_Sales!$D$1:$D$9,MATCH(Lembar_Kerja_Analisis!B673,Master_Sales!$A$1:$A$9,0))</f>
        <v>Tengah</v>
      </c>
      <c r="G673" s="10" t="str">
        <f>INDEX(Master_Sales!$C$1:$C$9,MATCH(Lembar_Kerja_Analisis!B673,Master_Sales!$A$1:$A$9,0))</f>
        <v>Yogyakarta</v>
      </c>
      <c r="H673" s="10" t="str">
        <f>VLOOKUP(A673,Master_Produk!$A$1:$E$16,2,FALSE)</f>
        <v>Kopi Arabika Gayo 250g</v>
      </c>
      <c r="I673" s="10" t="str">
        <f>INDEX(Master_Produk!$C$1:$C$16,MATCH(Lembar_Kerja_Analisis!A673,Master_Produk!$A$1:$A$16,0))</f>
        <v>F&amp;B</v>
      </c>
      <c r="J673" s="19">
        <f>_xlfn.XLOOKUP(A673,Master_Produk!$A$1:$A$16,Master_Produk!$D$1:$D$16,,0)</f>
        <v>85000</v>
      </c>
      <c r="K673" s="19">
        <f>INDEX(Master_Produk!$E$1:$E$16,MATCH(Lembar_Kerja_Analisis!A673,Master_Produk!$A$1:$A$16,0))</f>
        <v>55000</v>
      </c>
      <c r="L673" s="8">
        <v>9</v>
      </c>
      <c r="M673" s="19">
        <f t="shared" si="50"/>
        <v>765000</v>
      </c>
      <c r="N673" s="9">
        <v>0.1</v>
      </c>
      <c r="O673" s="19">
        <f t="shared" si="51"/>
        <v>76500</v>
      </c>
      <c r="P673" s="19">
        <f t="shared" si="52"/>
        <v>688500</v>
      </c>
      <c r="Q673" s="19">
        <f t="shared" si="53"/>
        <v>495000</v>
      </c>
      <c r="R673" s="19">
        <f t="shared" si="54"/>
        <v>193500</v>
      </c>
    </row>
    <row r="674" spans="1:18" x14ac:dyDescent="0.25">
      <c r="A674" t="str">
        <f>_xlfn.XLOOKUP(C674,Raw_Data_Transaksi!$A$1:$A$1001,Raw_Data_Transaksi!$D$1:$D$1001,,0)</f>
        <v>PRD-107</v>
      </c>
      <c r="B674" t="str">
        <f>_xlfn.XLOOKUP(C674,Raw_Data_Transaksi!$A$1:$A$1001,Raw_Data_Transaksi!$C$1:$C$1001,,0)</f>
        <v>SLS-08</v>
      </c>
      <c r="C674" s="6" t="s">
        <v>758</v>
      </c>
      <c r="D674" s="7">
        <v>45785</v>
      </c>
      <c r="E674" s="10" t="str">
        <f>VLOOKUP(B674,Master_Sales!$A$1:$D$9,2,FALSE)</f>
        <v>Hendra Wijaya</v>
      </c>
      <c r="F674" s="10" t="str">
        <f>INDEX(Master_Sales!$D$1:$D$9,MATCH(Lembar_Kerja_Analisis!B674,Master_Sales!$A$1:$A$9,0))</f>
        <v>Tengah</v>
      </c>
      <c r="G674" s="10" t="str">
        <f>INDEX(Master_Sales!$C$1:$C$9,MATCH(Lembar_Kerja_Analisis!B674,Master_Sales!$A$1:$A$9,0))</f>
        <v>Yogyakarta</v>
      </c>
      <c r="H674" s="10" t="str">
        <f>VLOOKUP(A674,Master_Produk!$A$1:$E$16,2,FALSE)</f>
        <v>Jaket Hoodie Casual</v>
      </c>
      <c r="I674" s="10" t="str">
        <f>INDEX(Master_Produk!$C$1:$C$16,MATCH(Lembar_Kerja_Analisis!A674,Master_Produk!$A$1:$A$16,0))</f>
        <v>Fashion</v>
      </c>
      <c r="J674" s="19">
        <f>_xlfn.XLOOKUP(A674,Master_Produk!$A$1:$A$16,Master_Produk!$D$1:$D$16,,0)</f>
        <v>350000</v>
      </c>
      <c r="K674" s="19">
        <f>INDEX(Master_Produk!$E$1:$E$16,MATCH(Lembar_Kerja_Analisis!A674,Master_Produk!$A$1:$A$16,0))</f>
        <v>220000</v>
      </c>
      <c r="L674" s="8">
        <v>4</v>
      </c>
      <c r="M674" s="19">
        <f t="shared" si="50"/>
        <v>1400000</v>
      </c>
      <c r="N674" s="9">
        <v>0</v>
      </c>
      <c r="O674" s="19">
        <f t="shared" si="51"/>
        <v>0</v>
      </c>
      <c r="P674" s="19">
        <f t="shared" si="52"/>
        <v>1400000</v>
      </c>
      <c r="Q674" s="19">
        <f t="shared" si="53"/>
        <v>880000</v>
      </c>
      <c r="R674" s="19">
        <f t="shared" si="54"/>
        <v>520000</v>
      </c>
    </row>
    <row r="675" spans="1:18" x14ac:dyDescent="0.25">
      <c r="A675" t="str">
        <f>_xlfn.XLOOKUP(C675,Raw_Data_Transaksi!$A$1:$A$1001,Raw_Data_Transaksi!$D$1:$D$1001,,0)</f>
        <v>PRD-111</v>
      </c>
      <c r="B675" t="str">
        <f>_xlfn.XLOOKUP(C675,Raw_Data_Transaksi!$A$1:$A$1001,Raw_Data_Transaksi!$C$1:$C$1001,,0)</f>
        <v>SLS-04</v>
      </c>
      <c r="C675" s="6" t="s">
        <v>759</v>
      </c>
      <c r="D675" s="7">
        <v>45924</v>
      </c>
      <c r="E675" s="10" t="str">
        <f>VLOOKUP(B675,Master_Sales!$A$1:$D$9,2,FALSE)</f>
        <v>Dewi Anggraini</v>
      </c>
      <c r="F675" s="10" t="str">
        <f>INDEX(Master_Sales!$D$1:$D$9,MATCH(Lembar_Kerja_Analisis!B675,Master_Sales!$A$1:$A$9,0))</f>
        <v>Barat</v>
      </c>
      <c r="G675" s="10" t="str">
        <f>INDEX(Master_Sales!$C$1:$C$9,MATCH(Lembar_Kerja_Analisis!B675,Master_Sales!$A$1:$A$9,0))</f>
        <v>Medan</v>
      </c>
      <c r="H675" s="10" t="str">
        <f>VLOOKUP(A675,Master_Produk!$A$1:$E$16,2,FALSE)</f>
        <v>Beras Premium 5kg</v>
      </c>
      <c r="I675" s="10" t="str">
        <f>INDEX(Master_Produk!$C$1:$C$16,MATCH(Lembar_Kerja_Analisis!A675,Master_Produk!$A$1:$A$16,0))</f>
        <v>F&amp;B</v>
      </c>
      <c r="J675" s="19">
        <f>_xlfn.XLOOKUP(A675,Master_Produk!$A$1:$A$16,Master_Produk!$D$1:$D$16,,0)</f>
        <v>74000</v>
      </c>
      <c r="K675" s="19">
        <f>INDEX(Master_Produk!$E$1:$E$16,MATCH(Lembar_Kerja_Analisis!A675,Master_Produk!$A$1:$A$16,0))</f>
        <v>65000</v>
      </c>
      <c r="L675" s="8">
        <v>15</v>
      </c>
      <c r="M675" s="19">
        <f t="shared" si="50"/>
        <v>1110000</v>
      </c>
      <c r="N675" s="9">
        <v>0.1</v>
      </c>
      <c r="O675" s="19">
        <f t="shared" si="51"/>
        <v>111000</v>
      </c>
      <c r="P675" s="19">
        <f t="shared" si="52"/>
        <v>999000</v>
      </c>
      <c r="Q675" s="19">
        <f t="shared" si="53"/>
        <v>975000</v>
      </c>
      <c r="R675" s="19">
        <f t="shared" si="54"/>
        <v>24000</v>
      </c>
    </row>
    <row r="676" spans="1:18" x14ac:dyDescent="0.25">
      <c r="A676" t="str">
        <f>_xlfn.XLOOKUP(C676,Raw_Data_Transaksi!$A$1:$A$1001,Raw_Data_Transaksi!$D$1:$D$1001,,0)</f>
        <v>PRD-109</v>
      </c>
      <c r="B676" t="str">
        <f>_xlfn.XLOOKUP(C676,Raw_Data_Transaksi!$A$1:$A$1001,Raw_Data_Transaksi!$C$1:$C$1001,,0)</f>
        <v>SLS-02</v>
      </c>
      <c r="C676" s="6" t="s">
        <v>760</v>
      </c>
      <c r="D676" s="7">
        <v>45939</v>
      </c>
      <c r="E676" s="10" t="str">
        <f>VLOOKUP(B676,Master_Sales!$A$1:$D$9,2,FALSE)</f>
        <v>Budi Santoso</v>
      </c>
      <c r="F676" s="10" t="str">
        <f>INDEX(Master_Sales!$D$1:$D$9,MATCH(Lembar_Kerja_Analisis!B676,Master_Sales!$A$1:$A$9,0))</f>
        <v>Timur</v>
      </c>
      <c r="G676" s="10" t="str">
        <f>INDEX(Master_Sales!$C$1:$C$9,MATCH(Lembar_Kerja_Analisis!B676,Master_Sales!$A$1:$A$9,0))</f>
        <v>Surabaya</v>
      </c>
      <c r="H676" s="10" t="str">
        <f>VLOOKUP(A676,Master_Produk!$A$1:$E$16,2,FALSE)</f>
        <v>Kopi Arabika Gayo 250g</v>
      </c>
      <c r="I676" s="10" t="str">
        <f>INDEX(Master_Produk!$C$1:$C$16,MATCH(Lembar_Kerja_Analisis!A676,Master_Produk!$A$1:$A$16,0))</f>
        <v>F&amp;B</v>
      </c>
      <c r="J676" s="19">
        <f>_xlfn.XLOOKUP(A676,Master_Produk!$A$1:$A$16,Master_Produk!$D$1:$D$16,,0)</f>
        <v>85000</v>
      </c>
      <c r="K676" s="19">
        <f>INDEX(Master_Produk!$E$1:$E$16,MATCH(Lembar_Kerja_Analisis!A676,Master_Produk!$A$1:$A$16,0))</f>
        <v>55000</v>
      </c>
      <c r="L676" s="8">
        <v>18</v>
      </c>
      <c r="M676" s="19">
        <f t="shared" si="50"/>
        <v>1530000</v>
      </c>
      <c r="N676" s="9">
        <v>0.1</v>
      </c>
      <c r="O676" s="19">
        <f t="shared" si="51"/>
        <v>153000</v>
      </c>
      <c r="P676" s="19">
        <f t="shared" si="52"/>
        <v>1377000</v>
      </c>
      <c r="Q676" s="19">
        <f t="shared" si="53"/>
        <v>990000</v>
      </c>
      <c r="R676" s="19">
        <f t="shared" si="54"/>
        <v>387000</v>
      </c>
    </row>
    <row r="677" spans="1:18" x14ac:dyDescent="0.25">
      <c r="A677" t="str">
        <f>_xlfn.XLOOKUP(C677,Raw_Data_Transaksi!$A$1:$A$1001,Raw_Data_Transaksi!$D$1:$D$1001,,0)</f>
        <v>PRD-104</v>
      </c>
      <c r="B677" t="str">
        <f>_xlfn.XLOOKUP(C677,Raw_Data_Transaksi!$A$1:$A$1001,Raw_Data_Transaksi!$C$1:$C$1001,,0)</f>
        <v>SLS-02</v>
      </c>
      <c r="C677" s="6" t="s">
        <v>761</v>
      </c>
      <c r="D677" s="7">
        <v>45999</v>
      </c>
      <c r="E677" s="10" t="str">
        <f>VLOOKUP(B677,Master_Sales!$A$1:$D$9,2,FALSE)</f>
        <v>Budi Santoso</v>
      </c>
      <c r="F677" s="10" t="str">
        <f>INDEX(Master_Sales!$D$1:$D$9,MATCH(Lembar_Kerja_Analisis!B677,Master_Sales!$A$1:$A$9,0))</f>
        <v>Timur</v>
      </c>
      <c r="G677" s="10" t="str">
        <f>INDEX(Master_Sales!$C$1:$C$9,MATCH(Lembar_Kerja_Analisis!B677,Master_Sales!$A$1:$A$9,0))</f>
        <v>Surabaya</v>
      </c>
      <c r="H677" s="10" t="str">
        <f>VLOOKUP(A677,Master_Produk!$A$1:$E$16,2,FALSE)</f>
        <v>Monitor 24" FHD 144Hz</v>
      </c>
      <c r="I677" s="10" t="str">
        <f>INDEX(Master_Produk!$C$1:$C$16,MATCH(Lembar_Kerja_Analisis!A677,Master_Produk!$A$1:$A$16,0))</f>
        <v>Elektronik</v>
      </c>
      <c r="J677" s="19">
        <f>_xlfn.XLOOKUP(A677,Master_Produk!$A$1:$A$16,Master_Produk!$D$1:$D$16,,0)</f>
        <v>1950000</v>
      </c>
      <c r="K677" s="19">
        <f>INDEX(Master_Produk!$E$1:$E$16,MATCH(Lembar_Kerja_Analisis!A677,Master_Produk!$A$1:$A$16,0))</f>
        <v>1500000</v>
      </c>
      <c r="L677" s="8">
        <v>4</v>
      </c>
      <c r="M677" s="19">
        <f t="shared" si="50"/>
        <v>7800000</v>
      </c>
      <c r="N677" s="9">
        <v>0.15</v>
      </c>
      <c r="O677" s="19">
        <f t="shared" si="51"/>
        <v>1170000</v>
      </c>
      <c r="P677" s="19">
        <f t="shared" si="52"/>
        <v>6630000</v>
      </c>
      <c r="Q677" s="19">
        <f t="shared" si="53"/>
        <v>6000000</v>
      </c>
      <c r="R677" s="19">
        <f t="shared" si="54"/>
        <v>630000</v>
      </c>
    </row>
    <row r="678" spans="1:18" x14ac:dyDescent="0.25">
      <c r="A678" t="str">
        <f>_xlfn.XLOOKUP(C678,Raw_Data_Transaksi!$A$1:$A$1001,Raw_Data_Transaksi!$D$1:$D$1001,,0)</f>
        <v>PRD-110</v>
      </c>
      <c r="B678" t="str">
        <f>_xlfn.XLOOKUP(C678,Raw_Data_Transaksi!$A$1:$A$1001,Raw_Data_Transaksi!$C$1:$C$1001,,0)</f>
        <v>SLS-02</v>
      </c>
      <c r="C678" s="6" t="s">
        <v>762</v>
      </c>
      <c r="D678" s="7">
        <v>45799</v>
      </c>
      <c r="E678" s="10" t="str">
        <f>VLOOKUP(B678,Master_Sales!$A$1:$D$9,2,FALSE)</f>
        <v>Budi Santoso</v>
      </c>
      <c r="F678" s="10" t="str">
        <f>INDEX(Master_Sales!$D$1:$D$9,MATCH(Lembar_Kerja_Analisis!B678,Master_Sales!$A$1:$A$9,0))</f>
        <v>Timur</v>
      </c>
      <c r="G678" s="10" t="str">
        <f>INDEX(Master_Sales!$C$1:$C$9,MATCH(Lembar_Kerja_Analisis!B678,Master_Sales!$A$1:$A$9,0))</f>
        <v>Surabaya</v>
      </c>
      <c r="H678" s="10" t="str">
        <f>VLOOKUP(A678,Master_Produk!$A$1:$E$16,2,FALSE)</f>
        <v>Minyak Goreng Sawit 2L</v>
      </c>
      <c r="I678" s="10" t="str">
        <f>INDEX(Master_Produk!$C$1:$C$16,MATCH(Lembar_Kerja_Analisis!A678,Master_Produk!$A$1:$A$16,0))</f>
        <v>F&amp;B</v>
      </c>
      <c r="J678" s="19">
        <f>_xlfn.XLOOKUP(A678,Master_Produk!$A$1:$A$16,Master_Produk!$D$1:$D$16,,0)</f>
        <v>36000</v>
      </c>
      <c r="K678" s="19">
        <f>INDEX(Master_Produk!$E$1:$E$16,MATCH(Lembar_Kerja_Analisis!A678,Master_Produk!$A$1:$A$16,0))</f>
        <v>31000</v>
      </c>
      <c r="L678" s="8">
        <v>28</v>
      </c>
      <c r="M678" s="19">
        <f t="shared" si="50"/>
        <v>1008000</v>
      </c>
      <c r="N678" s="9">
        <v>0.05</v>
      </c>
      <c r="O678" s="19">
        <f t="shared" si="51"/>
        <v>50400</v>
      </c>
      <c r="P678" s="19">
        <f t="shared" si="52"/>
        <v>957600</v>
      </c>
      <c r="Q678" s="19">
        <f t="shared" si="53"/>
        <v>868000</v>
      </c>
      <c r="R678" s="19">
        <f t="shared" si="54"/>
        <v>89600</v>
      </c>
    </row>
    <row r="679" spans="1:18" x14ac:dyDescent="0.25">
      <c r="A679" t="str">
        <f>_xlfn.XLOOKUP(C679,Raw_Data_Transaksi!$A$1:$A$1001,Raw_Data_Transaksi!$D$1:$D$1001,,0)</f>
        <v>PRD-110</v>
      </c>
      <c r="B679" t="str">
        <f>_xlfn.XLOOKUP(C679,Raw_Data_Transaksi!$A$1:$A$1001,Raw_Data_Transaksi!$C$1:$C$1001,,0)</f>
        <v>SLS-03</v>
      </c>
      <c r="C679" s="6" t="s">
        <v>763</v>
      </c>
      <c r="D679" s="7">
        <v>46010</v>
      </c>
      <c r="E679" s="10" t="str">
        <f>VLOOKUP(B679,Master_Sales!$A$1:$D$9,2,FALSE)</f>
        <v>Citra Lestari</v>
      </c>
      <c r="F679" s="10" t="str">
        <f>INDEX(Master_Sales!$D$1:$D$9,MATCH(Lembar_Kerja_Analisis!B679,Master_Sales!$A$1:$A$9,0))</f>
        <v>Barat</v>
      </c>
      <c r="G679" s="10" t="str">
        <f>INDEX(Master_Sales!$C$1:$C$9,MATCH(Lembar_Kerja_Analisis!B679,Master_Sales!$A$1:$A$9,0))</f>
        <v>Bandung</v>
      </c>
      <c r="H679" s="10" t="str">
        <f>VLOOKUP(A679,Master_Produk!$A$1:$E$16,2,FALSE)</f>
        <v>Minyak Goreng Sawit 2L</v>
      </c>
      <c r="I679" s="10" t="str">
        <f>INDEX(Master_Produk!$C$1:$C$16,MATCH(Lembar_Kerja_Analisis!A679,Master_Produk!$A$1:$A$16,0))</f>
        <v>F&amp;B</v>
      </c>
      <c r="J679" s="19">
        <f>_xlfn.XLOOKUP(A679,Master_Produk!$A$1:$A$16,Master_Produk!$D$1:$D$16,,0)</f>
        <v>36000</v>
      </c>
      <c r="K679" s="19">
        <f>INDEX(Master_Produk!$E$1:$E$16,MATCH(Lembar_Kerja_Analisis!A679,Master_Produk!$A$1:$A$16,0))</f>
        <v>31000</v>
      </c>
      <c r="L679" s="8">
        <v>27</v>
      </c>
      <c r="M679" s="19">
        <f t="shared" si="50"/>
        <v>972000</v>
      </c>
      <c r="N679" s="9">
        <v>0</v>
      </c>
      <c r="O679" s="19">
        <f t="shared" si="51"/>
        <v>0</v>
      </c>
      <c r="P679" s="19">
        <f t="shared" si="52"/>
        <v>972000</v>
      </c>
      <c r="Q679" s="19">
        <f t="shared" si="53"/>
        <v>837000</v>
      </c>
      <c r="R679" s="19">
        <f t="shared" si="54"/>
        <v>135000</v>
      </c>
    </row>
    <row r="680" spans="1:18" x14ac:dyDescent="0.25">
      <c r="A680" t="str">
        <f>_xlfn.XLOOKUP(C680,Raw_Data_Transaksi!$A$1:$A$1001,Raw_Data_Transaksi!$D$1:$D$1001,,0)</f>
        <v>PRD-111</v>
      </c>
      <c r="B680" t="str">
        <f>_xlfn.XLOOKUP(C680,Raw_Data_Transaksi!$A$1:$A$1001,Raw_Data_Transaksi!$C$1:$C$1001,,0)</f>
        <v>SLS-06</v>
      </c>
      <c r="C680" s="6" t="s">
        <v>764</v>
      </c>
      <c r="D680" s="7">
        <v>45704</v>
      </c>
      <c r="E680" s="10" t="str">
        <f>VLOOKUP(B680,Master_Sales!$A$1:$D$9,2,FALSE)</f>
        <v>Fajar Nugraha</v>
      </c>
      <c r="F680" s="10" t="str">
        <f>INDEX(Master_Sales!$D$1:$D$9,MATCH(Lembar_Kerja_Analisis!B680,Master_Sales!$A$1:$A$9,0))</f>
        <v>Timur</v>
      </c>
      <c r="G680" s="10" t="str">
        <f>INDEX(Master_Sales!$C$1:$C$9,MATCH(Lembar_Kerja_Analisis!B680,Master_Sales!$A$1:$A$9,0))</f>
        <v>Makassar</v>
      </c>
      <c r="H680" s="10" t="str">
        <f>VLOOKUP(A680,Master_Produk!$A$1:$E$16,2,FALSE)</f>
        <v>Beras Premium 5kg</v>
      </c>
      <c r="I680" s="10" t="str">
        <f>INDEX(Master_Produk!$C$1:$C$16,MATCH(Lembar_Kerja_Analisis!A680,Master_Produk!$A$1:$A$16,0))</f>
        <v>F&amp;B</v>
      </c>
      <c r="J680" s="19">
        <f>_xlfn.XLOOKUP(A680,Master_Produk!$A$1:$A$16,Master_Produk!$D$1:$D$16,,0)</f>
        <v>74000</v>
      </c>
      <c r="K680" s="19">
        <f>INDEX(Master_Produk!$E$1:$E$16,MATCH(Lembar_Kerja_Analisis!A680,Master_Produk!$A$1:$A$16,0))</f>
        <v>65000</v>
      </c>
      <c r="L680" s="8">
        <v>4</v>
      </c>
      <c r="M680" s="19">
        <f t="shared" si="50"/>
        <v>296000</v>
      </c>
      <c r="N680" s="9">
        <v>0</v>
      </c>
      <c r="O680" s="19">
        <f t="shared" si="51"/>
        <v>0</v>
      </c>
      <c r="P680" s="19">
        <f t="shared" si="52"/>
        <v>296000</v>
      </c>
      <c r="Q680" s="19">
        <f t="shared" si="53"/>
        <v>260000</v>
      </c>
      <c r="R680" s="19">
        <f t="shared" si="54"/>
        <v>36000</v>
      </c>
    </row>
    <row r="681" spans="1:18" x14ac:dyDescent="0.25">
      <c r="A681" t="str">
        <f>_xlfn.XLOOKUP(C681,Raw_Data_Transaksi!$A$1:$A$1001,Raw_Data_Transaksi!$D$1:$D$1001,,0)</f>
        <v>PRD-109</v>
      </c>
      <c r="B681" t="str">
        <f>_xlfn.XLOOKUP(C681,Raw_Data_Transaksi!$A$1:$A$1001,Raw_Data_Transaksi!$C$1:$C$1001,,0)</f>
        <v>SLS-02</v>
      </c>
      <c r="C681" s="6" t="s">
        <v>765</v>
      </c>
      <c r="D681" s="7">
        <v>46017</v>
      </c>
      <c r="E681" s="10" t="str">
        <f>VLOOKUP(B681,Master_Sales!$A$1:$D$9,2,FALSE)</f>
        <v>Budi Santoso</v>
      </c>
      <c r="F681" s="10" t="str">
        <f>INDEX(Master_Sales!$D$1:$D$9,MATCH(Lembar_Kerja_Analisis!B681,Master_Sales!$A$1:$A$9,0))</f>
        <v>Timur</v>
      </c>
      <c r="G681" s="10" t="str">
        <f>INDEX(Master_Sales!$C$1:$C$9,MATCH(Lembar_Kerja_Analisis!B681,Master_Sales!$A$1:$A$9,0))</f>
        <v>Surabaya</v>
      </c>
      <c r="H681" s="10" t="str">
        <f>VLOOKUP(A681,Master_Produk!$A$1:$E$16,2,FALSE)</f>
        <v>Kopi Arabika Gayo 250g</v>
      </c>
      <c r="I681" s="10" t="str">
        <f>INDEX(Master_Produk!$C$1:$C$16,MATCH(Lembar_Kerja_Analisis!A681,Master_Produk!$A$1:$A$16,0))</f>
        <v>F&amp;B</v>
      </c>
      <c r="J681" s="19">
        <f>_xlfn.XLOOKUP(A681,Master_Produk!$A$1:$A$16,Master_Produk!$D$1:$D$16,,0)</f>
        <v>85000</v>
      </c>
      <c r="K681" s="19">
        <f>INDEX(Master_Produk!$E$1:$E$16,MATCH(Lembar_Kerja_Analisis!A681,Master_Produk!$A$1:$A$16,0))</f>
        <v>55000</v>
      </c>
      <c r="L681" s="8">
        <v>18</v>
      </c>
      <c r="M681" s="19">
        <f t="shared" si="50"/>
        <v>1530000</v>
      </c>
      <c r="N681" s="9">
        <v>0.05</v>
      </c>
      <c r="O681" s="19">
        <f t="shared" si="51"/>
        <v>76500</v>
      </c>
      <c r="P681" s="19">
        <f t="shared" si="52"/>
        <v>1453500</v>
      </c>
      <c r="Q681" s="19">
        <f t="shared" si="53"/>
        <v>990000</v>
      </c>
      <c r="R681" s="19">
        <f t="shared" si="54"/>
        <v>463500</v>
      </c>
    </row>
    <row r="682" spans="1:18" x14ac:dyDescent="0.25">
      <c r="A682" t="str">
        <f>_xlfn.XLOOKUP(C682,Raw_Data_Transaksi!$A$1:$A$1001,Raw_Data_Transaksi!$D$1:$D$1001,,0)</f>
        <v>PRD-112</v>
      </c>
      <c r="B682" t="str">
        <f>_xlfn.XLOOKUP(C682,Raw_Data_Transaksi!$A$1:$A$1001,Raw_Data_Transaksi!$C$1:$C$1001,,0)</f>
        <v>SLS-04</v>
      </c>
      <c r="C682" s="6" t="s">
        <v>766</v>
      </c>
      <c r="D682" s="7">
        <v>45882</v>
      </c>
      <c r="E682" s="10" t="str">
        <f>VLOOKUP(B682,Master_Sales!$A$1:$D$9,2,FALSE)</f>
        <v>Dewi Anggraini</v>
      </c>
      <c r="F682" s="10" t="str">
        <f>INDEX(Master_Sales!$D$1:$D$9,MATCH(Lembar_Kerja_Analisis!B682,Master_Sales!$A$1:$A$9,0))</f>
        <v>Barat</v>
      </c>
      <c r="G682" s="10" t="str">
        <f>INDEX(Master_Sales!$C$1:$C$9,MATCH(Lembar_Kerja_Analisis!B682,Master_Sales!$A$1:$A$9,0))</f>
        <v>Medan</v>
      </c>
      <c r="H682" s="10" t="str">
        <f>VLOOKUP(A682,Master_Produk!$A$1:$E$16,2,FALSE)</f>
        <v>Susu UHT Full Cream 1L</v>
      </c>
      <c r="I682" s="10" t="str">
        <f>INDEX(Master_Produk!$C$1:$C$16,MATCH(Lembar_Kerja_Analisis!A682,Master_Produk!$A$1:$A$16,0))</f>
        <v>F&amp;B</v>
      </c>
      <c r="J682" s="19">
        <f>_xlfn.XLOOKUP(A682,Master_Produk!$A$1:$A$16,Master_Produk!$D$1:$D$16,,0)</f>
        <v>22000</v>
      </c>
      <c r="K682" s="19">
        <f>INDEX(Master_Produk!$E$1:$E$16,MATCH(Lembar_Kerja_Analisis!A682,Master_Produk!$A$1:$A$16,0))</f>
        <v>18000</v>
      </c>
      <c r="L682" s="8">
        <v>25</v>
      </c>
      <c r="M682" s="19">
        <f t="shared" si="50"/>
        <v>550000</v>
      </c>
      <c r="N682" s="9">
        <v>0.15</v>
      </c>
      <c r="O682" s="19">
        <f t="shared" si="51"/>
        <v>82500</v>
      </c>
      <c r="P682" s="19">
        <f t="shared" si="52"/>
        <v>467500</v>
      </c>
      <c r="Q682" s="19">
        <f t="shared" si="53"/>
        <v>450000</v>
      </c>
      <c r="R682" s="19">
        <f t="shared" si="54"/>
        <v>17500</v>
      </c>
    </row>
    <row r="683" spans="1:18" x14ac:dyDescent="0.25">
      <c r="A683" t="str">
        <f>_xlfn.XLOOKUP(C683,Raw_Data_Transaksi!$A$1:$A$1001,Raw_Data_Transaksi!$D$1:$D$1001,,0)</f>
        <v>PRD-115</v>
      </c>
      <c r="B683" t="str">
        <f>_xlfn.XLOOKUP(C683,Raw_Data_Transaksi!$A$1:$A$1001,Raw_Data_Transaksi!$C$1:$C$1001,,0)</f>
        <v>SLS-01</v>
      </c>
      <c r="C683" s="6" t="s">
        <v>767</v>
      </c>
      <c r="D683" s="7">
        <v>45786</v>
      </c>
      <c r="E683" s="10" t="str">
        <f>VLOOKUP(B683,Master_Sales!$A$1:$D$9,2,FALSE)</f>
        <v>Andi Pratama</v>
      </c>
      <c r="F683" s="10" t="str">
        <f>INDEX(Master_Sales!$D$1:$D$9,MATCH(Lembar_Kerja_Analisis!B683,Master_Sales!$A$1:$A$9,0))</f>
        <v>Barat</v>
      </c>
      <c r="G683" s="10" t="str">
        <f>INDEX(Master_Sales!$C$1:$C$9,MATCH(Lembar_Kerja_Analisis!B683,Master_Sales!$A$1:$A$9,0))</f>
        <v>Jakarta</v>
      </c>
      <c r="H683" s="10" t="str">
        <f>VLOOKUP(A683,Master_Produk!$A$1:$E$16,2,FALSE)</f>
        <v>Set Pisau Dapur Stainless</v>
      </c>
      <c r="I683" s="10" t="str">
        <f>INDEX(Master_Produk!$C$1:$C$16,MATCH(Lembar_Kerja_Analisis!A683,Master_Produk!$A$1:$A$16,0))</f>
        <v>Peralatan Rumah</v>
      </c>
      <c r="J683" s="19">
        <f>_xlfn.XLOOKUP(A683,Master_Produk!$A$1:$A$16,Master_Produk!$D$1:$D$16,,0)</f>
        <v>165000</v>
      </c>
      <c r="K683" s="19">
        <f>INDEX(Master_Produk!$E$1:$E$16,MATCH(Lembar_Kerja_Analisis!A683,Master_Produk!$A$1:$A$16,0))</f>
        <v>105000</v>
      </c>
      <c r="L683" s="8">
        <v>8</v>
      </c>
      <c r="M683" s="19">
        <f t="shared" si="50"/>
        <v>1320000</v>
      </c>
      <c r="N683" s="9">
        <v>0.15</v>
      </c>
      <c r="O683" s="19">
        <f t="shared" si="51"/>
        <v>198000</v>
      </c>
      <c r="P683" s="19">
        <f t="shared" si="52"/>
        <v>1122000</v>
      </c>
      <c r="Q683" s="19">
        <f t="shared" si="53"/>
        <v>840000</v>
      </c>
      <c r="R683" s="19">
        <f t="shared" si="54"/>
        <v>282000</v>
      </c>
    </row>
    <row r="684" spans="1:18" x14ac:dyDescent="0.25">
      <c r="A684" t="str">
        <f>_xlfn.XLOOKUP(C684,Raw_Data_Transaksi!$A$1:$A$1001,Raw_Data_Transaksi!$D$1:$D$1001,,0)</f>
        <v>PRD-110</v>
      </c>
      <c r="B684" t="str">
        <f>_xlfn.XLOOKUP(C684,Raw_Data_Transaksi!$A$1:$A$1001,Raw_Data_Transaksi!$C$1:$C$1001,,0)</f>
        <v>SLS-03</v>
      </c>
      <c r="C684" s="6" t="s">
        <v>768</v>
      </c>
      <c r="D684" s="7">
        <v>45755</v>
      </c>
      <c r="E684" s="10" t="str">
        <f>VLOOKUP(B684,Master_Sales!$A$1:$D$9,2,FALSE)</f>
        <v>Citra Lestari</v>
      </c>
      <c r="F684" s="10" t="str">
        <f>INDEX(Master_Sales!$D$1:$D$9,MATCH(Lembar_Kerja_Analisis!B684,Master_Sales!$A$1:$A$9,0))</f>
        <v>Barat</v>
      </c>
      <c r="G684" s="10" t="str">
        <f>INDEX(Master_Sales!$C$1:$C$9,MATCH(Lembar_Kerja_Analisis!B684,Master_Sales!$A$1:$A$9,0))</f>
        <v>Bandung</v>
      </c>
      <c r="H684" s="10" t="str">
        <f>VLOOKUP(A684,Master_Produk!$A$1:$E$16,2,FALSE)</f>
        <v>Minyak Goreng Sawit 2L</v>
      </c>
      <c r="I684" s="10" t="str">
        <f>INDEX(Master_Produk!$C$1:$C$16,MATCH(Lembar_Kerja_Analisis!A684,Master_Produk!$A$1:$A$16,0))</f>
        <v>F&amp;B</v>
      </c>
      <c r="J684" s="19">
        <f>_xlfn.XLOOKUP(A684,Master_Produk!$A$1:$A$16,Master_Produk!$D$1:$D$16,,0)</f>
        <v>36000</v>
      </c>
      <c r="K684" s="19">
        <f>INDEX(Master_Produk!$E$1:$E$16,MATCH(Lembar_Kerja_Analisis!A684,Master_Produk!$A$1:$A$16,0))</f>
        <v>31000</v>
      </c>
      <c r="L684" s="8">
        <v>14</v>
      </c>
      <c r="M684" s="19">
        <f t="shared" si="50"/>
        <v>504000</v>
      </c>
      <c r="N684" s="9">
        <v>0.1</v>
      </c>
      <c r="O684" s="19">
        <f t="shared" si="51"/>
        <v>50400</v>
      </c>
      <c r="P684" s="19">
        <f t="shared" si="52"/>
        <v>453600</v>
      </c>
      <c r="Q684" s="19">
        <f t="shared" si="53"/>
        <v>434000</v>
      </c>
      <c r="R684" s="19">
        <f t="shared" si="54"/>
        <v>19600</v>
      </c>
    </row>
    <row r="685" spans="1:18" x14ac:dyDescent="0.25">
      <c r="A685" t="str">
        <f>_xlfn.XLOOKUP(C685,Raw_Data_Transaksi!$A$1:$A$1001,Raw_Data_Transaksi!$D$1:$D$1001,,0)</f>
        <v>PRD-109</v>
      </c>
      <c r="B685" t="str">
        <f>_xlfn.XLOOKUP(C685,Raw_Data_Transaksi!$A$1:$A$1001,Raw_Data_Transaksi!$C$1:$C$1001,,0)</f>
        <v>SLS-03</v>
      </c>
      <c r="C685" s="6" t="s">
        <v>769</v>
      </c>
      <c r="D685" s="7">
        <v>45693</v>
      </c>
      <c r="E685" s="10" t="str">
        <f>VLOOKUP(B685,Master_Sales!$A$1:$D$9,2,FALSE)</f>
        <v>Citra Lestari</v>
      </c>
      <c r="F685" s="10" t="str">
        <f>INDEX(Master_Sales!$D$1:$D$9,MATCH(Lembar_Kerja_Analisis!B685,Master_Sales!$A$1:$A$9,0))</f>
        <v>Barat</v>
      </c>
      <c r="G685" s="10" t="str">
        <f>INDEX(Master_Sales!$C$1:$C$9,MATCH(Lembar_Kerja_Analisis!B685,Master_Sales!$A$1:$A$9,0))</f>
        <v>Bandung</v>
      </c>
      <c r="H685" s="10" t="str">
        <f>VLOOKUP(A685,Master_Produk!$A$1:$E$16,2,FALSE)</f>
        <v>Kopi Arabika Gayo 250g</v>
      </c>
      <c r="I685" s="10" t="str">
        <f>INDEX(Master_Produk!$C$1:$C$16,MATCH(Lembar_Kerja_Analisis!A685,Master_Produk!$A$1:$A$16,0))</f>
        <v>F&amp;B</v>
      </c>
      <c r="J685" s="19">
        <f>_xlfn.XLOOKUP(A685,Master_Produk!$A$1:$A$16,Master_Produk!$D$1:$D$16,,0)</f>
        <v>85000</v>
      </c>
      <c r="K685" s="19">
        <f>INDEX(Master_Produk!$E$1:$E$16,MATCH(Lembar_Kerja_Analisis!A685,Master_Produk!$A$1:$A$16,0))</f>
        <v>55000</v>
      </c>
      <c r="L685" s="8">
        <v>12</v>
      </c>
      <c r="M685" s="19">
        <f t="shared" si="50"/>
        <v>1020000</v>
      </c>
      <c r="N685" s="9">
        <v>0.1</v>
      </c>
      <c r="O685" s="19">
        <f t="shared" si="51"/>
        <v>102000</v>
      </c>
      <c r="P685" s="19">
        <f t="shared" si="52"/>
        <v>918000</v>
      </c>
      <c r="Q685" s="19">
        <f t="shared" si="53"/>
        <v>660000</v>
      </c>
      <c r="R685" s="19">
        <f t="shared" si="54"/>
        <v>258000</v>
      </c>
    </row>
    <row r="686" spans="1:18" x14ac:dyDescent="0.25">
      <c r="A686" t="str">
        <f>_xlfn.XLOOKUP(C686,Raw_Data_Transaksi!$A$1:$A$1001,Raw_Data_Transaksi!$D$1:$D$1001,,0)</f>
        <v>PRD-109</v>
      </c>
      <c r="B686" t="str">
        <f>_xlfn.XLOOKUP(C686,Raw_Data_Transaksi!$A$1:$A$1001,Raw_Data_Transaksi!$C$1:$C$1001,,0)</f>
        <v>SLS-07</v>
      </c>
      <c r="C686" s="6" t="s">
        <v>770</v>
      </c>
      <c r="D686" s="7">
        <v>45984</v>
      </c>
      <c r="E686" s="10" t="str">
        <f>VLOOKUP(B686,Master_Sales!$A$1:$D$9,2,FALSE)</f>
        <v>Gita Permata</v>
      </c>
      <c r="F686" s="10" t="str">
        <f>INDEX(Master_Sales!$D$1:$D$9,MATCH(Lembar_Kerja_Analisis!B686,Master_Sales!$A$1:$A$9,0))</f>
        <v>Tengah</v>
      </c>
      <c r="G686" s="10" t="str">
        <f>INDEX(Master_Sales!$C$1:$C$9,MATCH(Lembar_Kerja_Analisis!B686,Master_Sales!$A$1:$A$9,0))</f>
        <v>Denpasar</v>
      </c>
      <c r="H686" s="10" t="str">
        <f>VLOOKUP(A686,Master_Produk!$A$1:$E$16,2,FALSE)</f>
        <v>Kopi Arabika Gayo 250g</v>
      </c>
      <c r="I686" s="10" t="str">
        <f>INDEX(Master_Produk!$C$1:$C$16,MATCH(Lembar_Kerja_Analisis!A686,Master_Produk!$A$1:$A$16,0))</f>
        <v>F&amp;B</v>
      </c>
      <c r="J686" s="19">
        <f>_xlfn.XLOOKUP(A686,Master_Produk!$A$1:$A$16,Master_Produk!$D$1:$D$16,,0)</f>
        <v>85000</v>
      </c>
      <c r="K686" s="19">
        <f>INDEX(Master_Produk!$E$1:$E$16,MATCH(Lembar_Kerja_Analisis!A686,Master_Produk!$A$1:$A$16,0))</f>
        <v>55000</v>
      </c>
      <c r="L686" s="8">
        <v>8</v>
      </c>
      <c r="M686" s="19">
        <f t="shared" si="50"/>
        <v>680000</v>
      </c>
      <c r="N686" s="9">
        <v>0</v>
      </c>
      <c r="O686" s="19">
        <f t="shared" si="51"/>
        <v>0</v>
      </c>
      <c r="P686" s="19">
        <f t="shared" si="52"/>
        <v>680000</v>
      </c>
      <c r="Q686" s="19">
        <f t="shared" si="53"/>
        <v>440000</v>
      </c>
      <c r="R686" s="19">
        <f t="shared" si="54"/>
        <v>240000</v>
      </c>
    </row>
    <row r="687" spans="1:18" x14ac:dyDescent="0.25">
      <c r="A687" t="str">
        <f>_xlfn.XLOOKUP(C687,Raw_Data_Transaksi!$A$1:$A$1001,Raw_Data_Transaksi!$D$1:$D$1001,,0)</f>
        <v>PRD-112</v>
      </c>
      <c r="B687" t="str">
        <f>_xlfn.XLOOKUP(C687,Raw_Data_Transaksi!$A$1:$A$1001,Raw_Data_Transaksi!$C$1:$C$1001,,0)</f>
        <v>SLS-02</v>
      </c>
      <c r="C687" s="6" t="s">
        <v>771</v>
      </c>
      <c r="D687" s="7">
        <v>45822</v>
      </c>
      <c r="E687" s="10" t="str">
        <f>VLOOKUP(B687,Master_Sales!$A$1:$D$9,2,FALSE)</f>
        <v>Budi Santoso</v>
      </c>
      <c r="F687" s="10" t="str">
        <f>INDEX(Master_Sales!$D$1:$D$9,MATCH(Lembar_Kerja_Analisis!B687,Master_Sales!$A$1:$A$9,0))</f>
        <v>Timur</v>
      </c>
      <c r="G687" s="10" t="str">
        <f>INDEX(Master_Sales!$C$1:$C$9,MATCH(Lembar_Kerja_Analisis!B687,Master_Sales!$A$1:$A$9,0))</f>
        <v>Surabaya</v>
      </c>
      <c r="H687" s="10" t="str">
        <f>VLOOKUP(A687,Master_Produk!$A$1:$E$16,2,FALSE)</f>
        <v>Susu UHT Full Cream 1L</v>
      </c>
      <c r="I687" s="10" t="str">
        <f>INDEX(Master_Produk!$C$1:$C$16,MATCH(Lembar_Kerja_Analisis!A687,Master_Produk!$A$1:$A$16,0))</f>
        <v>F&amp;B</v>
      </c>
      <c r="J687" s="19">
        <f>_xlfn.XLOOKUP(A687,Master_Produk!$A$1:$A$16,Master_Produk!$D$1:$D$16,,0)</f>
        <v>22000</v>
      </c>
      <c r="K687" s="19">
        <f>INDEX(Master_Produk!$E$1:$E$16,MATCH(Lembar_Kerja_Analisis!A687,Master_Produk!$A$1:$A$16,0))</f>
        <v>18000</v>
      </c>
      <c r="L687" s="8">
        <v>20</v>
      </c>
      <c r="M687" s="19">
        <f t="shared" si="50"/>
        <v>440000</v>
      </c>
      <c r="N687" s="9">
        <v>0.15</v>
      </c>
      <c r="O687" s="19">
        <f t="shared" si="51"/>
        <v>66000</v>
      </c>
      <c r="P687" s="19">
        <f t="shared" si="52"/>
        <v>374000</v>
      </c>
      <c r="Q687" s="19">
        <f t="shared" si="53"/>
        <v>360000</v>
      </c>
      <c r="R687" s="19">
        <f t="shared" si="54"/>
        <v>14000</v>
      </c>
    </row>
    <row r="688" spans="1:18" x14ac:dyDescent="0.25">
      <c r="A688" t="str">
        <f>_xlfn.XLOOKUP(C688,Raw_Data_Transaksi!$A$1:$A$1001,Raw_Data_Transaksi!$D$1:$D$1001,,0)</f>
        <v>PRD-103</v>
      </c>
      <c r="B688" t="str">
        <f>_xlfn.XLOOKUP(C688,Raw_Data_Transaksi!$A$1:$A$1001,Raw_Data_Transaksi!$C$1:$C$1001,,0)</f>
        <v>SLS-05</v>
      </c>
      <c r="C688" s="6" t="s">
        <v>772</v>
      </c>
      <c r="D688" s="7">
        <v>45940</v>
      </c>
      <c r="E688" s="10" t="str">
        <f>VLOOKUP(B688,Master_Sales!$A$1:$D$9,2,FALSE)</f>
        <v>Eko Prasetyo</v>
      </c>
      <c r="F688" s="10" t="str">
        <f>INDEX(Master_Sales!$D$1:$D$9,MATCH(Lembar_Kerja_Analisis!B688,Master_Sales!$A$1:$A$9,0))</f>
        <v>Tengah</v>
      </c>
      <c r="G688" s="10" t="str">
        <f>INDEX(Master_Sales!$C$1:$C$9,MATCH(Lembar_Kerja_Analisis!B688,Master_Sales!$A$1:$A$9,0))</f>
        <v>Semarang</v>
      </c>
      <c r="H688" s="10" t="str">
        <f>VLOOKUP(A688,Master_Produk!$A$1:$E$16,2,FALSE)</f>
        <v>Mechanical Keyboard RGB</v>
      </c>
      <c r="I688" s="10" t="str">
        <f>INDEX(Master_Produk!$C$1:$C$16,MATCH(Lembar_Kerja_Analisis!A688,Master_Produk!$A$1:$A$16,0))</f>
        <v>Elektronik</v>
      </c>
      <c r="J688" s="19">
        <f>_xlfn.XLOOKUP(A688,Master_Produk!$A$1:$A$16,Master_Produk!$D$1:$D$16,,0)</f>
        <v>750000</v>
      </c>
      <c r="K688" s="19">
        <f>INDEX(Master_Produk!$E$1:$E$16,MATCH(Lembar_Kerja_Analisis!A688,Master_Produk!$A$1:$A$16,0))</f>
        <v>520000</v>
      </c>
      <c r="L688" s="8">
        <v>6</v>
      </c>
      <c r="M688" s="19">
        <f t="shared" si="50"/>
        <v>4500000</v>
      </c>
      <c r="N688" s="9">
        <v>0.15</v>
      </c>
      <c r="O688" s="19">
        <f t="shared" si="51"/>
        <v>675000</v>
      </c>
      <c r="P688" s="19">
        <f t="shared" si="52"/>
        <v>3825000</v>
      </c>
      <c r="Q688" s="19">
        <f t="shared" si="53"/>
        <v>3120000</v>
      </c>
      <c r="R688" s="19">
        <f t="shared" si="54"/>
        <v>705000</v>
      </c>
    </row>
    <row r="689" spans="1:18" x14ac:dyDescent="0.25">
      <c r="A689" t="str">
        <f>_xlfn.XLOOKUP(C689,Raw_Data_Transaksi!$A$1:$A$1001,Raw_Data_Transaksi!$D$1:$D$1001,,0)</f>
        <v>PRD-111</v>
      </c>
      <c r="B689" t="str">
        <f>_xlfn.XLOOKUP(C689,Raw_Data_Transaksi!$A$1:$A$1001,Raw_Data_Transaksi!$C$1:$C$1001,,0)</f>
        <v>SLS-02</v>
      </c>
      <c r="C689" s="6" t="s">
        <v>773</v>
      </c>
      <c r="D689" s="7">
        <v>45925</v>
      </c>
      <c r="E689" s="10" t="str">
        <f>VLOOKUP(B689,Master_Sales!$A$1:$D$9,2,FALSE)</f>
        <v>Budi Santoso</v>
      </c>
      <c r="F689" s="10" t="str">
        <f>INDEX(Master_Sales!$D$1:$D$9,MATCH(Lembar_Kerja_Analisis!B689,Master_Sales!$A$1:$A$9,0))</f>
        <v>Timur</v>
      </c>
      <c r="G689" s="10" t="str">
        <f>INDEX(Master_Sales!$C$1:$C$9,MATCH(Lembar_Kerja_Analisis!B689,Master_Sales!$A$1:$A$9,0))</f>
        <v>Surabaya</v>
      </c>
      <c r="H689" s="10" t="str">
        <f>VLOOKUP(A689,Master_Produk!$A$1:$E$16,2,FALSE)</f>
        <v>Beras Premium 5kg</v>
      </c>
      <c r="I689" s="10" t="str">
        <f>INDEX(Master_Produk!$C$1:$C$16,MATCH(Lembar_Kerja_Analisis!A689,Master_Produk!$A$1:$A$16,0))</f>
        <v>F&amp;B</v>
      </c>
      <c r="J689" s="19">
        <f>_xlfn.XLOOKUP(A689,Master_Produk!$A$1:$A$16,Master_Produk!$D$1:$D$16,,0)</f>
        <v>74000</v>
      </c>
      <c r="K689" s="19">
        <f>INDEX(Master_Produk!$E$1:$E$16,MATCH(Lembar_Kerja_Analisis!A689,Master_Produk!$A$1:$A$16,0))</f>
        <v>65000</v>
      </c>
      <c r="L689" s="8">
        <v>29</v>
      </c>
      <c r="M689" s="19">
        <f t="shared" si="50"/>
        <v>2146000</v>
      </c>
      <c r="N689" s="9">
        <v>0.05</v>
      </c>
      <c r="O689" s="19">
        <f t="shared" si="51"/>
        <v>107300</v>
      </c>
      <c r="P689" s="19">
        <f t="shared" si="52"/>
        <v>2038700</v>
      </c>
      <c r="Q689" s="19">
        <f t="shared" si="53"/>
        <v>1885000</v>
      </c>
      <c r="R689" s="19">
        <f t="shared" si="54"/>
        <v>153700</v>
      </c>
    </row>
    <row r="690" spans="1:18" x14ac:dyDescent="0.25">
      <c r="A690" t="str">
        <f>_xlfn.XLOOKUP(C690,Raw_Data_Transaksi!$A$1:$A$1001,Raw_Data_Transaksi!$D$1:$D$1001,,0)</f>
        <v>PRD-108</v>
      </c>
      <c r="B690" t="str">
        <f>_xlfn.XLOOKUP(C690,Raw_Data_Transaksi!$A$1:$A$1001,Raw_Data_Transaksi!$C$1:$C$1001,,0)</f>
        <v>SLS-04</v>
      </c>
      <c r="C690" s="6" t="s">
        <v>774</v>
      </c>
      <c r="D690" s="7">
        <v>45712</v>
      </c>
      <c r="E690" s="10" t="str">
        <f>VLOOKUP(B690,Master_Sales!$A$1:$D$9,2,FALSE)</f>
        <v>Dewi Anggraini</v>
      </c>
      <c r="F690" s="10" t="str">
        <f>INDEX(Master_Sales!$D$1:$D$9,MATCH(Lembar_Kerja_Analisis!B690,Master_Sales!$A$1:$A$9,0))</f>
        <v>Barat</v>
      </c>
      <c r="G690" s="10" t="str">
        <f>INDEX(Master_Sales!$C$1:$C$9,MATCH(Lembar_Kerja_Analisis!B690,Master_Sales!$A$1:$A$9,0))</f>
        <v>Medan</v>
      </c>
      <c r="H690" s="10" t="str">
        <f>VLOOKUP(A690,Master_Produk!$A$1:$E$16,2,FALSE)</f>
        <v>Sepatu Sneakers Pria/Wanita</v>
      </c>
      <c r="I690" s="10" t="str">
        <f>INDEX(Master_Produk!$C$1:$C$16,MATCH(Lembar_Kerja_Analisis!A690,Master_Produk!$A$1:$A$16,0))</f>
        <v>Fashion</v>
      </c>
      <c r="J690" s="19">
        <f>_xlfn.XLOOKUP(A690,Master_Produk!$A$1:$A$16,Master_Produk!$D$1:$D$16,,0)</f>
        <v>450000</v>
      </c>
      <c r="K690" s="19">
        <f>INDEX(Master_Produk!$E$1:$E$16,MATCH(Lembar_Kerja_Analisis!A690,Master_Produk!$A$1:$A$16,0))</f>
        <v>290000</v>
      </c>
      <c r="L690" s="8">
        <v>2</v>
      </c>
      <c r="M690" s="19">
        <f t="shared" si="50"/>
        <v>900000</v>
      </c>
      <c r="N690" s="9">
        <v>0</v>
      </c>
      <c r="O690" s="19">
        <f t="shared" si="51"/>
        <v>0</v>
      </c>
      <c r="P690" s="19">
        <f t="shared" si="52"/>
        <v>900000</v>
      </c>
      <c r="Q690" s="19">
        <f t="shared" si="53"/>
        <v>580000</v>
      </c>
      <c r="R690" s="19">
        <f t="shared" si="54"/>
        <v>320000</v>
      </c>
    </row>
    <row r="691" spans="1:18" x14ac:dyDescent="0.25">
      <c r="A691" t="str">
        <f>_xlfn.XLOOKUP(C691,Raw_Data_Transaksi!$A$1:$A$1001,Raw_Data_Transaksi!$D$1:$D$1001,,0)</f>
        <v>PRD-110</v>
      </c>
      <c r="B691" t="str">
        <f>_xlfn.XLOOKUP(C691,Raw_Data_Transaksi!$A$1:$A$1001,Raw_Data_Transaksi!$C$1:$C$1001,,0)</f>
        <v>SLS-05</v>
      </c>
      <c r="C691" s="6" t="s">
        <v>775</v>
      </c>
      <c r="D691" s="7">
        <v>45927</v>
      </c>
      <c r="E691" s="10" t="str">
        <f>VLOOKUP(B691,Master_Sales!$A$1:$D$9,2,FALSE)</f>
        <v>Eko Prasetyo</v>
      </c>
      <c r="F691" s="10" t="str">
        <f>INDEX(Master_Sales!$D$1:$D$9,MATCH(Lembar_Kerja_Analisis!B691,Master_Sales!$A$1:$A$9,0))</f>
        <v>Tengah</v>
      </c>
      <c r="G691" s="10" t="str">
        <f>INDEX(Master_Sales!$C$1:$C$9,MATCH(Lembar_Kerja_Analisis!B691,Master_Sales!$A$1:$A$9,0))</f>
        <v>Semarang</v>
      </c>
      <c r="H691" s="10" t="str">
        <f>VLOOKUP(A691,Master_Produk!$A$1:$E$16,2,FALSE)</f>
        <v>Minyak Goreng Sawit 2L</v>
      </c>
      <c r="I691" s="10" t="str">
        <f>INDEX(Master_Produk!$C$1:$C$16,MATCH(Lembar_Kerja_Analisis!A691,Master_Produk!$A$1:$A$16,0))</f>
        <v>F&amp;B</v>
      </c>
      <c r="J691" s="19">
        <f>_xlfn.XLOOKUP(A691,Master_Produk!$A$1:$A$16,Master_Produk!$D$1:$D$16,,0)</f>
        <v>36000</v>
      </c>
      <c r="K691" s="19">
        <f>INDEX(Master_Produk!$E$1:$E$16,MATCH(Lembar_Kerja_Analisis!A691,Master_Produk!$A$1:$A$16,0))</f>
        <v>31000</v>
      </c>
      <c r="L691" s="8">
        <v>14</v>
      </c>
      <c r="M691" s="19">
        <f t="shared" si="50"/>
        <v>504000</v>
      </c>
      <c r="N691" s="9">
        <v>0.05</v>
      </c>
      <c r="O691" s="19">
        <f t="shared" si="51"/>
        <v>25200</v>
      </c>
      <c r="P691" s="19">
        <f t="shared" si="52"/>
        <v>478800</v>
      </c>
      <c r="Q691" s="19">
        <f t="shared" si="53"/>
        <v>434000</v>
      </c>
      <c r="R691" s="19">
        <f t="shared" si="54"/>
        <v>44800</v>
      </c>
    </row>
    <row r="692" spans="1:18" x14ac:dyDescent="0.25">
      <c r="A692" t="str">
        <f>_xlfn.XLOOKUP(C692,Raw_Data_Transaksi!$A$1:$A$1001,Raw_Data_Transaksi!$D$1:$D$1001,,0)</f>
        <v>PRD-108</v>
      </c>
      <c r="B692" t="str">
        <f>_xlfn.XLOOKUP(C692,Raw_Data_Transaksi!$A$1:$A$1001,Raw_Data_Transaksi!$C$1:$C$1001,,0)</f>
        <v>SLS-02</v>
      </c>
      <c r="C692" s="6" t="s">
        <v>776</v>
      </c>
      <c r="D692" s="7">
        <v>45993</v>
      </c>
      <c r="E692" s="10" t="str">
        <f>VLOOKUP(B692,Master_Sales!$A$1:$D$9,2,FALSE)</f>
        <v>Budi Santoso</v>
      </c>
      <c r="F692" s="10" t="str">
        <f>INDEX(Master_Sales!$D$1:$D$9,MATCH(Lembar_Kerja_Analisis!B692,Master_Sales!$A$1:$A$9,0))</f>
        <v>Timur</v>
      </c>
      <c r="G692" s="10" t="str">
        <f>INDEX(Master_Sales!$C$1:$C$9,MATCH(Lembar_Kerja_Analisis!B692,Master_Sales!$A$1:$A$9,0))</f>
        <v>Surabaya</v>
      </c>
      <c r="H692" s="10" t="str">
        <f>VLOOKUP(A692,Master_Produk!$A$1:$E$16,2,FALSE)</f>
        <v>Sepatu Sneakers Pria/Wanita</v>
      </c>
      <c r="I692" s="10" t="str">
        <f>INDEX(Master_Produk!$C$1:$C$16,MATCH(Lembar_Kerja_Analisis!A692,Master_Produk!$A$1:$A$16,0))</f>
        <v>Fashion</v>
      </c>
      <c r="J692" s="19">
        <f>_xlfn.XLOOKUP(A692,Master_Produk!$A$1:$A$16,Master_Produk!$D$1:$D$16,,0)</f>
        <v>450000</v>
      </c>
      <c r="K692" s="19">
        <f>INDEX(Master_Produk!$E$1:$E$16,MATCH(Lembar_Kerja_Analisis!A692,Master_Produk!$A$1:$A$16,0))</f>
        <v>290000</v>
      </c>
      <c r="L692" s="8">
        <v>8</v>
      </c>
      <c r="M692" s="19">
        <f t="shared" si="50"/>
        <v>3600000</v>
      </c>
      <c r="N692" s="9">
        <v>0</v>
      </c>
      <c r="O692" s="19">
        <f t="shared" si="51"/>
        <v>0</v>
      </c>
      <c r="P692" s="19">
        <f t="shared" si="52"/>
        <v>3600000</v>
      </c>
      <c r="Q692" s="19">
        <f t="shared" si="53"/>
        <v>2320000</v>
      </c>
      <c r="R692" s="19">
        <f t="shared" si="54"/>
        <v>1280000</v>
      </c>
    </row>
    <row r="693" spans="1:18" x14ac:dyDescent="0.25">
      <c r="A693" t="str">
        <f>_xlfn.XLOOKUP(C693,Raw_Data_Transaksi!$A$1:$A$1001,Raw_Data_Transaksi!$D$1:$D$1001,,0)</f>
        <v>PRD-113</v>
      </c>
      <c r="B693" t="str">
        <f>_xlfn.XLOOKUP(C693,Raw_Data_Transaksi!$A$1:$A$1001,Raw_Data_Transaksi!$C$1:$C$1001,,0)</f>
        <v>SLS-01</v>
      </c>
      <c r="C693" s="6" t="s">
        <v>777</v>
      </c>
      <c r="D693" s="7">
        <v>45846</v>
      </c>
      <c r="E693" s="10" t="str">
        <f>VLOOKUP(B693,Master_Sales!$A$1:$D$9,2,FALSE)</f>
        <v>Andi Pratama</v>
      </c>
      <c r="F693" s="10" t="str">
        <f>INDEX(Master_Sales!$D$1:$D$9,MATCH(Lembar_Kerja_Analisis!B693,Master_Sales!$A$1:$A$9,0))</f>
        <v>Barat</v>
      </c>
      <c r="G693" s="10" t="str">
        <f>INDEX(Master_Sales!$C$1:$C$9,MATCH(Lembar_Kerja_Analisis!B693,Master_Sales!$A$1:$A$9,0))</f>
        <v>Jakarta</v>
      </c>
      <c r="H693" s="10" t="str">
        <f>VLOOKUP(A693,Master_Produk!$A$1:$E$16,2,FALSE)</f>
        <v>Wajan Anti Lengket 28cm</v>
      </c>
      <c r="I693" s="10" t="str">
        <f>INDEX(Master_Produk!$C$1:$C$16,MATCH(Lembar_Kerja_Analisis!A693,Master_Produk!$A$1:$A$16,0))</f>
        <v>Peralatan Rumah</v>
      </c>
      <c r="J693" s="19">
        <f>_xlfn.XLOOKUP(A693,Master_Produk!$A$1:$A$16,Master_Produk!$D$1:$D$16,,0)</f>
        <v>210000</v>
      </c>
      <c r="K693" s="19">
        <f>INDEX(Master_Produk!$E$1:$E$16,MATCH(Lembar_Kerja_Analisis!A693,Master_Produk!$A$1:$A$16,0))</f>
        <v>140000</v>
      </c>
      <c r="L693" s="8">
        <v>10</v>
      </c>
      <c r="M693" s="19">
        <f t="shared" si="50"/>
        <v>2100000</v>
      </c>
      <c r="N693" s="9">
        <v>0.1</v>
      </c>
      <c r="O693" s="19">
        <f t="shared" si="51"/>
        <v>210000</v>
      </c>
      <c r="P693" s="19">
        <f t="shared" si="52"/>
        <v>1890000</v>
      </c>
      <c r="Q693" s="19">
        <f t="shared" si="53"/>
        <v>1400000</v>
      </c>
      <c r="R693" s="19">
        <f t="shared" si="54"/>
        <v>490000</v>
      </c>
    </row>
    <row r="694" spans="1:18" x14ac:dyDescent="0.25">
      <c r="A694" t="str">
        <f>_xlfn.XLOOKUP(C694,Raw_Data_Transaksi!$A$1:$A$1001,Raw_Data_Transaksi!$D$1:$D$1001,,0)</f>
        <v>PRD-102</v>
      </c>
      <c r="B694" t="str">
        <f>_xlfn.XLOOKUP(C694,Raw_Data_Transaksi!$A$1:$A$1001,Raw_Data_Transaksi!$C$1:$C$1001,,0)</f>
        <v>SLS-04</v>
      </c>
      <c r="C694" s="6" t="s">
        <v>778</v>
      </c>
      <c r="D694" s="7">
        <v>45813</v>
      </c>
      <c r="E694" s="10" t="str">
        <f>VLOOKUP(B694,Master_Sales!$A$1:$D$9,2,FALSE)</f>
        <v>Dewi Anggraini</v>
      </c>
      <c r="F694" s="10" t="str">
        <f>INDEX(Master_Sales!$D$1:$D$9,MATCH(Lembar_Kerja_Analisis!B694,Master_Sales!$A$1:$A$9,0))</f>
        <v>Barat</v>
      </c>
      <c r="G694" s="10" t="str">
        <f>INDEX(Master_Sales!$C$1:$C$9,MATCH(Lembar_Kerja_Analisis!B694,Master_Sales!$A$1:$A$9,0))</f>
        <v>Medan</v>
      </c>
      <c r="H694" s="10" t="str">
        <f>VLOOKUP(A694,Master_Produk!$A$1:$E$16,2,FALSE)</f>
        <v>Wireless Mouse Ergonomic</v>
      </c>
      <c r="I694" s="10" t="str">
        <f>INDEX(Master_Produk!$C$1:$C$16,MATCH(Lembar_Kerja_Analisis!A694,Master_Produk!$A$1:$A$16,0))</f>
        <v>Elektronik</v>
      </c>
      <c r="J694" s="19">
        <f>_xlfn.XLOOKUP(A694,Master_Produk!$A$1:$A$16,Master_Produk!$D$1:$D$16,,0)</f>
        <v>250000</v>
      </c>
      <c r="K694" s="19">
        <f>INDEX(Master_Produk!$E$1:$E$16,MATCH(Lembar_Kerja_Analisis!A694,Master_Produk!$A$1:$A$16,0))</f>
        <v>160000</v>
      </c>
      <c r="L694" s="8">
        <v>9</v>
      </c>
      <c r="M694" s="19">
        <f t="shared" si="50"/>
        <v>2250000</v>
      </c>
      <c r="N694" s="9">
        <v>0</v>
      </c>
      <c r="O694" s="19">
        <f t="shared" si="51"/>
        <v>0</v>
      </c>
      <c r="P694" s="19">
        <f t="shared" si="52"/>
        <v>2250000</v>
      </c>
      <c r="Q694" s="19">
        <f t="shared" si="53"/>
        <v>1440000</v>
      </c>
      <c r="R694" s="19">
        <f t="shared" si="54"/>
        <v>810000</v>
      </c>
    </row>
    <row r="695" spans="1:18" x14ac:dyDescent="0.25">
      <c r="A695" t="str">
        <f>_xlfn.XLOOKUP(C695,Raw_Data_Transaksi!$A$1:$A$1001,Raw_Data_Transaksi!$D$1:$D$1001,,0)</f>
        <v>PRD-107</v>
      </c>
      <c r="B695" t="str">
        <f>_xlfn.XLOOKUP(C695,Raw_Data_Transaksi!$A$1:$A$1001,Raw_Data_Transaksi!$C$1:$C$1001,,0)</f>
        <v>SLS-04</v>
      </c>
      <c r="C695" s="6" t="s">
        <v>779</v>
      </c>
      <c r="D695" s="7">
        <v>45930</v>
      </c>
      <c r="E695" s="10" t="str">
        <f>VLOOKUP(B695,Master_Sales!$A$1:$D$9,2,FALSE)</f>
        <v>Dewi Anggraini</v>
      </c>
      <c r="F695" s="10" t="str">
        <f>INDEX(Master_Sales!$D$1:$D$9,MATCH(Lembar_Kerja_Analisis!B695,Master_Sales!$A$1:$A$9,0))</f>
        <v>Barat</v>
      </c>
      <c r="G695" s="10" t="str">
        <f>INDEX(Master_Sales!$C$1:$C$9,MATCH(Lembar_Kerja_Analisis!B695,Master_Sales!$A$1:$A$9,0))</f>
        <v>Medan</v>
      </c>
      <c r="H695" s="10" t="str">
        <f>VLOOKUP(A695,Master_Produk!$A$1:$E$16,2,FALSE)</f>
        <v>Jaket Hoodie Casual</v>
      </c>
      <c r="I695" s="10" t="str">
        <f>INDEX(Master_Produk!$C$1:$C$16,MATCH(Lembar_Kerja_Analisis!A695,Master_Produk!$A$1:$A$16,0))</f>
        <v>Fashion</v>
      </c>
      <c r="J695" s="19">
        <f>_xlfn.XLOOKUP(A695,Master_Produk!$A$1:$A$16,Master_Produk!$D$1:$D$16,,0)</f>
        <v>350000</v>
      </c>
      <c r="K695" s="19">
        <f>INDEX(Master_Produk!$E$1:$E$16,MATCH(Lembar_Kerja_Analisis!A695,Master_Produk!$A$1:$A$16,0))</f>
        <v>220000</v>
      </c>
      <c r="L695" s="8">
        <v>4</v>
      </c>
      <c r="M695" s="19">
        <f t="shared" si="50"/>
        <v>1400000</v>
      </c>
      <c r="N695" s="9">
        <v>0.2</v>
      </c>
      <c r="O695" s="19">
        <f t="shared" si="51"/>
        <v>280000</v>
      </c>
      <c r="P695" s="19">
        <f t="shared" si="52"/>
        <v>1120000</v>
      </c>
      <c r="Q695" s="19">
        <f t="shared" si="53"/>
        <v>880000</v>
      </c>
      <c r="R695" s="19">
        <f t="shared" si="54"/>
        <v>240000</v>
      </c>
    </row>
    <row r="696" spans="1:18" x14ac:dyDescent="0.25">
      <c r="A696" t="str">
        <f>_xlfn.XLOOKUP(C696,Raw_Data_Transaksi!$A$1:$A$1001,Raw_Data_Transaksi!$D$1:$D$1001,,0)</f>
        <v>PRD-112</v>
      </c>
      <c r="B696" t="str">
        <f>_xlfn.XLOOKUP(C696,Raw_Data_Transaksi!$A$1:$A$1001,Raw_Data_Transaksi!$C$1:$C$1001,,0)</f>
        <v>SLS-07</v>
      </c>
      <c r="C696" s="6" t="s">
        <v>780</v>
      </c>
      <c r="D696" s="7">
        <v>45943</v>
      </c>
      <c r="E696" s="10" t="str">
        <f>VLOOKUP(B696,Master_Sales!$A$1:$D$9,2,FALSE)</f>
        <v>Gita Permata</v>
      </c>
      <c r="F696" s="10" t="str">
        <f>INDEX(Master_Sales!$D$1:$D$9,MATCH(Lembar_Kerja_Analisis!B696,Master_Sales!$A$1:$A$9,0))</f>
        <v>Tengah</v>
      </c>
      <c r="G696" s="10" t="str">
        <f>INDEX(Master_Sales!$C$1:$C$9,MATCH(Lembar_Kerja_Analisis!B696,Master_Sales!$A$1:$A$9,0))</f>
        <v>Denpasar</v>
      </c>
      <c r="H696" s="10" t="str">
        <f>VLOOKUP(A696,Master_Produk!$A$1:$E$16,2,FALSE)</f>
        <v>Susu UHT Full Cream 1L</v>
      </c>
      <c r="I696" s="10" t="str">
        <f>INDEX(Master_Produk!$C$1:$C$16,MATCH(Lembar_Kerja_Analisis!A696,Master_Produk!$A$1:$A$16,0))</f>
        <v>F&amp;B</v>
      </c>
      <c r="J696" s="19">
        <f>_xlfn.XLOOKUP(A696,Master_Produk!$A$1:$A$16,Master_Produk!$D$1:$D$16,,0)</f>
        <v>22000</v>
      </c>
      <c r="K696" s="19">
        <f>INDEX(Master_Produk!$E$1:$E$16,MATCH(Lembar_Kerja_Analisis!A696,Master_Produk!$A$1:$A$16,0))</f>
        <v>18000</v>
      </c>
      <c r="L696" s="8">
        <v>6</v>
      </c>
      <c r="M696" s="19">
        <f t="shared" si="50"/>
        <v>132000</v>
      </c>
      <c r="N696" s="9">
        <v>0.2</v>
      </c>
      <c r="O696" s="19">
        <f t="shared" si="51"/>
        <v>26400</v>
      </c>
      <c r="P696" s="19">
        <f t="shared" si="52"/>
        <v>105600</v>
      </c>
      <c r="Q696" s="19">
        <f t="shared" si="53"/>
        <v>108000</v>
      </c>
      <c r="R696" s="19">
        <f t="shared" si="54"/>
        <v>-2400</v>
      </c>
    </row>
    <row r="697" spans="1:18" x14ac:dyDescent="0.25">
      <c r="A697" t="str">
        <f>_xlfn.XLOOKUP(C697,Raw_Data_Transaksi!$A$1:$A$1001,Raw_Data_Transaksi!$D$1:$D$1001,,0)</f>
        <v>PRD-111</v>
      </c>
      <c r="B697" t="str">
        <f>_xlfn.XLOOKUP(C697,Raw_Data_Transaksi!$A$1:$A$1001,Raw_Data_Transaksi!$C$1:$C$1001,,0)</f>
        <v>SLS-07</v>
      </c>
      <c r="C697" s="6" t="s">
        <v>781</v>
      </c>
      <c r="D697" s="7">
        <v>46017</v>
      </c>
      <c r="E697" s="10" t="str">
        <f>VLOOKUP(B697,Master_Sales!$A$1:$D$9,2,FALSE)</f>
        <v>Gita Permata</v>
      </c>
      <c r="F697" s="10" t="str">
        <f>INDEX(Master_Sales!$D$1:$D$9,MATCH(Lembar_Kerja_Analisis!B697,Master_Sales!$A$1:$A$9,0))</f>
        <v>Tengah</v>
      </c>
      <c r="G697" s="10" t="str">
        <f>INDEX(Master_Sales!$C$1:$C$9,MATCH(Lembar_Kerja_Analisis!B697,Master_Sales!$A$1:$A$9,0))</f>
        <v>Denpasar</v>
      </c>
      <c r="H697" s="10" t="str">
        <f>VLOOKUP(A697,Master_Produk!$A$1:$E$16,2,FALSE)</f>
        <v>Beras Premium 5kg</v>
      </c>
      <c r="I697" s="10" t="str">
        <f>INDEX(Master_Produk!$C$1:$C$16,MATCH(Lembar_Kerja_Analisis!A697,Master_Produk!$A$1:$A$16,0))</f>
        <v>F&amp;B</v>
      </c>
      <c r="J697" s="19">
        <f>_xlfn.XLOOKUP(A697,Master_Produk!$A$1:$A$16,Master_Produk!$D$1:$D$16,,0)</f>
        <v>74000</v>
      </c>
      <c r="K697" s="19">
        <f>INDEX(Master_Produk!$E$1:$E$16,MATCH(Lembar_Kerja_Analisis!A697,Master_Produk!$A$1:$A$16,0))</f>
        <v>65000</v>
      </c>
      <c r="L697" s="8">
        <v>8</v>
      </c>
      <c r="M697" s="19">
        <f t="shared" si="50"/>
        <v>592000</v>
      </c>
      <c r="N697" s="9">
        <v>0.05</v>
      </c>
      <c r="O697" s="19">
        <f t="shared" si="51"/>
        <v>29600</v>
      </c>
      <c r="P697" s="19">
        <f t="shared" si="52"/>
        <v>562400</v>
      </c>
      <c r="Q697" s="19">
        <f t="shared" si="53"/>
        <v>520000</v>
      </c>
      <c r="R697" s="19">
        <f t="shared" si="54"/>
        <v>42400</v>
      </c>
    </row>
    <row r="698" spans="1:18" x14ac:dyDescent="0.25">
      <c r="A698" t="str">
        <f>_xlfn.XLOOKUP(C698,Raw_Data_Transaksi!$A$1:$A$1001,Raw_Data_Transaksi!$D$1:$D$1001,,0)</f>
        <v>PRD-103</v>
      </c>
      <c r="B698" t="str">
        <f>_xlfn.XLOOKUP(C698,Raw_Data_Transaksi!$A$1:$A$1001,Raw_Data_Transaksi!$C$1:$C$1001,,0)</f>
        <v>SLS-08</v>
      </c>
      <c r="C698" s="6" t="s">
        <v>782</v>
      </c>
      <c r="D698" s="7">
        <v>45994</v>
      </c>
      <c r="E698" s="10" t="str">
        <f>VLOOKUP(B698,Master_Sales!$A$1:$D$9,2,FALSE)</f>
        <v>Hendra Wijaya</v>
      </c>
      <c r="F698" s="10" t="str">
        <f>INDEX(Master_Sales!$D$1:$D$9,MATCH(Lembar_Kerja_Analisis!B698,Master_Sales!$A$1:$A$9,0))</f>
        <v>Tengah</v>
      </c>
      <c r="G698" s="10" t="str">
        <f>INDEX(Master_Sales!$C$1:$C$9,MATCH(Lembar_Kerja_Analisis!B698,Master_Sales!$A$1:$A$9,0))</f>
        <v>Yogyakarta</v>
      </c>
      <c r="H698" s="10" t="str">
        <f>VLOOKUP(A698,Master_Produk!$A$1:$E$16,2,FALSE)</f>
        <v>Mechanical Keyboard RGB</v>
      </c>
      <c r="I698" s="10" t="str">
        <f>INDEX(Master_Produk!$C$1:$C$16,MATCH(Lembar_Kerja_Analisis!A698,Master_Produk!$A$1:$A$16,0))</f>
        <v>Elektronik</v>
      </c>
      <c r="J698" s="19">
        <f>_xlfn.XLOOKUP(A698,Master_Produk!$A$1:$A$16,Master_Produk!$D$1:$D$16,,0)</f>
        <v>750000</v>
      </c>
      <c r="K698" s="19">
        <f>INDEX(Master_Produk!$E$1:$E$16,MATCH(Lembar_Kerja_Analisis!A698,Master_Produk!$A$1:$A$16,0))</f>
        <v>520000</v>
      </c>
      <c r="L698" s="8">
        <v>6</v>
      </c>
      <c r="M698" s="19">
        <f t="shared" si="50"/>
        <v>4500000</v>
      </c>
      <c r="N698" s="9">
        <v>0.1</v>
      </c>
      <c r="O698" s="19">
        <f t="shared" si="51"/>
        <v>450000</v>
      </c>
      <c r="P698" s="19">
        <f t="shared" si="52"/>
        <v>4050000</v>
      </c>
      <c r="Q698" s="19">
        <f t="shared" si="53"/>
        <v>3120000</v>
      </c>
      <c r="R698" s="19">
        <f t="shared" si="54"/>
        <v>930000</v>
      </c>
    </row>
    <row r="699" spans="1:18" x14ac:dyDescent="0.25">
      <c r="A699" t="str">
        <f>_xlfn.XLOOKUP(C699,Raw_Data_Transaksi!$A$1:$A$1001,Raw_Data_Transaksi!$D$1:$D$1001,,0)</f>
        <v>PRD-107</v>
      </c>
      <c r="B699" t="str">
        <f>_xlfn.XLOOKUP(C699,Raw_Data_Transaksi!$A$1:$A$1001,Raw_Data_Transaksi!$C$1:$C$1001,,0)</f>
        <v>SLS-06</v>
      </c>
      <c r="C699" s="6" t="s">
        <v>783</v>
      </c>
      <c r="D699" s="7">
        <v>45982</v>
      </c>
      <c r="E699" s="10" t="str">
        <f>VLOOKUP(B699,Master_Sales!$A$1:$D$9,2,FALSE)</f>
        <v>Fajar Nugraha</v>
      </c>
      <c r="F699" s="10" t="str">
        <f>INDEX(Master_Sales!$D$1:$D$9,MATCH(Lembar_Kerja_Analisis!B699,Master_Sales!$A$1:$A$9,0))</f>
        <v>Timur</v>
      </c>
      <c r="G699" s="10" t="str">
        <f>INDEX(Master_Sales!$C$1:$C$9,MATCH(Lembar_Kerja_Analisis!B699,Master_Sales!$A$1:$A$9,0))</f>
        <v>Makassar</v>
      </c>
      <c r="H699" s="10" t="str">
        <f>VLOOKUP(A699,Master_Produk!$A$1:$E$16,2,FALSE)</f>
        <v>Jaket Hoodie Casual</v>
      </c>
      <c r="I699" s="10" t="str">
        <f>INDEX(Master_Produk!$C$1:$C$16,MATCH(Lembar_Kerja_Analisis!A699,Master_Produk!$A$1:$A$16,0))</f>
        <v>Fashion</v>
      </c>
      <c r="J699" s="19">
        <f>_xlfn.XLOOKUP(A699,Master_Produk!$A$1:$A$16,Master_Produk!$D$1:$D$16,,0)</f>
        <v>350000</v>
      </c>
      <c r="K699" s="19">
        <f>INDEX(Master_Produk!$E$1:$E$16,MATCH(Lembar_Kerja_Analisis!A699,Master_Produk!$A$1:$A$16,0))</f>
        <v>220000</v>
      </c>
      <c r="L699" s="8">
        <v>10</v>
      </c>
      <c r="M699" s="19">
        <f t="shared" si="50"/>
        <v>3500000</v>
      </c>
      <c r="N699" s="9">
        <v>0.05</v>
      </c>
      <c r="O699" s="19">
        <f t="shared" si="51"/>
        <v>175000</v>
      </c>
      <c r="P699" s="19">
        <f t="shared" si="52"/>
        <v>3325000</v>
      </c>
      <c r="Q699" s="19">
        <f t="shared" si="53"/>
        <v>2200000</v>
      </c>
      <c r="R699" s="19">
        <f t="shared" si="54"/>
        <v>1125000</v>
      </c>
    </row>
    <row r="700" spans="1:18" x14ac:dyDescent="0.25">
      <c r="A700" t="str">
        <f>_xlfn.XLOOKUP(C700,Raw_Data_Transaksi!$A$1:$A$1001,Raw_Data_Transaksi!$D$1:$D$1001,,0)</f>
        <v>PRD-108</v>
      </c>
      <c r="B700" t="str">
        <f>_xlfn.XLOOKUP(C700,Raw_Data_Transaksi!$A$1:$A$1001,Raw_Data_Transaksi!$C$1:$C$1001,,0)</f>
        <v>SLS-08</v>
      </c>
      <c r="C700" s="6" t="s">
        <v>784</v>
      </c>
      <c r="D700" s="7">
        <v>45842</v>
      </c>
      <c r="E700" s="10" t="str">
        <f>VLOOKUP(B700,Master_Sales!$A$1:$D$9,2,FALSE)</f>
        <v>Hendra Wijaya</v>
      </c>
      <c r="F700" s="10" t="str">
        <f>INDEX(Master_Sales!$D$1:$D$9,MATCH(Lembar_Kerja_Analisis!B700,Master_Sales!$A$1:$A$9,0))</f>
        <v>Tengah</v>
      </c>
      <c r="G700" s="10" t="str">
        <f>INDEX(Master_Sales!$C$1:$C$9,MATCH(Lembar_Kerja_Analisis!B700,Master_Sales!$A$1:$A$9,0))</f>
        <v>Yogyakarta</v>
      </c>
      <c r="H700" s="10" t="str">
        <f>VLOOKUP(A700,Master_Produk!$A$1:$E$16,2,FALSE)</f>
        <v>Sepatu Sneakers Pria/Wanita</v>
      </c>
      <c r="I700" s="10" t="str">
        <f>INDEX(Master_Produk!$C$1:$C$16,MATCH(Lembar_Kerja_Analisis!A700,Master_Produk!$A$1:$A$16,0))</f>
        <v>Fashion</v>
      </c>
      <c r="J700" s="19">
        <f>_xlfn.XLOOKUP(A700,Master_Produk!$A$1:$A$16,Master_Produk!$D$1:$D$16,,0)</f>
        <v>450000</v>
      </c>
      <c r="K700" s="19">
        <f>INDEX(Master_Produk!$E$1:$E$16,MATCH(Lembar_Kerja_Analisis!A700,Master_Produk!$A$1:$A$16,0))</f>
        <v>290000</v>
      </c>
      <c r="L700" s="8">
        <v>7</v>
      </c>
      <c r="M700" s="19">
        <f t="shared" si="50"/>
        <v>3150000</v>
      </c>
      <c r="N700" s="9">
        <v>0</v>
      </c>
      <c r="O700" s="19">
        <f t="shared" si="51"/>
        <v>0</v>
      </c>
      <c r="P700" s="19">
        <f t="shared" si="52"/>
        <v>3150000</v>
      </c>
      <c r="Q700" s="19">
        <f t="shared" si="53"/>
        <v>2030000</v>
      </c>
      <c r="R700" s="19">
        <f t="shared" si="54"/>
        <v>1120000</v>
      </c>
    </row>
    <row r="701" spans="1:18" x14ac:dyDescent="0.25">
      <c r="A701" t="str">
        <f>_xlfn.XLOOKUP(C701,Raw_Data_Transaksi!$A$1:$A$1001,Raw_Data_Transaksi!$D$1:$D$1001,,0)</f>
        <v>PRD-103</v>
      </c>
      <c r="B701" t="str">
        <f>_xlfn.XLOOKUP(C701,Raw_Data_Transaksi!$A$1:$A$1001,Raw_Data_Transaksi!$C$1:$C$1001,,0)</f>
        <v>SLS-05</v>
      </c>
      <c r="C701" s="6" t="s">
        <v>785</v>
      </c>
      <c r="D701" s="7">
        <v>45923</v>
      </c>
      <c r="E701" s="10" t="str">
        <f>VLOOKUP(B701,Master_Sales!$A$1:$D$9,2,FALSE)</f>
        <v>Eko Prasetyo</v>
      </c>
      <c r="F701" s="10" t="str">
        <f>INDEX(Master_Sales!$D$1:$D$9,MATCH(Lembar_Kerja_Analisis!B701,Master_Sales!$A$1:$A$9,0))</f>
        <v>Tengah</v>
      </c>
      <c r="G701" s="10" t="str">
        <f>INDEX(Master_Sales!$C$1:$C$9,MATCH(Lembar_Kerja_Analisis!B701,Master_Sales!$A$1:$A$9,0))</f>
        <v>Semarang</v>
      </c>
      <c r="H701" s="10" t="str">
        <f>VLOOKUP(A701,Master_Produk!$A$1:$E$16,2,FALSE)</f>
        <v>Mechanical Keyboard RGB</v>
      </c>
      <c r="I701" s="10" t="str">
        <f>INDEX(Master_Produk!$C$1:$C$16,MATCH(Lembar_Kerja_Analisis!A701,Master_Produk!$A$1:$A$16,0))</f>
        <v>Elektronik</v>
      </c>
      <c r="J701" s="19">
        <f>_xlfn.XLOOKUP(A701,Master_Produk!$A$1:$A$16,Master_Produk!$D$1:$D$16,,0)</f>
        <v>750000</v>
      </c>
      <c r="K701" s="19">
        <f>INDEX(Master_Produk!$E$1:$E$16,MATCH(Lembar_Kerja_Analisis!A701,Master_Produk!$A$1:$A$16,0))</f>
        <v>520000</v>
      </c>
      <c r="L701" s="8">
        <v>1</v>
      </c>
      <c r="M701" s="19">
        <f t="shared" si="50"/>
        <v>750000</v>
      </c>
      <c r="N701" s="9">
        <v>0.1</v>
      </c>
      <c r="O701" s="19">
        <f t="shared" si="51"/>
        <v>75000</v>
      </c>
      <c r="P701" s="19">
        <f t="shared" si="52"/>
        <v>675000</v>
      </c>
      <c r="Q701" s="19">
        <f t="shared" si="53"/>
        <v>520000</v>
      </c>
      <c r="R701" s="19">
        <f t="shared" si="54"/>
        <v>155000</v>
      </c>
    </row>
    <row r="702" spans="1:18" x14ac:dyDescent="0.25">
      <c r="A702" t="str">
        <f>_xlfn.XLOOKUP(C702,Raw_Data_Transaksi!$A$1:$A$1001,Raw_Data_Transaksi!$D$1:$D$1001,,0)</f>
        <v>PRD-113</v>
      </c>
      <c r="B702" t="str">
        <f>_xlfn.XLOOKUP(C702,Raw_Data_Transaksi!$A$1:$A$1001,Raw_Data_Transaksi!$C$1:$C$1001,,0)</f>
        <v>SLS-05</v>
      </c>
      <c r="C702" s="6" t="s">
        <v>786</v>
      </c>
      <c r="D702" s="7">
        <v>45669</v>
      </c>
      <c r="E702" s="10" t="str">
        <f>VLOOKUP(B702,Master_Sales!$A$1:$D$9,2,FALSE)</f>
        <v>Eko Prasetyo</v>
      </c>
      <c r="F702" s="10" t="str">
        <f>INDEX(Master_Sales!$D$1:$D$9,MATCH(Lembar_Kerja_Analisis!B702,Master_Sales!$A$1:$A$9,0))</f>
        <v>Tengah</v>
      </c>
      <c r="G702" s="10" t="str">
        <f>INDEX(Master_Sales!$C$1:$C$9,MATCH(Lembar_Kerja_Analisis!B702,Master_Sales!$A$1:$A$9,0))</f>
        <v>Semarang</v>
      </c>
      <c r="H702" s="10" t="str">
        <f>VLOOKUP(A702,Master_Produk!$A$1:$E$16,2,FALSE)</f>
        <v>Wajan Anti Lengket 28cm</v>
      </c>
      <c r="I702" s="10" t="str">
        <f>INDEX(Master_Produk!$C$1:$C$16,MATCH(Lembar_Kerja_Analisis!A702,Master_Produk!$A$1:$A$16,0))</f>
        <v>Peralatan Rumah</v>
      </c>
      <c r="J702" s="19">
        <f>_xlfn.XLOOKUP(A702,Master_Produk!$A$1:$A$16,Master_Produk!$D$1:$D$16,,0)</f>
        <v>210000</v>
      </c>
      <c r="K702" s="19">
        <f>INDEX(Master_Produk!$E$1:$E$16,MATCH(Lembar_Kerja_Analisis!A702,Master_Produk!$A$1:$A$16,0))</f>
        <v>140000</v>
      </c>
      <c r="L702" s="8">
        <v>9</v>
      </c>
      <c r="M702" s="19">
        <f t="shared" si="50"/>
        <v>1890000</v>
      </c>
      <c r="N702" s="9">
        <v>0.2</v>
      </c>
      <c r="O702" s="19">
        <f t="shared" si="51"/>
        <v>378000</v>
      </c>
      <c r="P702" s="19">
        <f t="shared" si="52"/>
        <v>1512000</v>
      </c>
      <c r="Q702" s="19">
        <f t="shared" si="53"/>
        <v>1260000</v>
      </c>
      <c r="R702" s="19">
        <f t="shared" si="54"/>
        <v>252000</v>
      </c>
    </row>
    <row r="703" spans="1:18" x14ac:dyDescent="0.25">
      <c r="A703" t="str">
        <f>_xlfn.XLOOKUP(C703,Raw_Data_Transaksi!$A$1:$A$1001,Raw_Data_Transaksi!$D$1:$D$1001,,0)</f>
        <v>PRD-106</v>
      </c>
      <c r="B703" t="str">
        <f>_xlfn.XLOOKUP(C703,Raw_Data_Transaksi!$A$1:$A$1001,Raw_Data_Transaksi!$C$1:$C$1001,,0)</f>
        <v>SLS-03</v>
      </c>
      <c r="C703" s="6" t="s">
        <v>787</v>
      </c>
      <c r="D703" s="7">
        <v>45893</v>
      </c>
      <c r="E703" s="10" t="str">
        <f>VLOOKUP(B703,Master_Sales!$A$1:$D$9,2,FALSE)</f>
        <v>Citra Lestari</v>
      </c>
      <c r="F703" s="10" t="str">
        <f>INDEX(Master_Sales!$D$1:$D$9,MATCH(Lembar_Kerja_Analisis!B703,Master_Sales!$A$1:$A$9,0))</f>
        <v>Barat</v>
      </c>
      <c r="G703" s="10" t="str">
        <f>INDEX(Master_Sales!$C$1:$C$9,MATCH(Lembar_Kerja_Analisis!B703,Master_Sales!$A$1:$A$9,0))</f>
        <v>Bandung</v>
      </c>
      <c r="H703" s="10" t="str">
        <f>VLOOKUP(A703,Master_Produk!$A$1:$E$16,2,FALSE)</f>
        <v>Celana Chino Slim Fit</v>
      </c>
      <c r="I703" s="10" t="str">
        <f>INDEX(Master_Produk!$C$1:$C$16,MATCH(Lembar_Kerja_Analisis!A703,Master_Produk!$A$1:$A$16,0))</f>
        <v>Fashion</v>
      </c>
      <c r="J703" s="19">
        <f>_xlfn.XLOOKUP(A703,Master_Produk!$A$1:$A$16,Master_Produk!$D$1:$D$16,,0)</f>
        <v>280000</v>
      </c>
      <c r="K703" s="19">
        <f>INDEX(Master_Produk!$E$1:$E$16,MATCH(Lembar_Kerja_Analisis!A703,Master_Produk!$A$1:$A$16,0))</f>
        <v>175000</v>
      </c>
      <c r="L703" s="8">
        <v>3</v>
      </c>
      <c r="M703" s="19">
        <f t="shared" si="50"/>
        <v>840000</v>
      </c>
      <c r="N703" s="9">
        <v>0.1</v>
      </c>
      <c r="O703" s="19">
        <f t="shared" si="51"/>
        <v>84000</v>
      </c>
      <c r="P703" s="19">
        <f t="shared" si="52"/>
        <v>756000</v>
      </c>
      <c r="Q703" s="19">
        <f t="shared" si="53"/>
        <v>525000</v>
      </c>
      <c r="R703" s="19">
        <f t="shared" si="54"/>
        <v>231000</v>
      </c>
    </row>
    <row r="704" spans="1:18" x14ac:dyDescent="0.25">
      <c r="A704" t="str">
        <f>_xlfn.XLOOKUP(C704,Raw_Data_Transaksi!$A$1:$A$1001,Raw_Data_Transaksi!$D$1:$D$1001,,0)</f>
        <v>PRD-105</v>
      </c>
      <c r="B704" t="str">
        <f>_xlfn.XLOOKUP(C704,Raw_Data_Transaksi!$A$1:$A$1001,Raw_Data_Transaksi!$C$1:$C$1001,,0)</f>
        <v>SLS-05</v>
      </c>
      <c r="C704" s="6" t="s">
        <v>788</v>
      </c>
      <c r="D704" s="7">
        <v>45777</v>
      </c>
      <c r="E704" s="10" t="str">
        <f>VLOOKUP(B704,Master_Sales!$A$1:$D$9,2,FALSE)</f>
        <v>Eko Prasetyo</v>
      </c>
      <c r="F704" s="10" t="str">
        <f>INDEX(Master_Sales!$D$1:$D$9,MATCH(Lembar_Kerja_Analisis!B704,Master_Sales!$A$1:$A$9,0))</f>
        <v>Tengah</v>
      </c>
      <c r="G704" s="10" t="str">
        <f>INDEX(Master_Sales!$C$1:$C$9,MATCH(Lembar_Kerja_Analisis!B704,Master_Sales!$A$1:$A$9,0))</f>
        <v>Semarang</v>
      </c>
      <c r="H704" s="10" t="str">
        <f>VLOOKUP(A704,Master_Produk!$A$1:$E$16,2,FALSE)</f>
        <v>Kemeja Batik Katun Premium</v>
      </c>
      <c r="I704" s="10" t="str">
        <f>INDEX(Master_Produk!$C$1:$C$16,MATCH(Lembar_Kerja_Analisis!A704,Master_Produk!$A$1:$A$16,0))</f>
        <v>Fashion</v>
      </c>
      <c r="J704" s="19">
        <f>_xlfn.XLOOKUP(A704,Master_Produk!$A$1:$A$16,Master_Produk!$D$1:$D$16,,0)</f>
        <v>320000</v>
      </c>
      <c r="K704" s="19">
        <f>INDEX(Master_Produk!$E$1:$E$16,MATCH(Lembar_Kerja_Analisis!A704,Master_Produk!$A$1:$A$16,0))</f>
        <v>190000</v>
      </c>
      <c r="L704" s="8">
        <v>2</v>
      </c>
      <c r="M704" s="19">
        <f t="shared" si="50"/>
        <v>640000</v>
      </c>
      <c r="N704" s="9">
        <v>0.2</v>
      </c>
      <c r="O704" s="19">
        <f t="shared" si="51"/>
        <v>128000</v>
      </c>
      <c r="P704" s="19">
        <f t="shared" si="52"/>
        <v>512000</v>
      </c>
      <c r="Q704" s="19">
        <f t="shared" si="53"/>
        <v>380000</v>
      </c>
      <c r="R704" s="19">
        <f t="shared" si="54"/>
        <v>132000</v>
      </c>
    </row>
    <row r="705" spans="1:18" x14ac:dyDescent="0.25">
      <c r="A705" t="str">
        <f>_xlfn.XLOOKUP(C705,Raw_Data_Transaksi!$A$1:$A$1001,Raw_Data_Transaksi!$D$1:$D$1001,,0)</f>
        <v>PRD-112</v>
      </c>
      <c r="B705" t="str">
        <f>_xlfn.XLOOKUP(C705,Raw_Data_Transaksi!$A$1:$A$1001,Raw_Data_Transaksi!$C$1:$C$1001,,0)</f>
        <v>SLS-06</v>
      </c>
      <c r="C705" s="6" t="s">
        <v>789</v>
      </c>
      <c r="D705" s="7">
        <v>45697</v>
      </c>
      <c r="E705" s="10" t="str">
        <f>VLOOKUP(B705,Master_Sales!$A$1:$D$9,2,FALSE)</f>
        <v>Fajar Nugraha</v>
      </c>
      <c r="F705" s="10" t="str">
        <f>INDEX(Master_Sales!$D$1:$D$9,MATCH(Lembar_Kerja_Analisis!B705,Master_Sales!$A$1:$A$9,0))</f>
        <v>Timur</v>
      </c>
      <c r="G705" s="10" t="str">
        <f>INDEX(Master_Sales!$C$1:$C$9,MATCH(Lembar_Kerja_Analisis!B705,Master_Sales!$A$1:$A$9,0))</f>
        <v>Makassar</v>
      </c>
      <c r="H705" s="10" t="str">
        <f>VLOOKUP(A705,Master_Produk!$A$1:$E$16,2,FALSE)</f>
        <v>Susu UHT Full Cream 1L</v>
      </c>
      <c r="I705" s="10" t="str">
        <f>INDEX(Master_Produk!$C$1:$C$16,MATCH(Lembar_Kerja_Analisis!A705,Master_Produk!$A$1:$A$16,0))</f>
        <v>F&amp;B</v>
      </c>
      <c r="J705" s="19">
        <f>_xlfn.XLOOKUP(A705,Master_Produk!$A$1:$A$16,Master_Produk!$D$1:$D$16,,0)</f>
        <v>22000</v>
      </c>
      <c r="K705" s="19">
        <f>INDEX(Master_Produk!$E$1:$E$16,MATCH(Lembar_Kerja_Analisis!A705,Master_Produk!$A$1:$A$16,0))</f>
        <v>18000</v>
      </c>
      <c r="L705" s="8">
        <v>8</v>
      </c>
      <c r="M705" s="19">
        <f t="shared" si="50"/>
        <v>176000</v>
      </c>
      <c r="N705" s="9">
        <v>0.15</v>
      </c>
      <c r="O705" s="19">
        <f t="shared" si="51"/>
        <v>26400</v>
      </c>
      <c r="P705" s="19">
        <f t="shared" si="52"/>
        <v>149600</v>
      </c>
      <c r="Q705" s="19">
        <f t="shared" si="53"/>
        <v>144000</v>
      </c>
      <c r="R705" s="19">
        <f t="shared" si="54"/>
        <v>5600</v>
      </c>
    </row>
    <row r="706" spans="1:18" x14ac:dyDescent="0.25">
      <c r="A706" t="str">
        <f>_xlfn.XLOOKUP(C706,Raw_Data_Transaksi!$A$1:$A$1001,Raw_Data_Transaksi!$D$1:$D$1001,,0)</f>
        <v>PRD-112</v>
      </c>
      <c r="B706" t="str">
        <f>_xlfn.XLOOKUP(C706,Raw_Data_Transaksi!$A$1:$A$1001,Raw_Data_Transaksi!$C$1:$C$1001,,0)</f>
        <v>SLS-07</v>
      </c>
      <c r="C706" s="6" t="s">
        <v>790</v>
      </c>
      <c r="D706" s="7">
        <v>45677</v>
      </c>
      <c r="E706" s="10" t="str">
        <f>VLOOKUP(B706,Master_Sales!$A$1:$D$9,2,FALSE)</f>
        <v>Gita Permata</v>
      </c>
      <c r="F706" s="10" t="str">
        <f>INDEX(Master_Sales!$D$1:$D$9,MATCH(Lembar_Kerja_Analisis!B706,Master_Sales!$A$1:$A$9,0))</f>
        <v>Tengah</v>
      </c>
      <c r="G706" s="10" t="str">
        <f>INDEX(Master_Sales!$C$1:$C$9,MATCH(Lembar_Kerja_Analisis!B706,Master_Sales!$A$1:$A$9,0))</f>
        <v>Denpasar</v>
      </c>
      <c r="H706" s="10" t="str">
        <f>VLOOKUP(A706,Master_Produk!$A$1:$E$16,2,FALSE)</f>
        <v>Susu UHT Full Cream 1L</v>
      </c>
      <c r="I706" s="10" t="str">
        <f>INDEX(Master_Produk!$C$1:$C$16,MATCH(Lembar_Kerja_Analisis!A706,Master_Produk!$A$1:$A$16,0))</f>
        <v>F&amp;B</v>
      </c>
      <c r="J706" s="19">
        <f>_xlfn.XLOOKUP(A706,Master_Produk!$A$1:$A$16,Master_Produk!$D$1:$D$16,,0)</f>
        <v>22000</v>
      </c>
      <c r="K706" s="19">
        <f>INDEX(Master_Produk!$E$1:$E$16,MATCH(Lembar_Kerja_Analisis!A706,Master_Produk!$A$1:$A$16,0))</f>
        <v>18000</v>
      </c>
      <c r="L706" s="8">
        <v>27</v>
      </c>
      <c r="M706" s="19">
        <f t="shared" si="50"/>
        <v>594000</v>
      </c>
      <c r="N706" s="9">
        <v>0</v>
      </c>
      <c r="O706" s="19">
        <f t="shared" si="51"/>
        <v>0</v>
      </c>
      <c r="P706" s="19">
        <f t="shared" si="52"/>
        <v>594000</v>
      </c>
      <c r="Q706" s="19">
        <f t="shared" si="53"/>
        <v>486000</v>
      </c>
      <c r="R706" s="19">
        <f t="shared" si="54"/>
        <v>108000</v>
      </c>
    </row>
    <row r="707" spans="1:18" x14ac:dyDescent="0.25">
      <c r="A707" t="str">
        <f>_xlfn.XLOOKUP(C707,Raw_Data_Transaksi!$A$1:$A$1001,Raw_Data_Transaksi!$D$1:$D$1001,,0)</f>
        <v>PRD-115</v>
      </c>
      <c r="B707" t="str">
        <f>_xlfn.XLOOKUP(C707,Raw_Data_Transaksi!$A$1:$A$1001,Raw_Data_Transaksi!$C$1:$C$1001,,0)</f>
        <v>SLS-02</v>
      </c>
      <c r="C707" s="6" t="s">
        <v>791</v>
      </c>
      <c r="D707" s="7">
        <v>45871</v>
      </c>
      <c r="E707" s="10" t="str">
        <f>VLOOKUP(B707,Master_Sales!$A$1:$D$9,2,FALSE)</f>
        <v>Budi Santoso</v>
      </c>
      <c r="F707" s="10" t="str">
        <f>INDEX(Master_Sales!$D$1:$D$9,MATCH(Lembar_Kerja_Analisis!B707,Master_Sales!$A$1:$A$9,0))</f>
        <v>Timur</v>
      </c>
      <c r="G707" s="10" t="str">
        <f>INDEX(Master_Sales!$C$1:$C$9,MATCH(Lembar_Kerja_Analisis!B707,Master_Sales!$A$1:$A$9,0))</f>
        <v>Surabaya</v>
      </c>
      <c r="H707" s="10" t="str">
        <f>VLOOKUP(A707,Master_Produk!$A$1:$E$16,2,FALSE)</f>
        <v>Set Pisau Dapur Stainless</v>
      </c>
      <c r="I707" s="10" t="str">
        <f>INDEX(Master_Produk!$C$1:$C$16,MATCH(Lembar_Kerja_Analisis!A707,Master_Produk!$A$1:$A$16,0))</f>
        <v>Peralatan Rumah</v>
      </c>
      <c r="J707" s="19">
        <f>_xlfn.XLOOKUP(A707,Master_Produk!$A$1:$A$16,Master_Produk!$D$1:$D$16,,0)</f>
        <v>165000</v>
      </c>
      <c r="K707" s="19">
        <f>INDEX(Master_Produk!$E$1:$E$16,MATCH(Lembar_Kerja_Analisis!A707,Master_Produk!$A$1:$A$16,0))</f>
        <v>105000</v>
      </c>
      <c r="L707" s="8">
        <v>4</v>
      </c>
      <c r="M707" s="19">
        <f t="shared" ref="M707:M770" si="55">L707*J707</f>
        <v>660000</v>
      </c>
      <c r="N707" s="9">
        <v>0.2</v>
      </c>
      <c r="O707" s="19">
        <f t="shared" ref="O707:O770" si="56">M707*N707</f>
        <v>132000</v>
      </c>
      <c r="P707" s="19">
        <f t="shared" ref="P707:P770" si="57">M707-O707</f>
        <v>528000</v>
      </c>
      <c r="Q707" s="19">
        <f t="shared" ref="Q707:Q770" si="58">L707*K707</f>
        <v>420000</v>
      </c>
      <c r="R707" s="19">
        <f t="shared" ref="R707:R770" si="59">P707-Q707</f>
        <v>108000</v>
      </c>
    </row>
    <row r="708" spans="1:18" x14ac:dyDescent="0.25">
      <c r="A708" t="str">
        <f>_xlfn.XLOOKUP(C708,Raw_Data_Transaksi!$A$1:$A$1001,Raw_Data_Transaksi!$D$1:$D$1001,,0)</f>
        <v>PRD-105</v>
      </c>
      <c r="B708" t="str">
        <f>_xlfn.XLOOKUP(C708,Raw_Data_Transaksi!$A$1:$A$1001,Raw_Data_Transaksi!$C$1:$C$1001,,0)</f>
        <v>SLS-01</v>
      </c>
      <c r="C708" s="6" t="s">
        <v>792</v>
      </c>
      <c r="D708" s="7">
        <v>45685</v>
      </c>
      <c r="E708" s="10" t="str">
        <f>VLOOKUP(B708,Master_Sales!$A$1:$D$9,2,FALSE)</f>
        <v>Andi Pratama</v>
      </c>
      <c r="F708" s="10" t="str">
        <f>INDEX(Master_Sales!$D$1:$D$9,MATCH(Lembar_Kerja_Analisis!B708,Master_Sales!$A$1:$A$9,0))</f>
        <v>Barat</v>
      </c>
      <c r="G708" s="10" t="str">
        <f>INDEX(Master_Sales!$C$1:$C$9,MATCH(Lembar_Kerja_Analisis!B708,Master_Sales!$A$1:$A$9,0))</f>
        <v>Jakarta</v>
      </c>
      <c r="H708" s="10" t="str">
        <f>VLOOKUP(A708,Master_Produk!$A$1:$E$16,2,FALSE)</f>
        <v>Kemeja Batik Katun Premium</v>
      </c>
      <c r="I708" s="10" t="str">
        <f>INDEX(Master_Produk!$C$1:$C$16,MATCH(Lembar_Kerja_Analisis!A708,Master_Produk!$A$1:$A$16,0))</f>
        <v>Fashion</v>
      </c>
      <c r="J708" s="19">
        <f>_xlfn.XLOOKUP(A708,Master_Produk!$A$1:$A$16,Master_Produk!$D$1:$D$16,,0)</f>
        <v>320000</v>
      </c>
      <c r="K708" s="19">
        <f>INDEX(Master_Produk!$E$1:$E$16,MATCH(Lembar_Kerja_Analisis!A708,Master_Produk!$A$1:$A$16,0))</f>
        <v>190000</v>
      </c>
      <c r="L708" s="8">
        <v>6</v>
      </c>
      <c r="M708" s="19">
        <f t="shared" si="55"/>
        <v>1920000</v>
      </c>
      <c r="N708" s="9">
        <v>0.2</v>
      </c>
      <c r="O708" s="19">
        <f t="shared" si="56"/>
        <v>384000</v>
      </c>
      <c r="P708" s="19">
        <f t="shared" si="57"/>
        <v>1536000</v>
      </c>
      <c r="Q708" s="19">
        <f t="shared" si="58"/>
        <v>1140000</v>
      </c>
      <c r="R708" s="19">
        <f t="shared" si="59"/>
        <v>396000</v>
      </c>
    </row>
    <row r="709" spans="1:18" x14ac:dyDescent="0.25">
      <c r="A709" t="str">
        <f>_xlfn.XLOOKUP(C709,Raw_Data_Transaksi!$A$1:$A$1001,Raw_Data_Transaksi!$D$1:$D$1001,,0)</f>
        <v>PRD-101</v>
      </c>
      <c r="B709" t="str">
        <f>_xlfn.XLOOKUP(C709,Raw_Data_Transaksi!$A$1:$A$1001,Raw_Data_Transaksi!$C$1:$C$1001,,0)</f>
        <v>SLS-07</v>
      </c>
      <c r="C709" s="6" t="s">
        <v>793</v>
      </c>
      <c r="D709" s="7">
        <v>45736</v>
      </c>
      <c r="E709" s="10" t="str">
        <f>VLOOKUP(B709,Master_Sales!$A$1:$D$9,2,FALSE)</f>
        <v>Gita Permata</v>
      </c>
      <c r="F709" s="10" t="str">
        <f>INDEX(Master_Sales!$D$1:$D$9,MATCH(Lembar_Kerja_Analisis!B709,Master_Sales!$A$1:$A$9,0))</f>
        <v>Tengah</v>
      </c>
      <c r="G709" s="10" t="str">
        <f>INDEX(Master_Sales!$C$1:$C$9,MATCH(Lembar_Kerja_Analisis!B709,Master_Sales!$A$1:$A$9,0))</f>
        <v>Denpasar</v>
      </c>
      <c r="H709" s="10" t="str">
        <f>VLOOKUP(A709,Master_Produk!$A$1:$E$16,2,FALSE)</f>
        <v>Laptop Ultrabook 14"</v>
      </c>
      <c r="I709" s="10" t="str">
        <f>INDEX(Master_Produk!$C$1:$C$16,MATCH(Lembar_Kerja_Analisis!A709,Master_Produk!$A$1:$A$16,0))</f>
        <v>Elektronik</v>
      </c>
      <c r="J709" s="19">
        <f>_xlfn.XLOOKUP(A709,Master_Produk!$A$1:$A$16,Master_Produk!$D$1:$D$16,,0)</f>
        <v>8500000</v>
      </c>
      <c r="K709" s="19">
        <f>INDEX(Master_Produk!$E$1:$E$16,MATCH(Lembar_Kerja_Analisis!A709,Master_Produk!$A$1:$A$16,0))</f>
        <v>7200000</v>
      </c>
      <c r="L709" s="8">
        <v>8</v>
      </c>
      <c r="M709" s="19">
        <f t="shared" si="55"/>
        <v>68000000</v>
      </c>
      <c r="N709" s="9">
        <v>0.2</v>
      </c>
      <c r="O709" s="19">
        <f t="shared" si="56"/>
        <v>13600000</v>
      </c>
      <c r="P709" s="19">
        <f t="shared" si="57"/>
        <v>54400000</v>
      </c>
      <c r="Q709" s="19">
        <f t="shared" si="58"/>
        <v>57600000</v>
      </c>
      <c r="R709" s="19">
        <f t="shared" si="59"/>
        <v>-3200000</v>
      </c>
    </row>
    <row r="710" spans="1:18" x14ac:dyDescent="0.25">
      <c r="A710" t="str">
        <f>_xlfn.XLOOKUP(C710,Raw_Data_Transaksi!$A$1:$A$1001,Raw_Data_Transaksi!$D$1:$D$1001,,0)</f>
        <v>PRD-113</v>
      </c>
      <c r="B710" t="str">
        <f>_xlfn.XLOOKUP(C710,Raw_Data_Transaksi!$A$1:$A$1001,Raw_Data_Transaksi!$C$1:$C$1001,,0)</f>
        <v>SLS-07</v>
      </c>
      <c r="C710" s="6" t="s">
        <v>794</v>
      </c>
      <c r="D710" s="7">
        <v>45806</v>
      </c>
      <c r="E710" s="10" t="str">
        <f>VLOOKUP(B710,Master_Sales!$A$1:$D$9,2,FALSE)</f>
        <v>Gita Permata</v>
      </c>
      <c r="F710" s="10" t="str">
        <f>INDEX(Master_Sales!$D$1:$D$9,MATCH(Lembar_Kerja_Analisis!B710,Master_Sales!$A$1:$A$9,0))</f>
        <v>Tengah</v>
      </c>
      <c r="G710" s="10" t="str">
        <f>INDEX(Master_Sales!$C$1:$C$9,MATCH(Lembar_Kerja_Analisis!B710,Master_Sales!$A$1:$A$9,0))</f>
        <v>Denpasar</v>
      </c>
      <c r="H710" s="10" t="str">
        <f>VLOOKUP(A710,Master_Produk!$A$1:$E$16,2,FALSE)</f>
        <v>Wajan Anti Lengket 28cm</v>
      </c>
      <c r="I710" s="10" t="str">
        <f>INDEX(Master_Produk!$C$1:$C$16,MATCH(Lembar_Kerja_Analisis!A710,Master_Produk!$A$1:$A$16,0))</f>
        <v>Peralatan Rumah</v>
      </c>
      <c r="J710" s="19">
        <f>_xlfn.XLOOKUP(A710,Master_Produk!$A$1:$A$16,Master_Produk!$D$1:$D$16,,0)</f>
        <v>210000</v>
      </c>
      <c r="K710" s="19">
        <f>INDEX(Master_Produk!$E$1:$E$16,MATCH(Lembar_Kerja_Analisis!A710,Master_Produk!$A$1:$A$16,0))</f>
        <v>140000</v>
      </c>
      <c r="L710" s="8">
        <v>3</v>
      </c>
      <c r="M710" s="19">
        <f t="shared" si="55"/>
        <v>630000</v>
      </c>
      <c r="N710" s="9">
        <v>0.05</v>
      </c>
      <c r="O710" s="19">
        <f t="shared" si="56"/>
        <v>31500</v>
      </c>
      <c r="P710" s="19">
        <f t="shared" si="57"/>
        <v>598500</v>
      </c>
      <c r="Q710" s="19">
        <f t="shared" si="58"/>
        <v>420000</v>
      </c>
      <c r="R710" s="19">
        <f t="shared" si="59"/>
        <v>178500</v>
      </c>
    </row>
    <row r="711" spans="1:18" x14ac:dyDescent="0.25">
      <c r="A711" t="str">
        <f>_xlfn.XLOOKUP(C711,Raw_Data_Transaksi!$A$1:$A$1001,Raw_Data_Transaksi!$D$1:$D$1001,,0)</f>
        <v>PRD-112</v>
      </c>
      <c r="B711" t="str">
        <f>_xlfn.XLOOKUP(C711,Raw_Data_Transaksi!$A$1:$A$1001,Raw_Data_Transaksi!$C$1:$C$1001,,0)</f>
        <v>SLS-01</v>
      </c>
      <c r="C711" s="6" t="s">
        <v>795</v>
      </c>
      <c r="D711" s="7">
        <v>45950</v>
      </c>
      <c r="E711" s="10" t="str">
        <f>VLOOKUP(B711,Master_Sales!$A$1:$D$9,2,FALSE)</f>
        <v>Andi Pratama</v>
      </c>
      <c r="F711" s="10" t="str">
        <f>INDEX(Master_Sales!$D$1:$D$9,MATCH(Lembar_Kerja_Analisis!B711,Master_Sales!$A$1:$A$9,0))</f>
        <v>Barat</v>
      </c>
      <c r="G711" s="10" t="str">
        <f>INDEX(Master_Sales!$C$1:$C$9,MATCH(Lembar_Kerja_Analisis!B711,Master_Sales!$A$1:$A$9,0))</f>
        <v>Jakarta</v>
      </c>
      <c r="H711" s="10" t="str">
        <f>VLOOKUP(A711,Master_Produk!$A$1:$E$16,2,FALSE)</f>
        <v>Susu UHT Full Cream 1L</v>
      </c>
      <c r="I711" s="10" t="str">
        <f>INDEX(Master_Produk!$C$1:$C$16,MATCH(Lembar_Kerja_Analisis!A711,Master_Produk!$A$1:$A$16,0))</f>
        <v>F&amp;B</v>
      </c>
      <c r="J711" s="19">
        <f>_xlfn.XLOOKUP(A711,Master_Produk!$A$1:$A$16,Master_Produk!$D$1:$D$16,,0)</f>
        <v>22000</v>
      </c>
      <c r="K711" s="19">
        <f>INDEX(Master_Produk!$E$1:$E$16,MATCH(Lembar_Kerja_Analisis!A711,Master_Produk!$A$1:$A$16,0))</f>
        <v>18000</v>
      </c>
      <c r="L711" s="8">
        <v>15</v>
      </c>
      <c r="M711" s="19">
        <f t="shared" si="55"/>
        <v>330000</v>
      </c>
      <c r="N711" s="9">
        <v>0.1</v>
      </c>
      <c r="O711" s="19">
        <f t="shared" si="56"/>
        <v>33000</v>
      </c>
      <c r="P711" s="19">
        <f t="shared" si="57"/>
        <v>297000</v>
      </c>
      <c r="Q711" s="19">
        <f t="shared" si="58"/>
        <v>270000</v>
      </c>
      <c r="R711" s="19">
        <f t="shared" si="59"/>
        <v>27000</v>
      </c>
    </row>
    <row r="712" spans="1:18" x14ac:dyDescent="0.25">
      <c r="A712" t="str">
        <f>_xlfn.XLOOKUP(C712,Raw_Data_Transaksi!$A$1:$A$1001,Raw_Data_Transaksi!$D$1:$D$1001,,0)</f>
        <v>PRD-103</v>
      </c>
      <c r="B712" t="str">
        <f>_xlfn.XLOOKUP(C712,Raw_Data_Transaksi!$A$1:$A$1001,Raw_Data_Transaksi!$C$1:$C$1001,,0)</f>
        <v>SLS-03</v>
      </c>
      <c r="C712" s="6" t="s">
        <v>796</v>
      </c>
      <c r="D712" s="7">
        <v>46015</v>
      </c>
      <c r="E712" s="10" t="str">
        <f>VLOOKUP(B712,Master_Sales!$A$1:$D$9,2,FALSE)</f>
        <v>Citra Lestari</v>
      </c>
      <c r="F712" s="10" t="str">
        <f>INDEX(Master_Sales!$D$1:$D$9,MATCH(Lembar_Kerja_Analisis!B712,Master_Sales!$A$1:$A$9,0))</f>
        <v>Barat</v>
      </c>
      <c r="G712" s="10" t="str">
        <f>INDEX(Master_Sales!$C$1:$C$9,MATCH(Lembar_Kerja_Analisis!B712,Master_Sales!$A$1:$A$9,0))</f>
        <v>Bandung</v>
      </c>
      <c r="H712" s="10" t="str">
        <f>VLOOKUP(A712,Master_Produk!$A$1:$E$16,2,FALSE)</f>
        <v>Mechanical Keyboard RGB</v>
      </c>
      <c r="I712" s="10" t="str">
        <f>INDEX(Master_Produk!$C$1:$C$16,MATCH(Lembar_Kerja_Analisis!A712,Master_Produk!$A$1:$A$16,0))</f>
        <v>Elektronik</v>
      </c>
      <c r="J712" s="19">
        <f>_xlfn.XLOOKUP(A712,Master_Produk!$A$1:$A$16,Master_Produk!$D$1:$D$16,,0)</f>
        <v>750000</v>
      </c>
      <c r="K712" s="19">
        <f>INDEX(Master_Produk!$E$1:$E$16,MATCH(Lembar_Kerja_Analisis!A712,Master_Produk!$A$1:$A$16,0))</f>
        <v>520000</v>
      </c>
      <c r="L712" s="8">
        <v>8</v>
      </c>
      <c r="M712" s="19">
        <f t="shared" si="55"/>
        <v>6000000</v>
      </c>
      <c r="N712" s="9">
        <v>0.2</v>
      </c>
      <c r="O712" s="19">
        <f t="shared" si="56"/>
        <v>1200000</v>
      </c>
      <c r="P712" s="19">
        <f t="shared" si="57"/>
        <v>4800000</v>
      </c>
      <c r="Q712" s="19">
        <f t="shared" si="58"/>
        <v>4160000</v>
      </c>
      <c r="R712" s="19">
        <f t="shared" si="59"/>
        <v>640000</v>
      </c>
    </row>
    <row r="713" spans="1:18" x14ac:dyDescent="0.25">
      <c r="A713" t="str">
        <f>_xlfn.XLOOKUP(C713,Raw_Data_Transaksi!$A$1:$A$1001,Raw_Data_Transaksi!$D$1:$D$1001,,0)</f>
        <v>PRD-110</v>
      </c>
      <c r="B713" t="str">
        <f>_xlfn.XLOOKUP(C713,Raw_Data_Transaksi!$A$1:$A$1001,Raw_Data_Transaksi!$C$1:$C$1001,,0)</f>
        <v>SLS-04</v>
      </c>
      <c r="C713" s="6" t="s">
        <v>797</v>
      </c>
      <c r="D713" s="7">
        <v>45991</v>
      </c>
      <c r="E713" s="10" t="str">
        <f>VLOOKUP(B713,Master_Sales!$A$1:$D$9,2,FALSE)</f>
        <v>Dewi Anggraini</v>
      </c>
      <c r="F713" s="10" t="str">
        <f>INDEX(Master_Sales!$D$1:$D$9,MATCH(Lembar_Kerja_Analisis!B713,Master_Sales!$A$1:$A$9,0))</f>
        <v>Barat</v>
      </c>
      <c r="G713" s="10" t="str">
        <f>INDEX(Master_Sales!$C$1:$C$9,MATCH(Lembar_Kerja_Analisis!B713,Master_Sales!$A$1:$A$9,0))</f>
        <v>Medan</v>
      </c>
      <c r="H713" s="10" t="str">
        <f>VLOOKUP(A713,Master_Produk!$A$1:$E$16,2,FALSE)</f>
        <v>Minyak Goreng Sawit 2L</v>
      </c>
      <c r="I713" s="10" t="str">
        <f>INDEX(Master_Produk!$C$1:$C$16,MATCH(Lembar_Kerja_Analisis!A713,Master_Produk!$A$1:$A$16,0))</f>
        <v>F&amp;B</v>
      </c>
      <c r="J713" s="19">
        <f>_xlfn.XLOOKUP(A713,Master_Produk!$A$1:$A$16,Master_Produk!$D$1:$D$16,,0)</f>
        <v>36000</v>
      </c>
      <c r="K713" s="19">
        <f>INDEX(Master_Produk!$E$1:$E$16,MATCH(Lembar_Kerja_Analisis!A713,Master_Produk!$A$1:$A$16,0))</f>
        <v>31000</v>
      </c>
      <c r="L713" s="8">
        <v>22</v>
      </c>
      <c r="M713" s="19">
        <f t="shared" si="55"/>
        <v>792000</v>
      </c>
      <c r="N713" s="9">
        <v>0.2</v>
      </c>
      <c r="O713" s="19">
        <f t="shared" si="56"/>
        <v>158400</v>
      </c>
      <c r="P713" s="19">
        <f t="shared" si="57"/>
        <v>633600</v>
      </c>
      <c r="Q713" s="19">
        <f t="shared" si="58"/>
        <v>682000</v>
      </c>
      <c r="R713" s="19">
        <f t="shared" si="59"/>
        <v>-48400</v>
      </c>
    </row>
    <row r="714" spans="1:18" x14ac:dyDescent="0.25">
      <c r="A714" t="str">
        <f>_xlfn.XLOOKUP(C714,Raw_Data_Transaksi!$A$1:$A$1001,Raw_Data_Transaksi!$D$1:$D$1001,,0)</f>
        <v>PRD-113</v>
      </c>
      <c r="B714" t="str">
        <f>_xlfn.XLOOKUP(C714,Raw_Data_Transaksi!$A$1:$A$1001,Raw_Data_Transaksi!$C$1:$C$1001,,0)</f>
        <v>SLS-07</v>
      </c>
      <c r="C714" s="6" t="s">
        <v>798</v>
      </c>
      <c r="D714" s="7">
        <v>45794</v>
      </c>
      <c r="E714" s="10" t="str">
        <f>VLOOKUP(B714,Master_Sales!$A$1:$D$9,2,FALSE)</f>
        <v>Gita Permata</v>
      </c>
      <c r="F714" s="10" t="str">
        <f>INDEX(Master_Sales!$D$1:$D$9,MATCH(Lembar_Kerja_Analisis!B714,Master_Sales!$A$1:$A$9,0))</f>
        <v>Tengah</v>
      </c>
      <c r="G714" s="10" t="str">
        <f>INDEX(Master_Sales!$C$1:$C$9,MATCH(Lembar_Kerja_Analisis!B714,Master_Sales!$A$1:$A$9,0))</f>
        <v>Denpasar</v>
      </c>
      <c r="H714" s="10" t="str">
        <f>VLOOKUP(A714,Master_Produk!$A$1:$E$16,2,FALSE)</f>
        <v>Wajan Anti Lengket 28cm</v>
      </c>
      <c r="I714" s="10" t="str">
        <f>INDEX(Master_Produk!$C$1:$C$16,MATCH(Lembar_Kerja_Analisis!A714,Master_Produk!$A$1:$A$16,0))</f>
        <v>Peralatan Rumah</v>
      </c>
      <c r="J714" s="19">
        <f>_xlfn.XLOOKUP(A714,Master_Produk!$A$1:$A$16,Master_Produk!$D$1:$D$16,,0)</f>
        <v>210000</v>
      </c>
      <c r="K714" s="19">
        <f>INDEX(Master_Produk!$E$1:$E$16,MATCH(Lembar_Kerja_Analisis!A714,Master_Produk!$A$1:$A$16,0))</f>
        <v>140000</v>
      </c>
      <c r="L714" s="8">
        <v>6</v>
      </c>
      <c r="M714" s="19">
        <f t="shared" si="55"/>
        <v>1260000</v>
      </c>
      <c r="N714" s="9">
        <v>0.2</v>
      </c>
      <c r="O714" s="19">
        <f t="shared" si="56"/>
        <v>252000</v>
      </c>
      <c r="P714" s="19">
        <f t="shared" si="57"/>
        <v>1008000</v>
      </c>
      <c r="Q714" s="19">
        <f t="shared" si="58"/>
        <v>840000</v>
      </c>
      <c r="R714" s="19">
        <f t="shared" si="59"/>
        <v>168000</v>
      </c>
    </row>
    <row r="715" spans="1:18" x14ac:dyDescent="0.25">
      <c r="A715" t="str">
        <f>_xlfn.XLOOKUP(C715,Raw_Data_Transaksi!$A$1:$A$1001,Raw_Data_Transaksi!$D$1:$D$1001,,0)</f>
        <v>PRD-106</v>
      </c>
      <c r="B715" t="str">
        <f>_xlfn.XLOOKUP(C715,Raw_Data_Transaksi!$A$1:$A$1001,Raw_Data_Transaksi!$C$1:$C$1001,,0)</f>
        <v>SLS-06</v>
      </c>
      <c r="C715" s="6" t="s">
        <v>799</v>
      </c>
      <c r="D715" s="7">
        <v>45874</v>
      </c>
      <c r="E715" s="10" t="str">
        <f>VLOOKUP(B715,Master_Sales!$A$1:$D$9,2,FALSE)</f>
        <v>Fajar Nugraha</v>
      </c>
      <c r="F715" s="10" t="str">
        <f>INDEX(Master_Sales!$D$1:$D$9,MATCH(Lembar_Kerja_Analisis!B715,Master_Sales!$A$1:$A$9,0))</f>
        <v>Timur</v>
      </c>
      <c r="G715" s="10" t="str">
        <f>INDEX(Master_Sales!$C$1:$C$9,MATCH(Lembar_Kerja_Analisis!B715,Master_Sales!$A$1:$A$9,0))</f>
        <v>Makassar</v>
      </c>
      <c r="H715" s="10" t="str">
        <f>VLOOKUP(A715,Master_Produk!$A$1:$E$16,2,FALSE)</f>
        <v>Celana Chino Slim Fit</v>
      </c>
      <c r="I715" s="10" t="str">
        <f>INDEX(Master_Produk!$C$1:$C$16,MATCH(Lembar_Kerja_Analisis!A715,Master_Produk!$A$1:$A$16,0))</f>
        <v>Fashion</v>
      </c>
      <c r="J715" s="19">
        <f>_xlfn.XLOOKUP(A715,Master_Produk!$A$1:$A$16,Master_Produk!$D$1:$D$16,,0)</f>
        <v>280000</v>
      </c>
      <c r="K715" s="19">
        <f>INDEX(Master_Produk!$E$1:$E$16,MATCH(Lembar_Kerja_Analisis!A715,Master_Produk!$A$1:$A$16,0))</f>
        <v>175000</v>
      </c>
      <c r="L715" s="8">
        <v>4</v>
      </c>
      <c r="M715" s="19">
        <f t="shared" si="55"/>
        <v>1120000</v>
      </c>
      <c r="N715" s="9">
        <v>0.1</v>
      </c>
      <c r="O715" s="19">
        <f t="shared" si="56"/>
        <v>112000</v>
      </c>
      <c r="P715" s="19">
        <f t="shared" si="57"/>
        <v>1008000</v>
      </c>
      <c r="Q715" s="19">
        <f t="shared" si="58"/>
        <v>700000</v>
      </c>
      <c r="R715" s="19">
        <f t="shared" si="59"/>
        <v>308000</v>
      </c>
    </row>
    <row r="716" spans="1:18" x14ac:dyDescent="0.25">
      <c r="A716" t="str">
        <f>_xlfn.XLOOKUP(C716,Raw_Data_Transaksi!$A$1:$A$1001,Raw_Data_Transaksi!$D$1:$D$1001,,0)</f>
        <v>PRD-103</v>
      </c>
      <c r="B716" t="str">
        <f>_xlfn.XLOOKUP(C716,Raw_Data_Transaksi!$A$1:$A$1001,Raw_Data_Transaksi!$C$1:$C$1001,,0)</f>
        <v>SLS-06</v>
      </c>
      <c r="C716" s="6" t="s">
        <v>800</v>
      </c>
      <c r="D716" s="7">
        <v>45814</v>
      </c>
      <c r="E716" s="10" t="str">
        <f>VLOOKUP(B716,Master_Sales!$A$1:$D$9,2,FALSE)</f>
        <v>Fajar Nugraha</v>
      </c>
      <c r="F716" s="10" t="str">
        <f>INDEX(Master_Sales!$D$1:$D$9,MATCH(Lembar_Kerja_Analisis!B716,Master_Sales!$A$1:$A$9,0))</f>
        <v>Timur</v>
      </c>
      <c r="G716" s="10" t="str">
        <f>INDEX(Master_Sales!$C$1:$C$9,MATCH(Lembar_Kerja_Analisis!B716,Master_Sales!$A$1:$A$9,0))</f>
        <v>Makassar</v>
      </c>
      <c r="H716" s="10" t="str">
        <f>VLOOKUP(A716,Master_Produk!$A$1:$E$16,2,FALSE)</f>
        <v>Mechanical Keyboard RGB</v>
      </c>
      <c r="I716" s="10" t="str">
        <f>INDEX(Master_Produk!$C$1:$C$16,MATCH(Lembar_Kerja_Analisis!A716,Master_Produk!$A$1:$A$16,0))</f>
        <v>Elektronik</v>
      </c>
      <c r="J716" s="19">
        <f>_xlfn.XLOOKUP(A716,Master_Produk!$A$1:$A$16,Master_Produk!$D$1:$D$16,,0)</f>
        <v>750000</v>
      </c>
      <c r="K716" s="19">
        <f>INDEX(Master_Produk!$E$1:$E$16,MATCH(Lembar_Kerja_Analisis!A716,Master_Produk!$A$1:$A$16,0))</f>
        <v>520000</v>
      </c>
      <c r="L716" s="8">
        <v>10</v>
      </c>
      <c r="M716" s="19">
        <f t="shared" si="55"/>
        <v>7500000</v>
      </c>
      <c r="N716" s="9">
        <v>0.15</v>
      </c>
      <c r="O716" s="19">
        <f t="shared" si="56"/>
        <v>1125000</v>
      </c>
      <c r="P716" s="19">
        <f t="shared" si="57"/>
        <v>6375000</v>
      </c>
      <c r="Q716" s="19">
        <f t="shared" si="58"/>
        <v>5200000</v>
      </c>
      <c r="R716" s="19">
        <f t="shared" si="59"/>
        <v>1175000</v>
      </c>
    </row>
    <row r="717" spans="1:18" x14ac:dyDescent="0.25">
      <c r="A717" t="str">
        <f>_xlfn.XLOOKUP(C717,Raw_Data_Transaksi!$A$1:$A$1001,Raw_Data_Transaksi!$D$1:$D$1001,,0)</f>
        <v>PRD-104</v>
      </c>
      <c r="B717" t="str">
        <f>_xlfn.XLOOKUP(C717,Raw_Data_Transaksi!$A$1:$A$1001,Raw_Data_Transaksi!$C$1:$C$1001,,0)</f>
        <v>SLS-06</v>
      </c>
      <c r="C717" s="6" t="s">
        <v>801</v>
      </c>
      <c r="D717" s="7">
        <v>45777</v>
      </c>
      <c r="E717" s="10" t="str">
        <f>VLOOKUP(B717,Master_Sales!$A$1:$D$9,2,FALSE)</f>
        <v>Fajar Nugraha</v>
      </c>
      <c r="F717" s="10" t="str">
        <f>INDEX(Master_Sales!$D$1:$D$9,MATCH(Lembar_Kerja_Analisis!B717,Master_Sales!$A$1:$A$9,0))</f>
        <v>Timur</v>
      </c>
      <c r="G717" s="10" t="str">
        <f>INDEX(Master_Sales!$C$1:$C$9,MATCH(Lembar_Kerja_Analisis!B717,Master_Sales!$A$1:$A$9,0))</f>
        <v>Makassar</v>
      </c>
      <c r="H717" s="10" t="str">
        <f>VLOOKUP(A717,Master_Produk!$A$1:$E$16,2,FALSE)</f>
        <v>Monitor 24" FHD 144Hz</v>
      </c>
      <c r="I717" s="10" t="str">
        <f>INDEX(Master_Produk!$C$1:$C$16,MATCH(Lembar_Kerja_Analisis!A717,Master_Produk!$A$1:$A$16,0))</f>
        <v>Elektronik</v>
      </c>
      <c r="J717" s="19">
        <f>_xlfn.XLOOKUP(A717,Master_Produk!$A$1:$A$16,Master_Produk!$D$1:$D$16,,0)</f>
        <v>1950000</v>
      </c>
      <c r="K717" s="19">
        <f>INDEX(Master_Produk!$E$1:$E$16,MATCH(Lembar_Kerja_Analisis!A717,Master_Produk!$A$1:$A$16,0))</f>
        <v>1500000</v>
      </c>
      <c r="L717" s="8">
        <v>3</v>
      </c>
      <c r="M717" s="19">
        <f t="shared" si="55"/>
        <v>5850000</v>
      </c>
      <c r="N717" s="9">
        <v>0</v>
      </c>
      <c r="O717" s="19">
        <f t="shared" si="56"/>
        <v>0</v>
      </c>
      <c r="P717" s="19">
        <f t="shared" si="57"/>
        <v>5850000</v>
      </c>
      <c r="Q717" s="19">
        <f t="shared" si="58"/>
        <v>4500000</v>
      </c>
      <c r="R717" s="19">
        <f t="shared" si="59"/>
        <v>1350000</v>
      </c>
    </row>
    <row r="718" spans="1:18" x14ac:dyDescent="0.25">
      <c r="A718" t="str">
        <f>_xlfn.XLOOKUP(C718,Raw_Data_Transaksi!$A$1:$A$1001,Raw_Data_Transaksi!$D$1:$D$1001,,0)</f>
        <v>PRD-110</v>
      </c>
      <c r="B718" t="str">
        <f>_xlfn.XLOOKUP(C718,Raw_Data_Transaksi!$A$1:$A$1001,Raw_Data_Transaksi!$C$1:$C$1001,,0)</f>
        <v>SLS-03</v>
      </c>
      <c r="C718" s="6" t="s">
        <v>802</v>
      </c>
      <c r="D718" s="7">
        <v>45782</v>
      </c>
      <c r="E718" s="10" t="str">
        <f>VLOOKUP(B718,Master_Sales!$A$1:$D$9,2,FALSE)</f>
        <v>Citra Lestari</v>
      </c>
      <c r="F718" s="10" t="str">
        <f>INDEX(Master_Sales!$D$1:$D$9,MATCH(Lembar_Kerja_Analisis!B718,Master_Sales!$A$1:$A$9,0))</f>
        <v>Barat</v>
      </c>
      <c r="G718" s="10" t="str">
        <f>INDEX(Master_Sales!$C$1:$C$9,MATCH(Lembar_Kerja_Analisis!B718,Master_Sales!$A$1:$A$9,0))</f>
        <v>Bandung</v>
      </c>
      <c r="H718" s="10" t="str">
        <f>VLOOKUP(A718,Master_Produk!$A$1:$E$16,2,FALSE)</f>
        <v>Minyak Goreng Sawit 2L</v>
      </c>
      <c r="I718" s="10" t="str">
        <f>INDEX(Master_Produk!$C$1:$C$16,MATCH(Lembar_Kerja_Analisis!A718,Master_Produk!$A$1:$A$16,0))</f>
        <v>F&amp;B</v>
      </c>
      <c r="J718" s="19">
        <f>_xlfn.XLOOKUP(A718,Master_Produk!$A$1:$A$16,Master_Produk!$D$1:$D$16,,0)</f>
        <v>36000</v>
      </c>
      <c r="K718" s="19">
        <f>INDEX(Master_Produk!$E$1:$E$16,MATCH(Lembar_Kerja_Analisis!A718,Master_Produk!$A$1:$A$16,0))</f>
        <v>31000</v>
      </c>
      <c r="L718" s="8">
        <v>3</v>
      </c>
      <c r="M718" s="19">
        <f t="shared" si="55"/>
        <v>108000</v>
      </c>
      <c r="N718" s="9">
        <v>0.1</v>
      </c>
      <c r="O718" s="19">
        <f t="shared" si="56"/>
        <v>10800</v>
      </c>
      <c r="P718" s="19">
        <f t="shared" si="57"/>
        <v>97200</v>
      </c>
      <c r="Q718" s="19">
        <f t="shared" si="58"/>
        <v>93000</v>
      </c>
      <c r="R718" s="19">
        <f t="shared" si="59"/>
        <v>4200</v>
      </c>
    </row>
    <row r="719" spans="1:18" x14ac:dyDescent="0.25">
      <c r="A719" t="str">
        <f>_xlfn.XLOOKUP(C719,Raw_Data_Transaksi!$A$1:$A$1001,Raw_Data_Transaksi!$D$1:$D$1001,,0)</f>
        <v>PRD-101</v>
      </c>
      <c r="B719" t="str">
        <f>_xlfn.XLOOKUP(C719,Raw_Data_Transaksi!$A$1:$A$1001,Raw_Data_Transaksi!$C$1:$C$1001,,0)</f>
        <v>SLS-06</v>
      </c>
      <c r="C719" s="6" t="s">
        <v>803</v>
      </c>
      <c r="D719" s="7">
        <v>45899</v>
      </c>
      <c r="E719" s="10" t="str">
        <f>VLOOKUP(B719,Master_Sales!$A$1:$D$9,2,FALSE)</f>
        <v>Fajar Nugraha</v>
      </c>
      <c r="F719" s="10" t="str">
        <f>INDEX(Master_Sales!$D$1:$D$9,MATCH(Lembar_Kerja_Analisis!B719,Master_Sales!$A$1:$A$9,0))</f>
        <v>Timur</v>
      </c>
      <c r="G719" s="10" t="str">
        <f>INDEX(Master_Sales!$C$1:$C$9,MATCH(Lembar_Kerja_Analisis!B719,Master_Sales!$A$1:$A$9,0))</f>
        <v>Makassar</v>
      </c>
      <c r="H719" s="10" t="str">
        <f>VLOOKUP(A719,Master_Produk!$A$1:$E$16,2,FALSE)</f>
        <v>Laptop Ultrabook 14"</v>
      </c>
      <c r="I719" s="10" t="str">
        <f>INDEX(Master_Produk!$C$1:$C$16,MATCH(Lembar_Kerja_Analisis!A719,Master_Produk!$A$1:$A$16,0))</f>
        <v>Elektronik</v>
      </c>
      <c r="J719" s="19">
        <f>_xlfn.XLOOKUP(A719,Master_Produk!$A$1:$A$16,Master_Produk!$D$1:$D$16,,0)</f>
        <v>8500000</v>
      </c>
      <c r="K719" s="19">
        <f>INDEX(Master_Produk!$E$1:$E$16,MATCH(Lembar_Kerja_Analisis!A719,Master_Produk!$A$1:$A$16,0))</f>
        <v>7200000</v>
      </c>
      <c r="L719" s="8">
        <v>4</v>
      </c>
      <c r="M719" s="19">
        <f t="shared" si="55"/>
        <v>34000000</v>
      </c>
      <c r="N719" s="9">
        <v>0.2</v>
      </c>
      <c r="O719" s="19">
        <f t="shared" si="56"/>
        <v>6800000</v>
      </c>
      <c r="P719" s="19">
        <f t="shared" si="57"/>
        <v>27200000</v>
      </c>
      <c r="Q719" s="19">
        <f t="shared" si="58"/>
        <v>28800000</v>
      </c>
      <c r="R719" s="19">
        <f t="shared" si="59"/>
        <v>-1600000</v>
      </c>
    </row>
    <row r="720" spans="1:18" x14ac:dyDescent="0.25">
      <c r="A720" t="str">
        <f>_xlfn.XLOOKUP(C720,Raw_Data_Transaksi!$A$1:$A$1001,Raw_Data_Transaksi!$D$1:$D$1001,,0)</f>
        <v>PRD-108</v>
      </c>
      <c r="B720" t="str">
        <f>_xlfn.XLOOKUP(C720,Raw_Data_Transaksi!$A$1:$A$1001,Raw_Data_Transaksi!$C$1:$C$1001,,0)</f>
        <v>SLS-03</v>
      </c>
      <c r="C720" s="6" t="s">
        <v>804</v>
      </c>
      <c r="D720" s="7">
        <v>45938</v>
      </c>
      <c r="E720" s="10" t="str">
        <f>VLOOKUP(B720,Master_Sales!$A$1:$D$9,2,FALSE)</f>
        <v>Citra Lestari</v>
      </c>
      <c r="F720" s="10" t="str">
        <f>INDEX(Master_Sales!$D$1:$D$9,MATCH(Lembar_Kerja_Analisis!B720,Master_Sales!$A$1:$A$9,0))</f>
        <v>Barat</v>
      </c>
      <c r="G720" s="10" t="str">
        <f>INDEX(Master_Sales!$C$1:$C$9,MATCH(Lembar_Kerja_Analisis!B720,Master_Sales!$A$1:$A$9,0))</f>
        <v>Bandung</v>
      </c>
      <c r="H720" s="10" t="str">
        <f>VLOOKUP(A720,Master_Produk!$A$1:$E$16,2,FALSE)</f>
        <v>Sepatu Sneakers Pria/Wanita</v>
      </c>
      <c r="I720" s="10" t="str">
        <f>INDEX(Master_Produk!$C$1:$C$16,MATCH(Lembar_Kerja_Analisis!A720,Master_Produk!$A$1:$A$16,0))</f>
        <v>Fashion</v>
      </c>
      <c r="J720" s="19">
        <f>_xlfn.XLOOKUP(A720,Master_Produk!$A$1:$A$16,Master_Produk!$D$1:$D$16,,0)</f>
        <v>450000</v>
      </c>
      <c r="K720" s="19">
        <f>INDEX(Master_Produk!$E$1:$E$16,MATCH(Lembar_Kerja_Analisis!A720,Master_Produk!$A$1:$A$16,0))</f>
        <v>290000</v>
      </c>
      <c r="L720" s="8">
        <v>12</v>
      </c>
      <c r="M720" s="19">
        <f t="shared" si="55"/>
        <v>5400000</v>
      </c>
      <c r="N720" s="9">
        <v>0</v>
      </c>
      <c r="O720" s="19">
        <f t="shared" si="56"/>
        <v>0</v>
      </c>
      <c r="P720" s="19">
        <f t="shared" si="57"/>
        <v>5400000</v>
      </c>
      <c r="Q720" s="19">
        <f t="shared" si="58"/>
        <v>3480000</v>
      </c>
      <c r="R720" s="19">
        <f t="shared" si="59"/>
        <v>1920000</v>
      </c>
    </row>
    <row r="721" spans="1:18" x14ac:dyDescent="0.25">
      <c r="A721" t="str">
        <f>_xlfn.XLOOKUP(C721,Raw_Data_Transaksi!$A$1:$A$1001,Raw_Data_Transaksi!$D$1:$D$1001,,0)</f>
        <v>PRD-103</v>
      </c>
      <c r="B721" t="str">
        <f>_xlfn.XLOOKUP(C721,Raw_Data_Transaksi!$A$1:$A$1001,Raw_Data_Transaksi!$C$1:$C$1001,,0)</f>
        <v>SLS-01</v>
      </c>
      <c r="C721" s="6" t="s">
        <v>805</v>
      </c>
      <c r="D721" s="7">
        <v>45788</v>
      </c>
      <c r="E721" s="10" t="str">
        <f>VLOOKUP(B721,Master_Sales!$A$1:$D$9,2,FALSE)</f>
        <v>Andi Pratama</v>
      </c>
      <c r="F721" s="10" t="str">
        <f>INDEX(Master_Sales!$D$1:$D$9,MATCH(Lembar_Kerja_Analisis!B721,Master_Sales!$A$1:$A$9,0))</f>
        <v>Barat</v>
      </c>
      <c r="G721" s="10" t="str">
        <f>INDEX(Master_Sales!$C$1:$C$9,MATCH(Lembar_Kerja_Analisis!B721,Master_Sales!$A$1:$A$9,0))</f>
        <v>Jakarta</v>
      </c>
      <c r="H721" s="10" t="str">
        <f>VLOOKUP(A721,Master_Produk!$A$1:$E$16,2,FALSE)</f>
        <v>Mechanical Keyboard RGB</v>
      </c>
      <c r="I721" s="10" t="str">
        <f>INDEX(Master_Produk!$C$1:$C$16,MATCH(Lembar_Kerja_Analisis!A721,Master_Produk!$A$1:$A$16,0))</f>
        <v>Elektronik</v>
      </c>
      <c r="J721" s="19">
        <f>_xlfn.XLOOKUP(A721,Master_Produk!$A$1:$A$16,Master_Produk!$D$1:$D$16,,0)</f>
        <v>750000</v>
      </c>
      <c r="K721" s="19">
        <f>INDEX(Master_Produk!$E$1:$E$16,MATCH(Lembar_Kerja_Analisis!A721,Master_Produk!$A$1:$A$16,0))</f>
        <v>520000</v>
      </c>
      <c r="L721" s="8">
        <v>5</v>
      </c>
      <c r="M721" s="19">
        <f t="shared" si="55"/>
        <v>3750000</v>
      </c>
      <c r="N721" s="9">
        <v>0.05</v>
      </c>
      <c r="O721" s="19">
        <f t="shared" si="56"/>
        <v>187500</v>
      </c>
      <c r="P721" s="19">
        <f t="shared" si="57"/>
        <v>3562500</v>
      </c>
      <c r="Q721" s="19">
        <f t="shared" si="58"/>
        <v>2600000</v>
      </c>
      <c r="R721" s="19">
        <f t="shared" si="59"/>
        <v>962500</v>
      </c>
    </row>
    <row r="722" spans="1:18" x14ac:dyDescent="0.25">
      <c r="A722" t="str">
        <f>_xlfn.XLOOKUP(C722,Raw_Data_Transaksi!$A$1:$A$1001,Raw_Data_Transaksi!$D$1:$D$1001,,0)</f>
        <v>PRD-101</v>
      </c>
      <c r="B722" t="str">
        <f>_xlfn.XLOOKUP(C722,Raw_Data_Transaksi!$A$1:$A$1001,Raw_Data_Transaksi!$C$1:$C$1001,,0)</f>
        <v>SLS-02</v>
      </c>
      <c r="C722" s="6" t="s">
        <v>806</v>
      </c>
      <c r="D722" s="7">
        <v>45993</v>
      </c>
      <c r="E722" s="10" t="str">
        <f>VLOOKUP(B722,Master_Sales!$A$1:$D$9,2,FALSE)</f>
        <v>Budi Santoso</v>
      </c>
      <c r="F722" s="10" t="str">
        <f>INDEX(Master_Sales!$D$1:$D$9,MATCH(Lembar_Kerja_Analisis!B722,Master_Sales!$A$1:$A$9,0))</f>
        <v>Timur</v>
      </c>
      <c r="G722" s="10" t="str">
        <f>INDEX(Master_Sales!$C$1:$C$9,MATCH(Lembar_Kerja_Analisis!B722,Master_Sales!$A$1:$A$9,0))</f>
        <v>Surabaya</v>
      </c>
      <c r="H722" s="10" t="str">
        <f>VLOOKUP(A722,Master_Produk!$A$1:$E$16,2,FALSE)</f>
        <v>Laptop Ultrabook 14"</v>
      </c>
      <c r="I722" s="10" t="str">
        <f>INDEX(Master_Produk!$C$1:$C$16,MATCH(Lembar_Kerja_Analisis!A722,Master_Produk!$A$1:$A$16,0))</f>
        <v>Elektronik</v>
      </c>
      <c r="J722" s="19">
        <f>_xlfn.XLOOKUP(A722,Master_Produk!$A$1:$A$16,Master_Produk!$D$1:$D$16,,0)</f>
        <v>8500000</v>
      </c>
      <c r="K722" s="19">
        <f>INDEX(Master_Produk!$E$1:$E$16,MATCH(Lembar_Kerja_Analisis!A722,Master_Produk!$A$1:$A$16,0))</f>
        <v>7200000</v>
      </c>
      <c r="L722" s="8">
        <v>7</v>
      </c>
      <c r="M722" s="19">
        <f t="shared" si="55"/>
        <v>59500000</v>
      </c>
      <c r="N722" s="9">
        <v>0.1</v>
      </c>
      <c r="O722" s="19">
        <f t="shared" si="56"/>
        <v>5950000</v>
      </c>
      <c r="P722" s="19">
        <f t="shared" si="57"/>
        <v>53550000</v>
      </c>
      <c r="Q722" s="19">
        <f t="shared" si="58"/>
        <v>50400000</v>
      </c>
      <c r="R722" s="19">
        <f t="shared" si="59"/>
        <v>3150000</v>
      </c>
    </row>
    <row r="723" spans="1:18" x14ac:dyDescent="0.25">
      <c r="A723" t="str">
        <f>_xlfn.XLOOKUP(C723,Raw_Data_Transaksi!$A$1:$A$1001,Raw_Data_Transaksi!$D$1:$D$1001,,0)</f>
        <v>PRD-114</v>
      </c>
      <c r="B723" t="str">
        <f>_xlfn.XLOOKUP(C723,Raw_Data_Transaksi!$A$1:$A$1001,Raw_Data_Transaksi!$C$1:$C$1001,,0)</f>
        <v>SLS-07</v>
      </c>
      <c r="C723" s="6" t="s">
        <v>807</v>
      </c>
      <c r="D723" s="7">
        <v>45807</v>
      </c>
      <c r="E723" s="10" t="str">
        <f>VLOOKUP(B723,Master_Sales!$A$1:$D$9,2,FALSE)</f>
        <v>Gita Permata</v>
      </c>
      <c r="F723" s="10" t="str">
        <f>INDEX(Master_Sales!$D$1:$D$9,MATCH(Lembar_Kerja_Analisis!B723,Master_Sales!$A$1:$A$9,0))</f>
        <v>Tengah</v>
      </c>
      <c r="G723" s="10" t="str">
        <f>INDEX(Master_Sales!$C$1:$C$9,MATCH(Lembar_Kerja_Analisis!B723,Master_Sales!$A$1:$A$9,0))</f>
        <v>Denpasar</v>
      </c>
      <c r="H723" s="10" t="str">
        <f>VLOOKUP(A723,Master_Produk!$A$1:$E$16,2,FALSE)</f>
        <v>Blender Multifungsi 2-in-1</v>
      </c>
      <c r="I723" s="10" t="str">
        <f>INDEX(Master_Produk!$C$1:$C$16,MATCH(Lembar_Kerja_Analisis!A723,Master_Produk!$A$1:$A$16,0))</f>
        <v>Peralatan Rumah</v>
      </c>
      <c r="J723" s="19">
        <f>_xlfn.XLOOKUP(A723,Master_Produk!$A$1:$A$16,Master_Produk!$D$1:$D$16,,0)</f>
        <v>340000</v>
      </c>
      <c r="K723" s="19">
        <f>INDEX(Master_Produk!$E$1:$E$16,MATCH(Lembar_Kerja_Analisis!A723,Master_Produk!$A$1:$A$16,0))</f>
        <v>240000</v>
      </c>
      <c r="L723" s="8">
        <v>4</v>
      </c>
      <c r="M723" s="19">
        <f t="shared" si="55"/>
        <v>1360000</v>
      </c>
      <c r="N723" s="9">
        <v>0.15</v>
      </c>
      <c r="O723" s="19">
        <f t="shared" si="56"/>
        <v>204000</v>
      </c>
      <c r="P723" s="19">
        <f t="shared" si="57"/>
        <v>1156000</v>
      </c>
      <c r="Q723" s="19">
        <f t="shared" si="58"/>
        <v>960000</v>
      </c>
      <c r="R723" s="19">
        <f t="shared" si="59"/>
        <v>196000</v>
      </c>
    </row>
    <row r="724" spans="1:18" x14ac:dyDescent="0.25">
      <c r="A724" t="str">
        <f>_xlfn.XLOOKUP(C724,Raw_Data_Transaksi!$A$1:$A$1001,Raw_Data_Transaksi!$D$1:$D$1001,,0)</f>
        <v>PRD-109</v>
      </c>
      <c r="B724" t="str">
        <f>_xlfn.XLOOKUP(C724,Raw_Data_Transaksi!$A$1:$A$1001,Raw_Data_Transaksi!$C$1:$C$1001,,0)</f>
        <v>SLS-02</v>
      </c>
      <c r="C724" s="6" t="s">
        <v>808</v>
      </c>
      <c r="D724" s="7">
        <v>45963</v>
      </c>
      <c r="E724" s="10" t="str">
        <f>VLOOKUP(B724,Master_Sales!$A$1:$D$9,2,FALSE)</f>
        <v>Budi Santoso</v>
      </c>
      <c r="F724" s="10" t="str">
        <f>INDEX(Master_Sales!$D$1:$D$9,MATCH(Lembar_Kerja_Analisis!B724,Master_Sales!$A$1:$A$9,0))</f>
        <v>Timur</v>
      </c>
      <c r="G724" s="10" t="str">
        <f>INDEX(Master_Sales!$C$1:$C$9,MATCH(Lembar_Kerja_Analisis!B724,Master_Sales!$A$1:$A$9,0))</f>
        <v>Surabaya</v>
      </c>
      <c r="H724" s="10" t="str">
        <f>VLOOKUP(A724,Master_Produk!$A$1:$E$16,2,FALSE)</f>
        <v>Kopi Arabika Gayo 250g</v>
      </c>
      <c r="I724" s="10" t="str">
        <f>INDEX(Master_Produk!$C$1:$C$16,MATCH(Lembar_Kerja_Analisis!A724,Master_Produk!$A$1:$A$16,0))</f>
        <v>F&amp;B</v>
      </c>
      <c r="J724" s="19">
        <f>_xlfn.XLOOKUP(A724,Master_Produk!$A$1:$A$16,Master_Produk!$D$1:$D$16,,0)</f>
        <v>85000</v>
      </c>
      <c r="K724" s="19">
        <f>INDEX(Master_Produk!$E$1:$E$16,MATCH(Lembar_Kerja_Analisis!A724,Master_Produk!$A$1:$A$16,0))</f>
        <v>55000</v>
      </c>
      <c r="L724" s="8">
        <v>9</v>
      </c>
      <c r="M724" s="19">
        <f t="shared" si="55"/>
        <v>765000</v>
      </c>
      <c r="N724" s="9">
        <v>0.2</v>
      </c>
      <c r="O724" s="19">
        <f t="shared" si="56"/>
        <v>153000</v>
      </c>
      <c r="P724" s="19">
        <f t="shared" si="57"/>
        <v>612000</v>
      </c>
      <c r="Q724" s="19">
        <f t="shared" si="58"/>
        <v>495000</v>
      </c>
      <c r="R724" s="19">
        <f t="shared" si="59"/>
        <v>117000</v>
      </c>
    </row>
    <row r="725" spans="1:18" x14ac:dyDescent="0.25">
      <c r="A725" t="str">
        <f>_xlfn.XLOOKUP(C725,Raw_Data_Transaksi!$A$1:$A$1001,Raw_Data_Transaksi!$D$1:$D$1001,,0)</f>
        <v>PRD-104</v>
      </c>
      <c r="B725" t="str">
        <f>_xlfn.XLOOKUP(C725,Raw_Data_Transaksi!$A$1:$A$1001,Raw_Data_Transaksi!$C$1:$C$1001,,0)</f>
        <v>SLS-05</v>
      </c>
      <c r="C725" s="6" t="s">
        <v>809</v>
      </c>
      <c r="D725" s="7">
        <v>45678</v>
      </c>
      <c r="E725" s="10" t="str">
        <f>VLOOKUP(B725,Master_Sales!$A$1:$D$9,2,FALSE)</f>
        <v>Eko Prasetyo</v>
      </c>
      <c r="F725" s="10" t="str">
        <f>INDEX(Master_Sales!$D$1:$D$9,MATCH(Lembar_Kerja_Analisis!B725,Master_Sales!$A$1:$A$9,0))</f>
        <v>Tengah</v>
      </c>
      <c r="G725" s="10" t="str">
        <f>INDEX(Master_Sales!$C$1:$C$9,MATCH(Lembar_Kerja_Analisis!B725,Master_Sales!$A$1:$A$9,0))</f>
        <v>Semarang</v>
      </c>
      <c r="H725" s="10" t="str">
        <f>VLOOKUP(A725,Master_Produk!$A$1:$E$16,2,FALSE)</f>
        <v>Monitor 24" FHD 144Hz</v>
      </c>
      <c r="I725" s="10" t="str">
        <f>INDEX(Master_Produk!$C$1:$C$16,MATCH(Lembar_Kerja_Analisis!A725,Master_Produk!$A$1:$A$16,0))</f>
        <v>Elektronik</v>
      </c>
      <c r="J725" s="19">
        <f>_xlfn.XLOOKUP(A725,Master_Produk!$A$1:$A$16,Master_Produk!$D$1:$D$16,,0)</f>
        <v>1950000</v>
      </c>
      <c r="K725" s="19">
        <f>INDEX(Master_Produk!$E$1:$E$16,MATCH(Lembar_Kerja_Analisis!A725,Master_Produk!$A$1:$A$16,0))</f>
        <v>1500000</v>
      </c>
      <c r="L725" s="8">
        <v>6</v>
      </c>
      <c r="M725" s="19">
        <f t="shared" si="55"/>
        <v>11700000</v>
      </c>
      <c r="N725" s="9">
        <v>0.15</v>
      </c>
      <c r="O725" s="19">
        <f t="shared" si="56"/>
        <v>1755000</v>
      </c>
      <c r="P725" s="19">
        <f t="shared" si="57"/>
        <v>9945000</v>
      </c>
      <c r="Q725" s="19">
        <f t="shared" si="58"/>
        <v>9000000</v>
      </c>
      <c r="R725" s="19">
        <f t="shared" si="59"/>
        <v>945000</v>
      </c>
    </row>
    <row r="726" spans="1:18" x14ac:dyDescent="0.25">
      <c r="A726" t="str">
        <f>_xlfn.XLOOKUP(C726,Raw_Data_Transaksi!$A$1:$A$1001,Raw_Data_Transaksi!$D$1:$D$1001,,0)</f>
        <v>PRD-106</v>
      </c>
      <c r="B726" t="str">
        <f>_xlfn.XLOOKUP(C726,Raw_Data_Transaksi!$A$1:$A$1001,Raw_Data_Transaksi!$C$1:$C$1001,,0)</f>
        <v>SLS-06</v>
      </c>
      <c r="C726" s="6" t="s">
        <v>810</v>
      </c>
      <c r="D726" s="7">
        <v>45667</v>
      </c>
      <c r="E726" s="10" t="str">
        <f>VLOOKUP(B726,Master_Sales!$A$1:$D$9,2,FALSE)</f>
        <v>Fajar Nugraha</v>
      </c>
      <c r="F726" s="10" t="str">
        <f>INDEX(Master_Sales!$D$1:$D$9,MATCH(Lembar_Kerja_Analisis!B726,Master_Sales!$A$1:$A$9,0))</f>
        <v>Timur</v>
      </c>
      <c r="G726" s="10" t="str">
        <f>INDEX(Master_Sales!$C$1:$C$9,MATCH(Lembar_Kerja_Analisis!B726,Master_Sales!$A$1:$A$9,0))</f>
        <v>Makassar</v>
      </c>
      <c r="H726" s="10" t="str">
        <f>VLOOKUP(A726,Master_Produk!$A$1:$E$16,2,FALSE)</f>
        <v>Celana Chino Slim Fit</v>
      </c>
      <c r="I726" s="10" t="str">
        <f>INDEX(Master_Produk!$C$1:$C$16,MATCH(Lembar_Kerja_Analisis!A726,Master_Produk!$A$1:$A$16,0))</f>
        <v>Fashion</v>
      </c>
      <c r="J726" s="19">
        <f>_xlfn.XLOOKUP(A726,Master_Produk!$A$1:$A$16,Master_Produk!$D$1:$D$16,,0)</f>
        <v>280000</v>
      </c>
      <c r="K726" s="19">
        <f>INDEX(Master_Produk!$E$1:$E$16,MATCH(Lembar_Kerja_Analisis!A726,Master_Produk!$A$1:$A$16,0))</f>
        <v>175000</v>
      </c>
      <c r="L726" s="8">
        <v>6</v>
      </c>
      <c r="M726" s="19">
        <f t="shared" si="55"/>
        <v>1680000</v>
      </c>
      <c r="N726" s="9">
        <v>0.1</v>
      </c>
      <c r="O726" s="19">
        <f t="shared" si="56"/>
        <v>168000</v>
      </c>
      <c r="P726" s="19">
        <f t="shared" si="57"/>
        <v>1512000</v>
      </c>
      <c r="Q726" s="19">
        <f t="shared" si="58"/>
        <v>1050000</v>
      </c>
      <c r="R726" s="19">
        <f t="shared" si="59"/>
        <v>462000</v>
      </c>
    </row>
    <row r="727" spans="1:18" x14ac:dyDescent="0.25">
      <c r="A727" t="str">
        <f>_xlfn.XLOOKUP(C727,Raw_Data_Transaksi!$A$1:$A$1001,Raw_Data_Transaksi!$D$1:$D$1001,,0)</f>
        <v>PRD-111</v>
      </c>
      <c r="B727" t="str">
        <f>_xlfn.XLOOKUP(C727,Raw_Data_Transaksi!$A$1:$A$1001,Raw_Data_Transaksi!$C$1:$C$1001,,0)</f>
        <v>SLS-05</v>
      </c>
      <c r="C727" s="6" t="s">
        <v>811</v>
      </c>
      <c r="D727" s="7">
        <v>45689</v>
      </c>
      <c r="E727" s="10" t="str">
        <f>VLOOKUP(B727,Master_Sales!$A$1:$D$9,2,FALSE)</f>
        <v>Eko Prasetyo</v>
      </c>
      <c r="F727" s="10" t="str">
        <f>INDEX(Master_Sales!$D$1:$D$9,MATCH(Lembar_Kerja_Analisis!B727,Master_Sales!$A$1:$A$9,0))</f>
        <v>Tengah</v>
      </c>
      <c r="G727" s="10" t="str">
        <f>INDEX(Master_Sales!$C$1:$C$9,MATCH(Lembar_Kerja_Analisis!B727,Master_Sales!$A$1:$A$9,0))</f>
        <v>Semarang</v>
      </c>
      <c r="H727" s="10" t="str">
        <f>VLOOKUP(A727,Master_Produk!$A$1:$E$16,2,FALSE)</f>
        <v>Beras Premium 5kg</v>
      </c>
      <c r="I727" s="10" t="str">
        <f>INDEX(Master_Produk!$C$1:$C$16,MATCH(Lembar_Kerja_Analisis!A727,Master_Produk!$A$1:$A$16,0))</f>
        <v>F&amp;B</v>
      </c>
      <c r="J727" s="19">
        <f>_xlfn.XLOOKUP(A727,Master_Produk!$A$1:$A$16,Master_Produk!$D$1:$D$16,,0)</f>
        <v>74000</v>
      </c>
      <c r="K727" s="19">
        <f>INDEX(Master_Produk!$E$1:$E$16,MATCH(Lembar_Kerja_Analisis!A727,Master_Produk!$A$1:$A$16,0))</f>
        <v>65000</v>
      </c>
      <c r="L727" s="8">
        <v>29</v>
      </c>
      <c r="M727" s="19">
        <f t="shared" si="55"/>
        <v>2146000</v>
      </c>
      <c r="N727" s="9">
        <v>0</v>
      </c>
      <c r="O727" s="19">
        <f t="shared" si="56"/>
        <v>0</v>
      </c>
      <c r="P727" s="19">
        <f t="shared" si="57"/>
        <v>2146000</v>
      </c>
      <c r="Q727" s="19">
        <f t="shared" si="58"/>
        <v>1885000</v>
      </c>
      <c r="R727" s="19">
        <f t="shared" si="59"/>
        <v>261000</v>
      </c>
    </row>
    <row r="728" spans="1:18" x14ac:dyDescent="0.25">
      <c r="A728" t="str">
        <f>_xlfn.XLOOKUP(C728,Raw_Data_Transaksi!$A$1:$A$1001,Raw_Data_Transaksi!$D$1:$D$1001,,0)</f>
        <v>PRD-115</v>
      </c>
      <c r="B728" t="str">
        <f>_xlfn.XLOOKUP(C728,Raw_Data_Transaksi!$A$1:$A$1001,Raw_Data_Transaksi!$C$1:$C$1001,,0)</f>
        <v>SLS-07</v>
      </c>
      <c r="C728" s="6" t="s">
        <v>812</v>
      </c>
      <c r="D728" s="7">
        <v>45832</v>
      </c>
      <c r="E728" s="10" t="str">
        <f>VLOOKUP(B728,Master_Sales!$A$1:$D$9,2,FALSE)</f>
        <v>Gita Permata</v>
      </c>
      <c r="F728" s="10" t="str">
        <f>INDEX(Master_Sales!$D$1:$D$9,MATCH(Lembar_Kerja_Analisis!B728,Master_Sales!$A$1:$A$9,0))</f>
        <v>Tengah</v>
      </c>
      <c r="G728" s="10" t="str">
        <f>INDEX(Master_Sales!$C$1:$C$9,MATCH(Lembar_Kerja_Analisis!B728,Master_Sales!$A$1:$A$9,0))</f>
        <v>Denpasar</v>
      </c>
      <c r="H728" s="10" t="str">
        <f>VLOOKUP(A728,Master_Produk!$A$1:$E$16,2,FALSE)</f>
        <v>Set Pisau Dapur Stainless</v>
      </c>
      <c r="I728" s="10" t="str">
        <f>INDEX(Master_Produk!$C$1:$C$16,MATCH(Lembar_Kerja_Analisis!A728,Master_Produk!$A$1:$A$16,0))</f>
        <v>Peralatan Rumah</v>
      </c>
      <c r="J728" s="19">
        <f>_xlfn.XLOOKUP(A728,Master_Produk!$A$1:$A$16,Master_Produk!$D$1:$D$16,,0)</f>
        <v>165000</v>
      </c>
      <c r="K728" s="19">
        <f>INDEX(Master_Produk!$E$1:$E$16,MATCH(Lembar_Kerja_Analisis!A728,Master_Produk!$A$1:$A$16,0))</f>
        <v>105000</v>
      </c>
      <c r="L728" s="8">
        <v>11</v>
      </c>
      <c r="M728" s="19">
        <f t="shared" si="55"/>
        <v>1815000</v>
      </c>
      <c r="N728" s="9">
        <v>0.05</v>
      </c>
      <c r="O728" s="19">
        <f t="shared" si="56"/>
        <v>90750</v>
      </c>
      <c r="P728" s="19">
        <f t="shared" si="57"/>
        <v>1724250</v>
      </c>
      <c r="Q728" s="19">
        <f t="shared" si="58"/>
        <v>1155000</v>
      </c>
      <c r="R728" s="19">
        <f t="shared" si="59"/>
        <v>569250</v>
      </c>
    </row>
    <row r="729" spans="1:18" x14ac:dyDescent="0.25">
      <c r="A729" t="str">
        <f>_xlfn.XLOOKUP(C729,Raw_Data_Transaksi!$A$1:$A$1001,Raw_Data_Transaksi!$D$1:$D$1001,,0)</f>
        <v>PRD-111</v>
      </c>
      <c r="B729" t="str">
        <f>_xlfn.XLOOKUP(C729,Raw_Data_Transaksi!$A$1:$A$1001,Raw_Data_Transaksi!$C$1:$C$1001,,0)</f>
        <v>SLS-04</v>
      </c>
      <c r="C729" s="6" t="s">
        <v>813</v>
      </c>
      <c r="D729" s="7">
        <v>45924</v>
      </c>
      <c r="E729" s="10" t="str">
        <f>VLOOKUP(B729,Master_Sales!$A$1:$D$9,2,FALSE)</f>
        <v>Dewi Anggraini</v>
      </c>
      <c r="F729" s="10" t="str">
        <f>INDEX(Master_Sales!$D$1:$D$9,MATCH(Lembar_Kerja_Analisis!B729,Master_Sales!$A$1:$A$9,0))</f>
        <v>Barat</v>
      </c>
      <c r="G729" s="10" t="str">
        <f>INDEX(Master_Sales!$C$1:$C$9,MATCH(Lembar_Kerja_Analisis!B729,Master_Sales!$A$1:$A$9,0))</f>
        <v>Medan</v>
      </c>
      <c r="H729" s="10" t="str">
        <f>VLOOKUP(A729,Master_Produk!$A$1:$E$16,2,FALSE)</f>
        <v>Beras Premium 5kg</v>
      </c>
      <c r="I729" s="10" t="str">
        <f>INDEX(Master_Produk!$C$1:$C$16,MATCH(Lembar_Kerja_Analisis!A729,Master_Produk!$A$1:$A$16,0))</f>
        <v>F&amp;B</v>
      </c>
      <c r="J729" s="19">
        <f>_xlfn.XLOOKUP(A729,Master_Produk!$A$1:$A$16,Master_Produk!$D$1:$D$16,,0)</f>
        <v>74000</v>
      </c>
      <c r="K729" s="19">
        <f>INDEX(Master_Produk!$E$1:$E$16,MATCH(Lembar_Kerja_Analisis!A729,Master_Produk!$A$1:$A$16,0))</f>
        <v>65000</v>
      </c>
      <c r="L729" s="8">
        <v>10</v>
      </c>
      <c r="M729" s="19">
        <f t="shared" si="55"/>
        <v>740000</v>
      </c>
      <c r="N729" s="9">
        <v>0.2</v>
      </c>
      <c r="O729" s="19">
        <f t="shared" si="56"/>
        <v>148000</v>
      </c>
      <c r="P729" s="19">
        <f t="shared" si="57"/>
        <v>592000</v>
      </c>
      <c r="Q729" s="19">
        <f t="shared" si="58"/>
        <v>650000</v>
      </c>
      <c r="R729" s="19">
        <f t="shared" si="59"/>
        <v>-58000</v>
      </c>
    </row>
    <row r="730" spans="1:18" x14ac:dyDescent="0.25">
      <c r="A730" t="str">
        <f>_xlfn.XLOOKUP(C730,Raw_Data_Transaksi!$A$1:$A$1001,Raw_Data_Transaksi!$D$1:$D$1001,,0)</f>
        <v>PRD-106</v>
      </c>
      <c r="B730" t="str">
        <f>_xlfn.XLOOKUP(C730,Raw_Data_Transaksi!$A$1:$A$1001,Raw_Data_Transaksi!$C$1:$C$1001,,0)</f>
        <v>SLS-08</v>
      </c>
      <c r="C730" s="6" t="s">
        <v>814</v>
      </c>
      <c r="D730" s="7">
        <v>45967</v>
      </c>
      <c r="E730" s="10" t="str">
        <f>VLOOKUP(B730,Master_Sales!$A$1:$D$9,2,FALSE)</f>
        <v>Hendra Wijaya</v>
      </c>
      <c r="F730" s="10" t="str">
        <f>INDEX(Master_Sales!$D$1:$D$9,MATCH(Lembar_Kerja_Analisis!B730,Master_Sales!$A$1:$A$9,0))</f>
        <v>Tengah</v>
      </c>
      <c r="G730" s="10" t="str">
        <f>INDEX(Master_Sales!$C$1:$C$9,MATCH(Lembar_Kerja_Analisis!B730,Master_Sales!$A$1:$A$9,0))</f>
        <v>Yogyakarta</v>
      </c>
      <c r="H730" s="10" t="str">
        <f>VLOOKUP(A730,Master_Produk!$A$1:$E$16,2,FALSE)</f>
        <v>Celana Chino Slim Fit</v>
      </c>
      <c r="I730" s="10" t="str">
        <f>INDEX(Master_Produk!$C$1:$C$16,MATCH(Lembar_Kerja_Analisis!A730,Master_Produk!$A$1:$A$16,0))</f>
        <v>Fashion</v>
      </c>
      <c r="J730" s="19">
        <f>_xlfn.XLOOKUP(A730,Master_Produk!$A$1:$A$16,Master_Produk!$D$1:$D$16,,0)</f>
        <v>280000</v>
      </c>
      <c r="K730" s="19">
        <f>INDEX(Master_Produk!$E$1:$E$16,MATCH(Lembar_Kerja_Analisis!A730,Master_Produk!$A$1:$A$16,0))</f>
        <v>175000</v>
      </c>
      <c r="L730" s="8">
        <v>9</v>
      </c>
      <c r="M730" s="19">
        <f t="shared" si="55"/>
        <v>2520000</v>
      </c>
      <c r="N730" s="9">
        <v>0.05</v>
      </c>
      <c r="O730" s="19">
        <f t="shared" si="56"/>
        <v>126000</v>
      </c>
      <c r="P730" s="19">
        <f t="shared" si="57"/>
        <v>2394000</v>
      </c>
      <c r="Q730" s="19">
        <f t="shared" si="58"/>
        <v>1575000</v>
      </c>
      <c r="R730" s="19">
        <f t="shared" si="59"/>
        <v>819000</v>
      </c>
    </row>
    <row r="731" spans="1:18" x14ac:dyDescent="0.25">
      <c r="A731" t="str">
        <f>_xlfn.XLOOKUP(C731,Raw_Data_Transaksi!$A$1:$A$1001,Raw_Data_Transaksi!$D$1:$D$1001,,0)</f>
        <v>PRD-109</v>
      </c>
      <c r="B731" t="str">
        <f>_xlfn.XLOOKUP(C731,Raw_Data_Transaksi!$A$1:$A$1001,Raw_Data_Transaksi!$C$1:$C$1001,,0)</f>
        <v>SLS-04</v>
      </c>
      <c r="C731" s="6" t="s">
        <v>815</v>
      </c>
      <c r="D731" s="7">
        <v>45955</v>
      </c>
      <c r="E731" s="10" t="str">
        <f>VLOOKUP(B731,Master_Sales!$A$1:$D$9,2,FALSE)</f>
        <v>Dewi Anggraini</v>
      </c>
      <c r="F731" s="10" t="str">
        <f>INDEX(Master_Sales!$D$1:$D$9,MATCH(Lembar_Kerja_Analisis!B731,Master_Sales!$A$1:$A$9,0))</f>
        <v>Barat</v>
      </c>
      <c r="G731" s="10" t="str">
        <f>INDEX(Master_Sales!$C$1:$C$9,MATCH(Lembar_Kerja_Analisis!B731,Master_Sales!$A$1:$A$9,0))</f>
        <v>Medan</v>
      </c>
      <c r="H731" s="10" t="str">
        <f>VLOOKUP(A731,Master_Produk!$A$1:$E$16,2,FALSE)</f>
        <v>Kopi Arabika Gayo 250g</v>
      </c>
      <c r="I731" s="10" t="str">
        <f>INDEX(Master_Produk!$C$1:$C$16,MATCH(Lembar_Kerja_Analisis!A731,Master_Produk!$A$1:$A$16,0))</f>
        <v>F&amp;B</v>
      </c>
      <c r="J731" s="19">
        <f>_xlfn.XLOOKUP(A731,Master_Produk!$A$1:$A$16,Master_Produk!$D$1:$D$16,,0)</f>
        <v>85000</v>
      </c>
      <c r="K731" s="19">
        <f>INDEX(Master_Produk!$E$1:$E$16,MATCH(Lembar_Kerja_Analisis!A731,Master_Produk!$A$1:$A$16,0))</f>
        <v>55000</v>
      </c>
      <c r="L731" s="8">
        <v>12</v>
      </c>
      <c r="M731" s="19">
        <f t="shared" si="55"/>
        <v>1020000</v>
      </c>
      <c r="N731" s="9">
        <v>0.2</v>
      </c>
      <c r="O731" s="19">
        <f t="shared" si="56"/>
        <v>204000</v>
      </c>
      <c r="P731" s="19">
        <f t="shared" si="57"/>
        <v>816000</v>
      </c>
      <c r="Q731" s="19">
        <f t="shared" si="58"/>
        <v>660000</v>
      </c>
      <c r="R731" s="19">
        <f t="shared" si="59"/>
        <v>156000</v>
      </c>
    </row>
    <row r="732" spans="1:18" x14ac:dyDescent="0.25">
      <c r="A732" t="str">
        <f>_xlfn.XLOOKUP(C732,Raw_Data_Transaksi!$A$1:$A$1001,Raw_Data_Transaksi!$D$1:$D$1001,,0)</f>
        <v>PRD-115</v>
      </c>
      <c r="B732" t="str">
        <f>_xlfn.XLOOKUP(C732,Raw_Data_Transaksi!$A$1:$A$1001,Raw_Data_Transaksi!$C$1:$C$1001,,0)</f>
        <v>SLS-03</v>
      </c>
      <c r="C732" s="6" t="s">
        <v>816</v>
      </c>
      <c r="D732" s="7">
        <v>45993</v>
      </c>
      <c r="E732" s="10" t="str">
        <f>VLOOKUP(B732,Master_Sales!$A$1:$D$9,2,FALSE)</f>
        <v>Citra Lestari</v>
      </c>
      <c r="F732" s="10" t="str">
        <f>INDEX(Master_Sales!$D$1:$D$9,MATCH(Lembar_Kerja_Analisis!B732,Master_Sales!$A$1:$A$9,0))</f>
        <v>Barat</v>
      </c>
      <c r="G732" s="10" t="str">
        <f>INDEX(Master_Sales!$C$1:$C$9,MATCH(Lembar_Kerja_Analisis!B732,Master_Sales!$A$1:$A$9,0))</f>
        <v>Bandung</v>
      </c>
      <c r="H732" s="10" t="str">
        <f>VLOOKUP(A732,Master_Produk!$A$1:$E$16,2,FALSE)</f>
        <v>Set Pisau Dapur Stainless</v>
      </c>
      <c r="I732" s="10" t="str">
        <f>INDEX(Master_Produk!$C$1:$C$16,MATCH(Lembar_Kerja_Analisis!A732,Master_Produk!$A$1:$A$16,0))</f>
        <v>Peralatan Rumah</v>
      </c>
      <c r="J732" s="19">
        <f>_xlfn.XLOOKUP(A732,Master_Produk!$A$1:$A$16,Master_Produk!$D$1:$D$16,,0)</f>
        <v>165000</v>
      </c>
      <c r="K732" s="19">
        <f>INDEX(Master_Produk!$E$1:$E$16,MATCH(Lembar_Kerja_Analisis!A732,Master_Produk!$A$1:$A$16,0))</f>
        <v>105000</v>
      </c>
      <c r="L732" s="8">
        <v>6</v>
      </c>
      <c r="M732" s="19">
        <f t="shared" si="55"/>
        <v>990000</v>
      </c>
      <c r="N732" s="9">
        <v>0</v>
      </c>
      <c r="O732" s="19">
        <f t="shared" si="56"/>
        <v>0</v>
      </c>
      <c r="P732" s="19">
        <f t="shared" si="57"/>
        <v>990000</v>
      </c>
      <c r="Q732" s="19">
        <f t="shared" si="58"/>
        <v>630000</v>
      </c>
      <c r="R732" s="19">
        <f t="shared" si="59"/>
        <v>360000</v>
      </c>
    </row>
    <row r="733" spans="1:18" x14ac:dyDescent="0.25">
      <c r="A733" t="str">
        <f>_xlfn.XLOOKUP(C733,Raw_Data_Transaksi!$A$1:$A$1001,Raw_Data_Transaksi!$D$1:$D$1001,,0)</f>
        <v>PRD-112</v>
      </c>
      <c r="B733" t="str">
        <f>_xlfn.XLOOKUP(C733,Raw_Data_Transaksi!$A$1:$A$1001,Raw_Data_Transaksi!$C$1:$C$1001,,0)</f>
        <v>SLS-01</v>
      </c>
      <c r="C733" s="6" t="s">
        <v>817</v>
      </c>
      <c r="D733" s="7">
        <v>45732</v>
      </c>
      <c r="E733" s="10" t="str">
        <f>VLOOKUP(B733,Master_Sales!$A$1:$D$9,2,FALSE)</f>
        <v>Andi Pratama</v>
      </c>
      <c r="F733" s="10" t="str">
        <f>INDEX(Master_Sales!$D$1:$D$9,MATCH(Lembar_Kerja_Analisis!B733,Master_Sales!$A$1:$A$9,0))</f>
        <v>Barat</v>
      </c>
      <c r="G733" s="10" t="str">
        <f>INDEX(Master_Sales!$C$1:$C$9,MATCH(Lembar_Kerja_Analisis!B733,Master_Sales!$A$1:$A$9,0))</f>
        <v>Jakarta</v>
      </c>
      <c r="H733" s="10" t="str">
        <f>VLOOKUP(A733,Master_Produk!$A$1:$E$16,2,FALSE)</f>
        <v>Susu UHT Full Cream 1L</v>
      </c>
      <c r="I733" s="10" t="str">
        <f>INDEX(Master_Produk!$C$1:$C$16,MATCH(Lembar_Kerja_Analisis!A733,Master_Produk!$A$1:$A$16,0))</f>
        <v>F&amp;B</v>
      </c>
      <c r="J733" s="19">
        <f>_xlfn.XLOOKUP(A733,Master_Produk!$A$1:$A$16,Master_Produk!$D$1:$D$16,,0)</f>
        <v>22000</v>
      </c>
      <c r="K733" s="19">
        <f>INDEX(Master_Produk!$E$1:$E$16,MATCH(Lembar_Kerja_Analisis!A733,Master_Produk!$A$1:$A$16,0))</f>
        <v>18000</v>
      </c>
      <c r="L733" s="8">
        <v>16</v>
      </c>
      <c r="M733" s="19">
        <f t="shared" si="55"/>
        <v>352000</v>
      </c>
      <c r="N733" s="9">
        <v>0.15</v>
      </c>
      <c r="O733" s="19">
        <f t="shared" si="56"/>
        <v>52800</v>
      </c>
      <c r="P733" s="19">
        <f t="shared" si="57"/>
        <v>299200</v>
      </c>
      <c r="Q733" s="19">
        <f t="shared" si="58"/>
        <v>288000</v>
      </c>
      <c r="R733" s="19">
        <f t="shared" si="59"/>
        <v>11200</v>
      </c>
    </row>
    <row r="734" spans="1:18" x14ac:dyDescent="0.25">
      <c r="A734" t="str">
        <f>_xlfn.XLOOKUP(C734,Raw_Data_Transaksi!$A$1:$A$1001,Raw_Data_Transaksi!$D$1:$D$1001,,0)</f>
        <v>PRD-113</v>
      </c>
      <c r="B734" t="str">
        <f>_xlfn.XLOOKUP(C734,Raw_Data_Transaksi!$A$1:$A$1001,Raw_Data_Transaksi!$C$1:$C$1001,,0)</f>
        <v>SLS-04</v>
      </c>
      <c r="C734" s="6" t="s">
        <v>818</v>
      </c>
      <c r="D734" s="7">
        <v>45735</v>
      </c>
      <c r="E734" s="10" t="str">
        <f>VLOOKUP(B734,Master_Sales!$A$1:$D$9,2,FALSE)</f>
        <v>Dewi Anggraini</v>
      </c>
      <c r="F734" s="10" t="str">
        <f>INDEX(Master_Sales!$D$1:$D$9,MATCH(Lembar_Kerja_Analisis!B734,Master_Sales!$A$1:$A$9,0))</f>
        <v>Barat</v>
      </c>
      <c r="G734" s="10" t="str">
        <f>INDEX(Master_Sales!$C$1:$C$9,MATCH(Lembar_Kerja_Analisis!B734,Master_Sales!$A$1:$A$9,0))</f>
        <v>Medan</v>
      </c>
      <c r="H734" s="10" t="str">
        <f>VLOOKUP(A734,Master_Produk!$A$1:$E$16,2,FALSE)</f>
        <v>Wajan Anti Lengket 28cm</v>
      </c>
      <c r="I734" s="10" t="str">
        <f>INDEX(Master_Produk!$C$1:$C$16,MATCH(Lembar_Kerja_Analisis!A734,Master_Produk!$A$1:$A$16,0))</f>
        <v>Peralatan Rumah</v>
      </c>
      <c r="J734" s="19">
        <f>_xlfn.XLOOKUP(A734,Master_Produk!$A$1:$A$16,Master_Produk!$D$1:$D$16,,0)</f>
        <v>210000</v>
      </c>
      <c r="K734" s="19">
        <f>INDEX(Master_Produk!$E$1:$E$16,MATCH(Lembar_Kerja_Analisis!A734,Master_Produk!$A$1:$A$16,0))</f>
        <v>140000</v>
      </c>
      <c r="L734" s="8">
        <v>2</v>
      </c>
      <c r="M734" s="19">
        <f t="shared" si="55"/>
        <v>420000</v>
      </c>
      <c r="N734" s="9">
        <v>0.05</v>
      </c>
      <c r="O734" s="19">
        <f t="shared" si="56"/>
        <v>21000</v>
      </c>
      <c r="P734" s="19">
        <f t="shared" si="57"/>
        <v>399000</v>
      </c>
      <c r="Q734" s="19">
        <f t="shared" si="58"/>
        <v>280000</v>
      </c>
      <c r="R734" s="19">
        <f t="shared" si="59"/>
        <v>119000</v>
      </c>
    </row>
    <row r="735" spans="1:18" x14ac:dyDescent="0.25">
      <c r="A735" t="str">
        <f>_xlfn.XLOOKUP(C735,Raw_Data_Transaksi!$A$1:$A$1001,Raw_Data_Transaksi!$D$1:$D$1001,,0)</f>
        <v>PRD-110</v>
      </c>
      <c r="B735" t="str">
        <f>_xlfn.XLOOKUP(C735,Raw_Data_Transaksi!$A$1:$A$1001,Raw_Data_Transaksi!$C$1:$C$1001,,0)</f>
        <v>SLS-04</v>
      </c>
      <c r="C735" s="6" t="s">
        <v>819</v>
      </c>
      <c r="D735" s="7">
        <v>45968</v>
      </c>
      <c r="E735" s="10" t="str">
        <f>VLOOKUP(B735,Master_Sales!$A$1:$D$9,2,FALSE)</f>
        <v>Dewi Anggraini</v>
      </c>
      <c r="F735" s="10" t="str">
        <f>INDEX(Master_Sales!$D$1:$D$9,MATCH(Lembar_Kerja_Analisis!B735,Master_Sales!$A$1:$A$9,0))</f>
        <v>Barat</v>
      </c>
      <c r="G735" s="10" t="str">
        <f>INDEX(Master_Sales!$C$1:$C$9,MATCH(Lembar_Kerja_Analisis!B735,Master_Sales!$A$1:$A$9,0))</f>
        <v>Medan</v>
      </c>
      <c r="H735" s="10" t="str">
        <f>VLOOKUP(A735,Master_Produk!$A$1:$E$16,2,FALSE)</f>
        <v>Minyak Goreng Sawit 2L</v>
      </c>
      <c r="I735" s="10" t="str">
        <f>INDEX(Master_Produk!$C$1:$C$16,MATCH(Lembar_Kerja_Analisis!A735,Master_Produk!$A$1:$A$16,0))</f>
        <v>F&amp;B</v>
      </c>
      <c r="J735" s="19">
        <f>_xlfn.XLOOKUP(A735,Master_Produk!$A$1:$A$16,Master_Produk!$D$1:$D$16,,0)</f>
        <v>36000</v>
      </c>
      <c r="K735" s="19">
        <f>INDEX(Master_Produk!$E$1:$E$16,MATCH(Lembar_Kerja_Analisis!A735,Master_Produk!$A$1:$A$16,0))</f>
        <v>31000</v>
      </c>
      <c r="L735" s="8">
        <v>10</v>
      </c>
      <c r="M735" s="19">
        <f t="shared" si="55"/>
        <v>360000</v>
      </c>
      <c r="N735" s="9">
        <v>0.05</v>
      </c>
      <c r="O735" s="19">
        <f t="shared" si="56"/>
        <v>18000</v>
      </c>
      <c r="P735" s="19">
        <f t="shared" si="57"/>
        <v>342000</v>
      </c>
      <c r="Q735" s="19">
        <f t="shared" si="58"/>
        <v>310000</v>
      </c>
      <c r="R735" s="19">
        <f t="shared" si="59"/>
        <v>32000</v>
      </c>
    </row>
    <row r="736" spans="1:18" x14ac:dyDescent="0.25">
      <c r="A736" t="str">
        <f>_xlfn.XLOOKUP(C736,Raw_Data_Transaksi!$A$1:$A$1001,Raw_Data_Transaksi!$D$1:$D$1001,,0)</f>
        <v>PRD-113</v>
      </c>
      <c r="B736" t="str">
        <f>_xlfn.XLOOKUP(C736,Raw_Data_Transaksi!$A$1:$A$1001,Raw_Data_Transaksi!$C$1:$C$1001,,0)</f>
        <v>SLS-08</v>
      </c>
      <c r="C736" s="6" t="s">
        <v>820</v>
      </c>
      <c r="D736" s="7">
        <v>46010</v>
      </c>
      <c r="E736" s="10" t="str">
        <f>VLOOKUP(B736,Master_Sales!$A$1:$D$9,2,FALSE)</f>
        <v>Hendra Wijaya</v>
      </c>
      <c r="F736" s="10" t="str">
        <f>INDEX(Master_Sales!$D$1:$D$9,MATCH(Lembar_Kerja_Analisis!B736,Master_Sales!$A$1:$A$9,0))</f>
        <v>Tengah</v>
      </c>
      <c r="G736" s="10" t="str">
        <f>INDEX(Master_Sales!$C$1:$C$9,MATCH(Lembar_Kerja_Analisis!B736,Master_Sales!$A$1:$A$9,0))</f>
        <v>Yogyakarta</v>
      </c>
      <c r="H736" s="10" t="str">
        <f>VLOOKUP(A736,Master_Produk!$A$1:$E$16,2,FALSE)</f>
        <v>Wajan Anti Lengket 28cm</v>
      </c>
      <c r="I736" s="10" t="str">
        <f>INDEX(Master_Produk!$C$1:$C$16,MATCH(Lembar_Kerja_Analisis!A736,Master_Produk!$A$1:$A$16,0))</f>
        <v>Peralatan Rumah</v>
      </c>
      <c r="J736" s="19">
        <f>_xlfn.XLOOKUP(A736,Master_Produk!$A$1:$A$16,Master_Produk!$D$1:$D$16,,0)</f>
        <v>210000</v>
      </c>
      <c r="K736" s="19">
        <f>INDEX(Master_Produk!$E$1:$E$16,MATCH(Lembar_Kerja_Analisis!A736,Master_Produk!$A$1:$A$16,0))</f>
        <v>140000</v>
      </c>
      <c r="L736" s="8">
        <v>3</v>
      </c>
      <c r="M736" s="19">
        <f t="shared" si="55"/>
        <v>630000</v>
      </c>
      <c r="N736" s="9">
        <v>0.2</v>
      </c>
      <c r="O736" s="19">
        <f t="shared" si="56"/>
        <v>126000</v>
      </c>
      <c r="P736" s="19">
        <f t="shared" si="57"/>
        <v>504000</v>
      </c>
      <c r="Q736" s="19">
        <f t="shared" si="58"/>
        <v>420000</v>
      </c>
      <c r="R736" s="19">
        <f t="shared" si="59"/>
        <v>84000</v>
      </c>
    </row>
    <row r="737" spans="1:18" x14ac:dyDescent="0.25">
      <c r="A737" t="str">
        <f>_xlfn.XLOOKUP(C737,Raw_Data_Transaksi!$A$1:$A$1001,Raw_Data_Transaksi!$D$1:$D$1001,,0)</f>
        <v>PRD-114</v>
      </c>
      <c r="B737" t="str">
        <f>_xlfn.XLOOKUP(C737,Raw_Data_Transaksi!$A$1:$A$1001,Raw_Data_Transaksi!$C$1:$C$1001,,0)</f>
        <v>SLS-07</v>
      </c>
      <c r="C737" s="6" t="s">
        <v>821</v>
      </c>
      <c r="D737" s="7">
        <v>45752</v>
      </c>
      <c r="E737" s="10" t="str">
        <f>VLOOKUP(B737,Master_Sales!$A$1:$D$9,2,FALSE)</f>
        <v>Gita Permata</v>
      </c>
      <c r="F737" s="10" t="str">
        <f>INDEX(Master_Sales!$D$1:$D$9,MATCH(Lembar_Kerja_Analisis!B737,Master_Sales!$A$1:$A$9,0))</f>
        <v>Tengah</v>
      </c>
      <c r="G737" s="10" t="str">
        <f>INDEX(Master_Sales!$C$1:$C$9,MATCH(Lembar_Kerja_Analisis!B737,Master_Sales!$A$1:$A$9,0))</f>
        <v>Denpasar</v>
      </c>
      <c r="H737" s="10" t="str">
        <f>VLOOKUP(A737,Master_Produk!$A$1:$E$16,2,FALSE)</f>
        <v>Blender Multifungsi 2-in-1</v>
      </c>
      <c r="I737" s="10" t="str">
        <f>INDEX(Master_Produk!$C$1:$C$16,MATCH(Lembar_Kerja_Analisis!A737,Master_Produk!$A$1:$A$16,0))</f>
        <v>Peralatan Rumah</v>
      </c>
      <c r="J737" s="19">
        <f>_xlfn.XLOOKUP(A737,Master_Produk!$A$1:$A$16,Master_Produk!$D$1:$D$16,,0)</f>
        <v>340000</v>
      </c>
      <c r="K737" s="19">
        <f>INDEX(Master_Produk!$E$1:$E$16,MATCH(Lembar_Kerja_Analisis!A737,Master_Produk!$A$1:$A$16,0))</f>
        <v>240000</v>
      </c>
      <c r="L737" s="8">
        <v>8</v>
      </c>
      <c r="M737" s="19">
        <f t="shared" si="55"/>
        <v>2720000</v>
      </c>
      <c r="N737" s="9">
        <v>0.15</v>
      </c>
      <c r="O737" s="19">
        <f t="shared" si="56"/>
        <v>408000</v>
      </c>
      <c r="P737" s="19">
        <f t="shared" si="57"/>
        <v>2312000</v>
      </c>
      <c r="Q737" s="19">
        <f t="shared" si="58"/>
        <v>1920000</v>
      </c>
      <c r="R737" s="19">
        <f t="shared" si="59"/>
        <v>392000</v>
      </c>
    </row>
    <row r="738" spans="1:18" x14ac:dyDescent="0.25">
      <c r="A738" t="str">
        <f>_xlfn.XLOOKUP(C738,Raw_Data_Transaksi!$A$1:$A$1001,Raw_Data_Transaksi!$D$1:$D$1001,,0)</f>
        <v>PRD-101</v>
      </c>
      <c r="B738" t="str">
        <f>_xlfn.XLOOKUP(C738,Raw_Data_Transaksi!$A$1:$A$1001,Raw_Data_Transaksi!$C$1:$C$1001,,0)</f>
        <v>SLS-07</v>
      </c>
      <c r="C738" s="6" t="s">
        <v>822</v>
      </c>
      <c r="D738" s="7">
        <v>45773</v>
      </c>
      <c r="E738" s="10" t="str">
        <f>VLOOKUP(B738,Master_Sales!$A$1:$D$9,2,FALSE)</f>
        <v>Gita Permata</v>
      </c>
      <c r="F738" s="10" t="str">
        <f>INDEX(Master_Sales!$D$1:$D$9,MATCH(Lembar_Kerja_Analisis!B738,Master_Sales!$A$1:$A$9,0))</f>
        <v>Tengah</v>
      </c>
      <c r="G738" s="10" t="str">
        <f>INDEX(Master_Sales!$C$1:$C$9,MATCH(Lembar_Kerja_Analisis!B738,Master_Sales!$A$1:$A$9,0))</f>
        <v>Denpasar</v>
      </c>
      <c r="H738" s="10" t="str">
        <f>VLOOKUP(A738,Master_Produk!$A$1:$E$16,2,FALSE)</f>
        <v>Laptop Ultrabook 14"</v>
      </c>
      <c r="I738" s="10" t="str">
        <f>INDEX(Master_Produk!$C$1:$C$16,MATCH(Lembar_Kerja_Analisis!A738,Master_Produk!$A$1:$A$16,0))</f>
        <v>Elektronik</v>
      </c>
      <c r="J738" s="19">
        <f>_xlfn.XLOOKUP(A738,Master_Produk!$A$1:$A$16,Master_Produk!$D$1:$D$16,,0)</f>
        <v>8500000</v>
      </c>
      <c r="K738" s="19">
        <f>INDEX(Master_Produk!$E$1:$E$16,MATCH(Lembar_Kerja_Analisis!A738,Master_Produk!$A$1:$A$16,0))</f>
        <v>7200000</v>
      </c>
      <c r="L738" s="8">
        <v>1</v>
      </c>
      <c r="M738" s="19">
        <f t="shared" si="55"/>
        <v>8500000</v>
      </c>
      <c r="N738" s="9">
        <v>0.1</v>
      </c>
      <c r="O738" s="19">
        <f t="shared" si="56"/>
        <v>850000</v>
      </c>
      <c r="P738" s="19">
        <f t="shared" si="57"/>
        <v>7650000</v>
      </c>
      <c r="Q738" s="19">
        <f t="shared" si="58"/>
        <v>7200000</v>
      </c>
      <c r="R738" s="19">
        <f t="shared" si="59"/>
        <v>450000</v>
      </c>
    </row>
    <row r="739" spans="1:18" x14ac:dyDescent="0.25">
      <c r="A739" t="str">
        <f>_xlfn.XLOOKUP(C739,Raw_Data_Transaksi!$A$1:$A$1001,Raw_Data_Transaksi!$D$1:$D$1001,,0)</f>
        <v>PRD-102</v>
      </c>
      <c r="B739" t="str">
        <f>_xlfn.XLOOKUP(C739,Raw_Data_Transaksi!$A$1:$A$1001,Raw_Data_Transaksi!$C$1:$C$1001,,0)</f>
        <v>SLS-03</v>
      </c>
      <c r="C739" s="6" t="s">
        <v>823</v>
      </c>
      <c r="D739" s="7">
        <v>45762</v>
      </c>
      <c r="E739" s="10" t="str">
        <f>VLOOKUP(B739,Master_Sales!$A$1:$D$9,2,FALSE)</f>
        <v>Citra Lestari</v>
      </c>
      <c r="F739" s="10" t="str">
        <f>INDEX(Master_Sales!$D$1:$D$9,MATCH(Lembar_Kerja_Analisis!B739,Master_Sales!$A$1:$A$9,0))</f>
        <v>Barat</v>
      </c>
      <c r="G739" s="10" t="str">
        <f>INDEX(Master_Sales!$C$1:$C$9,MATCH(Lembar_Kerja_Analisis!B739,Master_Sales!$A$1:$A$9,0))</f>
        <v>Bandung</v>
      </c>
      <c r="H739" s="10" t="str">
        <f>VLOOKUP(A739,Master_Produk!$A$1:$E$16,2,FALSE)</f>
        <v>Wireless Mouse Ergonomic</v>
      </c>
      <c r="I739" s="10" t="str">
        <f>INDEX(Master_Produk!$C$1:$C$16,MATCH(Lembar_Kerja_Analisis!A739,Master_Produk!$A$1:$A$16,0))</f>
        <v>Elektronik</v>
      </c>
      <c r="J739" s="19">
        <f>_xlfn.XLOOKUP(A739,Master_Produk!$A$1:$A$16,Master_Produk!$D$1:$D$16,,0)</f>
        <v>250000</v>
      </c>
      <c r="K739" s="19">
        <f>INDEX(Master_Produk!$E$1:$E$16,MATCH(Lembar_Kerja_Analisis!A739,Master_Produk!$A$1:$A$16,0))</f>
        <v>160000</v>
      </c>
      <c r="L739" s="8">
        <v>8</v>
      </c>
      <c r="M739" s="19">
        <f t="shared" si="55"/>
        <v>2000000</v>
      </c>
      <c r="N739" s="9">
        <v>0.2</v>
      </c>
      <c r="O739" s="19">
        <f t="shared" si="56"/>
        <v>400000</v>
      </c>
      <c r="P739" s="19">
        <f t="shared" si="57"/>
        <v>1600000</v>
      </c>
      <c r="Q739" s="19">
        <f t="shared" si="58"/>
        <v>1280000</v>
      </c>
      <c r="R739" s="19">
        <f t="shared" si="59"/>
        <v>320000</v>
      </c>
    </row>
    <row r="740" spans="1:18" x14ac:dyDescent="0.25">
      <c r="A740" t="str">
        <f>_xlfn.XLOOKUP(C740,Raw_Data_Transaksi!$A$1:$A$1001,Raw_Data_Transaksi!$D$1:$D$1001,,0)</f>
        <v>PRD-115</v>
      </c>
      <c r="B740" t="str">
        <f>_xlfn.XLOOKUP(C740,Raw_Data_Transaksi!$A$1:$A$1001,Raw_Data_Transaksi!$C$1:$C$1001,,0)</f>
        <v>SLS-04</v>
      </c>
      <c r="C740" s="6" t="s">
        <v>824</v>
      </c>
      <c r="D740" s="7">
        <v>45892</v>
      </c>
      <c r="E740" s="10" t="str">
        <f>VLOOKUP(B740,Master_Sales!$A$1:$D$9,2,FALSE)</f>
        <v>Dewi Anggraini</v>
      </c>
      <c r="F740" s="10" t="str">
        <f>INDEX(Master_Sales!$D$1:$D$9,MATCH(Lembar_Kerja_Analisis!B740,Master_Sales!$A$1:$A$9,0))</f>
        <v>Barat</v>
      </c>
      <c r="G740" s="10" t="str">
        <f>INDEX(Master_Sales!$C$1:$C$9,MATCH(Lembar_Kerja_Analisis!B740,Master_Sales!$A$1:$A$9,0))</f>
        <v>Medan</v>
      </c>
      <c r="H740" s="10" t="str">
        <f>VLOOKUP(A740,Master_Produk!$A$1:$E$16,2,FALSE)</f>
        <v>Set Pisau Dapur Stainless</v>
      </c>
      <c r="I740" s="10" t="str">
        <f>INDEX(Master_Produk!$C$1:$C$16,MATCH(Lembar_Kerja_Analisis!A740,Master_Produk!$A$1:$A$16,0))</f>
        <v>Peralatan Rumah</v>
      </c>
      <c r="J740" s="19">
        <f>_xlfn.XLOOKUP(A740,Master_Produk!$A$1:$A$16,Master_Produk!$D$1:$D$16,,0)</f>
        <v>165000</v>
      </c>
      <c r="K740" s="19">
        <f>INDEX(Master_Produk!$E$1:$E$16,MATCH(Lembar_Kerja_Analisis!A740,Master_Produk!$A$1:$A$16,0))</f>
        <v>105000</v>
      </c>
      <c r="L740" s="8">
        <v>7</v>
      </c>
      <c r="M740" s="19">
        <f t="shared" si="55"/>
        <v>1155000</v>
      </c>
      <c r="N740" s="9">
        <v>0.15</v>
      </c>
      <c r="O740" s="19">
        <f t="shared" si="56"/>
        <v>173250</v>
      </c>
      <c r="P740" s="19">
        <f t="shared" si="57"/>
        <v>981750</v>
      </c>
      <c r="Q740" s="19">
        <f t="shared" si="58"/>
        <v>735000</v>
      </c>
      <c r="R740" s="19">
        <f t="shared" si="59"/>
        <v>246750</v>
      </c>
    </row>
    <row r="741" spans="1:18" x14ac:dyDescent="0.25">
      <c r="A741" t="str">
        <f>_xlfn.XLOOKUP(C741,Raw_Data_Transaksi!$A$1:$A$1001,Raw_Data_Transaksi!$D$1:$D$1001,,0)</f>
        <v>PRD-107</v>
      </c>
      <c r="B741" t="str">
        <f>_xlfn.XLOOKUP(C741,Raw_Data_Transaksi!$A$1:$A$1001,Raw_Data_Transaksi!$C$1:$C$1001,,0)</f>
        <v>SLS-01</v>
      </c>
      <c r="C741" s="6" t="s">
        <v>825</v>
      </c>
      <c r="D741" s="7">
        <v>45818</v>
      </c>
      <c r="E741" s="10" t="str">
        <f>VLOOKUP(B741,Master_Sales!$A$1:$D$9,2,FALSE)</f>
        <v>Andi Pratama</v>
      </c>
      <c r="F741" s="10" t="str">
        <f>INDEX(Master_Sales!$D$1:$D$9,MATCH(Lembar_Kerja_Analisis!B741,Master_Sales!$A$1:$A$9,0))</f>
        <v>Barat</v>
      </c>
      <c r="G741" s="10" t="str">
        <f>INDEX(Master_Sales!$C$1:$C$9,MATCH(Lembar_Kerja_Analisis!B741,Master_Sales!$A$1:$A$9,0))</f>
        <v>Jakarta</v>
      </c>
      <c r="H741" s="10" t="str">
        <f>VLOOKUP(A741,Master_Produk!$A$1:$E$16,2,FALSE)</f>
        <v>Jaket Hoodie Casual</v>
      </c>
      <c r="I741" s="10" t="str">
        <f>INDEX(Master_Produk!$C$1:$C$16,MATCH(Lembar_Kerja_Analisis!A741,Master_Produk!$A$1:$A$16,0))</f>
        <v>Fashion</v>
      </c>
      <c r="J741" s="19">
        <f>_xlfn.XLOOKUP(A741,Master_Produk!$A$1:$A$16,Master_Produk!$D$1:$D$16,,0)</f>
        <v>350000</v>
      </c>
      <c r="K741" s="19">
        <f>INDEX(Master_Produk!$E$1:$E$16,MATCH(Lembar_Kerja_Analisis!A741,Master_Produk!$A$1:$A$16,0))</f>
        <v>220000</v>
      </c>
      <c r="L741" s="8">
        <v>9</v>
      </c>
      <c r="M741" s="19">
        <f t="shared" si="55"/>
        <v>3150000</v>
      </c>
      <c r="N741" s="9">
        <v>0</v>
      </c>
      <c r="O741" s="19">
        <f t="shared" si="56"/>
        <v>0</v>
      </c>
      <c r="P741" s="19">
        <f t="shared" si="57"/>
        <v>3150000</v>
      </c>
      <c r="Q741" s="19">
        <f t="shared" si="58"/>
        <v>1980000</v>
      </c>
      <c r="R741" s="19">
        <f t="shared" si="59"/>
        <v>1170000</v>
      </c>
    </row>
    <row r="742" spans="1:18" x14ac:dyDescent="0.25">
      <c r="A742" t="str">
        <f>_xlfn.XLOOKUP(C742,Raw_Data_Transaksi!$A$1:$A$1001,Raw_Data_Transaksi!$D$1:$D$1001,,0)</f>
        <v>PRD-109</v>
      </c>
      <c r="B742" t="str">
        <f>_xlfn.XLOOKUP(C742,Raw_Data_Transaksi!$A$1:$A$1001,Raw_Data_Transaksi!$C$1:$C$1001,,0)</f>
        <v>SLS-07</v>
      </c>
      <c r="C742" s="6" t="s">
        <v>826</v>
      </c>
      <c r="D742" s="7">
        <v>45783</v>
      </c>
      <c r="E742" s="10" t="str">
        <f>VLOOKUP(B742,Master_Sales!$A$1:$D$9,2,FALSE)</f>
        <v>Gita Permata</v>
      </c>
      <c r="F742" s="10" t="str">
        <f>INDEX(Master_Sales!$D$1:$D$9,MATCH(Lembar_Kerja_Analisis!B742,Master_Sales!$A$1:$A$9,0))</f>
        <v>Tengah</v>
      </c>
      <c r="G742" s="10" t="str">
        <f>INDEX(Master_Sales!$C$1:$C$9,MATCH(Lembar_Kerja_Analisis!B742,Master_Sales!$A$1:$A$9,0))</f>
        <v>Denpasar</v>
      </c>
      <c r="H742" s="10" t="str">
        <f>VLOOKUP(A742,Master_Produk!$A$1:$E$16,2,FALSE)</f>
        <v>Kopi Arabika Gayo 250g</v>
      </c>
      <c r="I742" s="10" t="str">
        <f>INDEX(Master_Produk!$C$1:$C$16,MATCH(Lembar_Kerja_Analisis!A742,Master_Produk!$A$1:$A$16,0))</f>
        <v>F&amp;B</v>
      </c>
      <c r="J742" s="19">
        <f>_xlfn.XLOOKUP(A742,Master_Produk!$A$1:$A$16,Master_Produk!$D$1:$D$16,,0)</f>
        <v>85000</v>
      </c>
      <c r="K742" s="19">
        <f>INDEX(Master_Produk!$E$1:$E$16,MATCH(Lembar_Kerja_Analisis!A742,Master_Produk!$A$1:$A$16,0))</f>
        <v>55000</v>
      </c>
      <c r="L742" s="8">
        <v>4</v>
      </c>
      <c r="M742" s="19">
        <f t="shared" si="55"/>
        <v>340000</v>
      </c>
      <c r="N742" s="9">
        <v>0.2</v>
      </c>
      <c r="O742" s="19">
        <f t="shared" si="56"/>
        <v>68000</v>
      </c>
      <c r="P742" s="19">
        <f t="shared" si="57"/>
        <v>272000</v>
      </c>
      <c r="Q742" s="19">
        <f t="shared" si="58"/>
        <v>220000</v>
      </c>
      <c r="R742" s="19">
        <f t="shared" si="59"/>
        <v>52000</v>
      </c>
    </row>
    <row r="743" spans="1:18" x14ac:dyDescent="0.25">
      <c r="A743" t="str">
        <f>_xlfn.XLOOKUP(C743,Raw_Data_Transaksi!$A$1:$A$1001,Raw_Data_Transaksi!$D$1:$D$1001,,0)</f>
        <v>PRD-105</v>
      </c>
      <c r="B743" t="str">
        <f>_xlfn.XLOOKUP(C743,Raw_Data_Transaksi!$A$1:$A$1001,Raw_Data_Transaksi!$C$1:$C$1001,,0)</f>
        <v>SLS-08</v>
      </c>
      <c r="C743" s="6" t="s">
        <v>827</v>
      </c>
      <c r="D743" s="7">
        <v>45755</v>
      </c>
      <c r="E743" s="10" t="str">
        <f>VLOOKUP(B743,Master_Sales!$A$1:$D$9,2,FALSE)</f>
        <v>Hendra Wijaya</v>
      </c>
      <c r="F743" s="10" t="str">
        <f>INDEX(Master_Sales!$D$1:$D$9,MATCH(Lembar_Kerja_Analisis!B743,Master_Sales!$A$1:$A$9,0))</f>
        <v>Tengah</v>
      </c>
      <c r="G743" s="10" t="str">
        <f>INDEX(Master_Sales!$C$1:$C$9,MATCH(Lembar_Kerja_Analisis!B743,Master_Sales!$A$1:$A$9,0))</f>
        <v>Yogyakarta</v>
      </c>
      <c r="H743" s="10" t="str">
        <f>VLOOKUP(A743,Master_Produk!$A$1:$E$16,2,FALSE)</f>
        <v>Kemeja Batik Katun Premium</v>
      </c>
      <c r="I743" s="10" t="str">
        <f>INDEX(Master_Produk!$C$1:$C$16,MATCH(Lembar_Kerja_Analisis!A743,Master_Produk!$A$1:$A$16,0))</f>
        <v>Fashion</v>
      </c>
      <c r="J743" s="19">
        <f>_xlfn.XLOOKUP(A743,Master_Produk!$A$1:$A$16,Master_Produk!$D$1:$D$16,,0)</f>
        <v>320000</v>
      </c>
      <c r="K743" s="19">
        <f>INDEX(Master_Produk!$E$1:$E$16,MATCH(Lembar_Kerja_Analisis!A743,Master_Produk!$A$1:$A$16,0))</f>
        <v>190000</v>
      </c>
      <c r="L743" s="8">
        <v>7</v>
      </c>
      <c r="M743" s="19">
        <f t="shared" si="55"/>
        <v>2240000</v>
      </c>
      <c r="N743" s="9">
        <v>0.1</v>
      </c>
      <c r="O743" s="19">
        <f t="shared" si="56"/>
        <v>224000</v>
      </c>
      <c r="P743" s="19">
        <f t="shared" si="57"/>
        <v>2016000</v>
      </c>
      <c r="Q743" s="19">
        <f t="shared" si="58"/>
        <v>1330000</v>
      </c>
      <c r="R743" s="19">
        <f t="shared" si="59"/>
        <v>686000</v>
      </c>
    </row>
    <row r="744" spans="1:18" x14ac:dyDescent="0.25">
      <c r="A744" t="str">
        <f>_xlfn.XLOOKUP(C744,Raw_Data_Transaksi!$A$1:$A$1001,Raw_Data_Transaksi!$D$1:$D$1001,,0)</f>
        <v>PRD-105</v>
      </c>
      <c r="B744" t="str">
        <f>_xlfn.XLOOKUP(C744,Raw_Data_Transaksi!$A$1:$A$1001,Raw_Data_Transaksi!$C$1:$C$1001,,0)</f>
        <v>SLS-01</v>
      </c>
      <c r="C744" s="6" t="s">
        <v>828</v>
      </c>
      <c r="D744" s="7">
        <v>45874</v>
      </c>
      <c r="E744" s="10" t="str">
        <f>VLOOKUP(B744,Master_Sales!$A$1:$D$9,2,FALSE)</f>
        <v>Andi Pratama</v>
      </c>
      <c r="F744" s="10" t="str">
        <f>INDEX(Master_Sales!$D$1:$D$9,MATCH(Lembar_Kerja_Analisis!B744,Master_Sales!$A$1:$A$9,0))</f>
        <v>Barat</v>
      </c>
      <c r="G744" s="10" t="str">
        <f>INDEX(Master_Sales!$C$1:$C$9,MATCH(Lembar_Kerja_Analisis!B744,Master_Sales!$A$1:$A$9,0))</f>
        <v>Jakarta</v>
      </c>
      <c r="H744" s="10" t="str">
        <f>VLOOKUP(A744,Master_Produk!$A$1:$E$16,2,FALSE)</f>
        <v>Kemeja Batik Katun Premium</v>
      </c>
      <c r="I744" s="10" t="str">
        <f>INDEX(Master_Produk!$C$1:$C$16,MATCH(Lembar_Kerja_Analisis!A744,Master_Produk!$A$1:$A$16,0))</f>
        <v>Fashion</v>
      </c>
      <c r="J744" s="19">
        <f>_xlfn.XLOOKUP(A744,Master_Produk!$A$1:$A$16,Master_Produk!$D$1:$D$16,,0)</f>
        <v>320000</v>
      </c>
      <c r="K744" s="19">
        <f>INDEX(Master_Produk!$E$1:$E$16,MATCH(Lembar_Kerja_Analisis!A744,Master_Produk!$A$1:$A$16,0))</f>
        <v>190000</v>
      </c>
      <c r="L744" s="8">
        <v>12</v>
      </c>
      <c r="M744" s="19">
        <f t="shared" si="55"/>
        <v>3840000</v>
      </c>
      <c r="N744" s="9">
        <v>0.2</v>
      </c>
      <c r="O744" s="19">
        <f t="shared" si="56"/>
        <v>768000</v>
      </c>
      <c r="P744" s="19">
        <f t="shared" si="57"/>
        <v>3072000</v>
      </c>
      <c r="Q744" s="19">
        <f t="shared" si="58"/>
        <v>2280000</v>
      </c>
      <c r="R744" s="19">
        <f t="shared" si="59"/>
        <v>792000</v>
      </c>
    </row>
    <row r="745" spans="1:18" x14ac:dyDescent="0.25">
      <c r="A745" t="str">
        <f>_xlfn.XLOOKUP(C745,Raw_Data_Transaksi!$A$1:$A$1001,Raw_Data_Transaksi!$D$1:$D$1001,,0)</f>
        <v>PRD-112</v>
      </c>
      <c r="B745" t="str">
        <f>_xlfn.XLOOKUP(C745,Raw_Data_Transaksi!$A$1:$A$1001,Raw_Data_Transaksi!$C$1:$C$1001,,0)</f>
        <v>SLS-02</v>
      </c>
      <c r="C745" s="6" t="s">
        <v>829</v>
      </c>
      <c r="D745" s="7">
        <v>45704</v>
      </c>
      <c r="E745" s="10" t="str">
        <f>VLOOKUP(B745,Master_Sales!$A$1:$D$9,2,FALSE)</f>
        <v>Budi Santoso</v>
      </c>
      <c r="F745" s="10" t="str">
        <f>INDEX(Master_Sales!$D$1:$D$9,MATCH(Lembar_Kerja_Analisis!B745,Master_Sales!$A$1:$A$9,0))</f>
        <v>Timur</v>
      </c>
      <c r="G745" s="10" t="str">
        <f>INDEX(Master_Sales!$C$1:$C$9,MATCH(Lembar_Kerja_Analisis!B745,Master_Sales!$A$1:$A$9,0))</f>
        <v>Surabaya</v>
      </c>
      <c r="H745" s="10" t="str">
        <f>VLOOKUP(A745,Master_Produk!$A$1:$E$16,2,FALSE)</f>
        <v>Susu UHT Full Cream 1L</v>
      </c>
      <c r="I745" s="10" t="str">
        <f>INDEX(Master_Produk!$C$1:$C$16,MATCH(Lembar_Kerja_Analisis!A745,Master_Produk!$A$1:$A$16,0))</f>
        <v>F&amp;B</v>
      </c>
      <c r="J745" s="19">
        <f>_xlfn.XLOOKUP(A745,Master_Produk!$A$1:$A$16,Master_Produk!$D$1:$D$16,,0)</f>
        <v>22000</v>
      </c>
      <c r="K745" s="19">
        <f>INDEX(Master_Produk!$E$1:$E$16,MATCH(Lembar_Kerja_Analisis!A745,Master_Produk!$A$1:$A$16,0))</f>
        <v>18000</v>
      </c>
      <c r="L745" s="8">
        <v>27</v>
      </c>
      <c r="M745" s="19">
        <f t="shared" si="55"/>
        <v>594000</v>
      </c>
      <c r="N745" s="9">
        <v>0.2</v>
      </c>
      <c r="O745" s="19">
        <f t="shared" si="56"/>
        <v>118800</v>
      </c>
      <c r="P745" s="19">
        <f t="shared" si="57"/>
        <v>475200</v>
      </c>
      <c r="Q745" s="19">
        <f t="shared" si="58"/>
        <v>486000</v>
      </c>
      <c r="R745" s="19">
        <f t="shared" si="59"/>
        <v>-10800</v>
      </c>
    </row>
    <row r="746" spans="1:18" x14ac:dyDescent="0.25">
      <c r="A746" t="str">
        <f>_xlfn.XLOOKUP(C746,Raw_Data_Transaksi!$A$1:$A$1001,Raw_Data_Transaksi!$D$1:$D$1001,,0)</f>
        <v>PRD-108</v>
      </c>
      <c r="B746" t="str">
        <f>_xlfn.XLOOKUP(C746,Raw_Data_Transaksi!$A$1:$A$1001,Raw_Data_Transaksi!$C$1:$C$1001,,0)</f>
        <v>SLS-01</v>
      </c>
      <c r="C746" s="6" t="s">
        <v>830</v>
      </c>
      <c r="D746" s="7">
        <v>45823</v>
      </c>
      <c r="E746" s="10" t="str">
        <f>VLOOKUP(B746,Master_Sales!$A$1:$D$9,2,FALSE)</f>
        <v>Andi Pratama</v>
      </c>
      <c r="F746" s="10" t="str">
        <f>INDEX(Master_Sales!$D$1:$D$9,MATCH(Lembar_Kerja_Analisis!B746,Master_Sales!$A$1:$A$9,0))</f>
        <v>Barat</v>
      </c>
      <c r="G746" s="10" t="str">
        <f>INDEX(Master_Sales!$C$1:$C$9,MATCH(Lembar_Kerja_Analisis!B746,Master_Sales!$A$1:$A$9,0))</f>
        <v>Jakarta</v>
      </c>
      <c r="H746" s="10" t="str">
        <f>VLOOKUP(A746,Master_Produk!$A$1:$E$16,2,FALSE)</f>
        <v>Sepatu Sneakers Pria/Wanita</v>
      </c>
      <c r="I746" s="10" t="str">
        <f>INDEX(Master_Produk!$C$1:$C$16,MATCH(Lembar_Kerja_Analisis!A746,Master_Produk!$A$1:$A$16,0))</f>
        <v>Fashion</v>
      </c>
      <c r="J746" s="19">
        <f>_xlfn.XLOOKUP(A746,Master_Produk!$A$1:$A$16,Master_Produk!$D$1:$D$16,,0)</f>
        <v>450000</v>
      </c>
      <c r="K746" s="19">
        <f>INDEX(Master_Produk!$E$1:$E$16,MATCH(Lembar_Kerja_Analisis!A746,Master_Produk!$A$1:$A$16,0))</f>
        <v>290000</v>
      </c>
      <c r="L746" s="8">
        <v>3</v>
      </c>
      <c r="M746" s="19">
        <f t="shared" si="55"/>
        <v>1350000</v>
      </c>
      <c r="N746" s="9">
        <v>0.15</v>
      </c>
      <c r="O746" s="19">
        <f t="shared" si="56"/>
        <v>202500</v>
      </c>
      <c r="P746" s="19">
        <f t="shared" si="57"/>
        <v>1147500</v>
      </c>
      <c r="Q746" s="19">
        <f t="shared" si="58"/>
        <v>870000</v>
      </c>
      <c r="R746" s="19">
        <f t="shared" si="59"/>
        <v>277500</v>
      </c>
    </row>
    <row r="747" spans="1:18" x14ac:dyDescent="0.25">
      <c r="A747" t="str">
        <f>_xlfn.XLOOKUP(C747,Raw_Data_Transaksi!$A$1:$A$1001,Raw_Data_Transaksi!$D$1:$D$1001,,0)</f>
        <v>PRD-106</v>
      </c>
      <c r="B747" t="str">
        <f>_xlfn.XLOOKUP(C747,Raw_Data_Transaksi!$A$1:$A$1001,Raw_Data_Transaksi!$C$1:$C$1001,,0)</f>
        <v>SLS-03</v>
      </c>
      <c r="C747" s="6" t="s">
        <v>831</v>
      </c>
      <c r="D747" s="7">
        <v>45786</v>
      </c>
      <c r="E747" s="10" t="str">
        <f>VLOOKUP(B747,Master_Sales!$A$1:$D$9,2,FALSE)</f>
        <v>Citra Lestari</v>
      </c>
      <c r="F747" s="10" t="str">
        <f>INDEX(Master_Sales!$D$1:$D$9,MATCH(Lembar_Kerja_Analisis!B747,Master_Sales!$A$1:$A$9,0))</f>
        <v>Barat</v>
      </c>
      <c r="G747" s="10" t="str">
        <f>INDEX(Master_Sales!$C$1:$C$9,MATCH(Lembar_Kerja_Analisis!B747,Master_Sales!$A$1:$A$9,0))</f>
        <v>Bandung</v>
      </c>
      <c r="H747" s="10" t="str">
        <f>VLOOKUP(A747,Master_Produk!$A$1:$E$16,2,FALSE)</f>
        <v>Celana Chino Slim Fit</v>
      </c>
      <c r="I747" s="10" t="str">
        <f>INDEX(Master_Produk!$C$1:$C$16,MATCH(Lembar_Kerja_Analisis!A747,Master_Produk!$A$1:$A$16,0))</f>
        <v>Fashion</v>
      </c>
      <c r="J747" s="19">
        <f>_xlfn.XLOOKUP(A747,Master_Produk!$A$1:$A$16,Master_Produk!$D$1:$D$16,,0)</f>
        <v>280000</v>
      </c>
      <c r="K747" s="19">
        <f>INDEX(Master_Produk!$E$1:$E$16,MATCH(Lembar_Kerja_Analisis!A747,Master_Produk!$A$1:$A$16,0))</f>
        <v>175000</v>
      </c>
      <c r="L747" s="8">
        <v>12</v>
      </c>
      <c r="M747" s="19">
        <f t="shared" si="55"/>
        <v>3360000</v>
      </c>
      <c r="N747" s="9">
        <v>0</v>
      </c>
      <c r="O747" s="19">
        <f t="shared" si="56"/>
        <v>0</v>
      </c>
      <c r="P747" s="19">
        <f t="shared" si="57"/>
        <v>3360000</v>
      </c>
      <c r="Q747" s="19">
        <f t="shared" si="58"/>
        <v>2100000</v>
      </c>
      <c r="R747" s="19">
        <f t="shared" si="59"/>
        <v>1260000</v>
      </c>
    </row>
    <row r="748" spans="1:18" x14ac:dyDescent="0.25">
      <c r="A748" t="str">
        <f>_xlfn.XLOOKUP(C748,Raw_Data_Transaksi!$A$1:$A$1001,Raw_Data_Transaksi!$D$1:$D$1001,,0)</f>
        <v>PRD-106</v>
      </c>
      <c r="B748" t="str">
        <f>_xlfn.XLOOKUP(C748,Raw_Data_Transaksi!$A$1:$A$1001,Raw_Data_Transaksi!$C$1:$C$1001,,0)</f>
        <v>SLS-02</v>
      </c>
      <c r="C748" s="6" t="s">
        <v>832</v>
      </c>
      <c r="D748" s="7">
        <v>45982</v>
      </c>
      <c r="E748" s="10" t="str">
        <f>VLOOKUP(B748,Master_Sales!$A$1:$D$9,2,FALSE)</f>
        <v>Budi Santoso</v>
      </c>
      <c r="F748" s="10" t="str">
        <f>INDEX(Master_Sales!$D$1:$D$9,MATCH(Lembar_Kerja_Analisis!B748,Master_Sales!$A$1:$A$9,0))</f>
        <v>Timur</v>
      </c>
      <c r="G748" s="10" t="str">
        <f>INDEX(Master_Sales!$C$1:$C$9,MATCH(Lembar_Kerja_Analisis!B748,Master_Sales!$A$1:$A$9,0))</f>
        <v>Surabaya</v>
      </c>
      <c r="H748" s="10" t="str">
        <f>VLOOKUP(A748,Master_Produk!$A$1:$E$16,2,FALSE)</f>
        <v>Celana Chino Slim Fit</v>
      </c>
      <c r="I748" s="10" t="str">
        <f>INDEX(Master_Produk!$C$1:$C$16,MATCH(Lembar_Kerja_Analisis!A748,Master_Produk!$A$1:$A$16,0))</f>
        <v>Fashion</v>
      </c>
      <c r="J748" s="19">
        <f>_xlfn.XLOOKUP(A748,Master_Produk!$A$1:$A$16,Master_Produk!$D$1:$D$16,,0)</f>
        <v>280000</v>
      </c>
      <c r="K748" s="19">
        <f>INDEX(Master_Produk!$E$1:$E$16,MATCH(Lembar_Kerja_Analisis!A748,Master_Produk!$A$1:$A$16,0))</f>
        <v>175000</v>
      </c>
      <c r="L748" s="8">
        <v>9</v>
      </c>
      <c r="M748" s="19">
        <f t="shared" si="55"/>
        <v>2520000</v>
      </c>
      <c r="N748" s="9">
        <v>0.15</v>
      </c>
      <c r="O748" s="19">
        <f t="shared" si="56"/>
        <v>378000</v>
      </c>
      <c r="P748" s="19">
        <f t="shared" si="57"/>
        <v>2142000</v>
      </c>
      <c r="Q748" s="19">
        <f t="shared" si="58"/>
        <v>1575000</v>
      </c>
      <c r="R748" s="19">
        <f t="shared" si="59"/>
        <v>567000</v>
      </c>
    </row>
    <row r="749" spans="1:18" x14ac:dyDescent="0.25">
      <c r="A749" t="str">
        <f>_xlfn.XLOOKUP(C749,Raw_Data_Transaksi!$A$1:$A$1001,Raw_Data_Transaksi!$D$1:$D$1001,,0)</f>
        <v>PRD-113</v>
      </c>
      <c r="B749" t="str">
        <f>_xlfn.XLOOKUP(C749,Raw_Data_Transaksi!$A$1:$A$1001,Raw_Data_Transaksi!$C$1:$C$1001,,0)</f>
        <v>SLS-03</v>
      </c>
      <c r="C749" s="6" t="s">
        <v>833</v>
      </c>
      <c r="D749" s="7">
        <v>45680</v>
      </c>
      <c r="E749" s="10" t="str">
        <f>VLOOKUP(B749,Master_Sales!$A$1:$D$9,2,FALSE)</f>
        <v>Citra Lestari</v>
      </c>
      <c r="F749" s="10" t="str">
        <f>INDEX(Master_Sales!$D$1:$D$9,MATCH(Lembar_Kerja_Analisis!B749,Master_Sales!$A$1:$A$9,0))</f>
        <v>Barat</v>
      </c>
      <c r="G749" s="10" t="str">
        <f>INDEX(Master_Sales!$C$1:$C$9,MATCH(Lembar_Kerja_Analisis!B749,Master_Sales!$A$1:$A$9,0))</f>
        <v>Bandung</v>
      </c>
      <c r="H749" s="10" t="str">
        <f>VLOOKUP(A749,Master_Produk!$A$1:$E$16,2,FALSE)</f>
        <v>Wajan Anti Lengket 28cm</v>
      </c>
      <c r="I749" s="10" t="str">
        <f>INDEX(Master_Produk!$C$1:$C$16,MATCH(Lembar_Kerja_Analisis!A749,Master_Produk!$A$1:$A$16,0))</f>
        <v>Peralatan Rumah</v>
      </c>
      <c r="J749" s="19">
        <f>_xlfn.XLOOKUP(A749,Master_Produk!$A$1:$A$16,Master_Produk!$D$1:$D$16,,0)</f>
        <v>210000</v>
      </c>
      <c r="K749" s="19">
        <f>INDEX(Master_Produk!$E$1:$E$16,MATCH(Lembar_Kerja_Analisis!A749,Master_Produk!$A$1:$A$16,0))</f>
        <v>140000</v>
      </c>
      <c r="L749" s="8">
        <v>6</v>
      </c>
      <c r="M749" s="19">
        <f t="shared" si="55"/>
        <v>1260000</v>
      </c>
      <c r="N749" s="9">
        <v>0.2</v>
      </c>
      <c r="O749" s="19">
        <f t="shared" si="56"/>
        <v>252000</v>
      </c>
      <c r="P749" s="19">
        <f t="shared" si="57"/>
        <v>1008000</v>
      </c>
      <c r="Q749" s="19">
        <f t="shared" si="58"/>
        <v>840000</v>
      </c>
      <c r="R749" s="19">
        <f t="shared" si="59"/>
        <v>168000</v>
      </c>
    </row>
    <row r="750" spans="1:18" x14ac:dyDescent="0.25">
      <c r="A750" t="str">
        <f>_xlfn.XLOOKUP(C750,Raw_Data_Transaksi!$A$1:$A$1001,Raw_Data_Transaksi!$D$1:$D$1001,,0)</f>
        <v>PRD-113</v>
      </c>
      <c r="B750" t="str">
        <f>_xlfn.XLOOKUP(C750,Raw_Data_Transaksi!$A$1:$A$1001,Raw_Data_Transaksi!$C$1:$C$1001,,0)</f>
        <v>SLS-01</v>
      </c>
      <c r="C750" s="6" t="s">
        <v>834</v>
      </c>
      <c r="D750" s="7">
        <v>45749</v>
      </c>
      <c r="E750" s="10" t="str">
        <f>VLOOKUP(B750,Master_Sales!$A$1:$D$9,2,FALSE)</f>
        <v>Andi Pratama</v>
      </c>
      <c r="F750" s="10" t="str">
        <f>INDEX(Master_Sales!$D$1:$D$9,MATCH(Lembar_Kerja_Analisis!B750,Master_Sales!$A$1:$A$9,0))</f>
        <v>Barat</v>
      </c>
      <c r="G750" s="10" t="str">
        <f>INDEX(Master_Sales!$C$1:$C$9,MATCH(Lembar_Kerja_Analisis!B750,Master_Sales!$A$1:$A$9,0))</f>
        <v>Jakarta</v>
      </c>
      <c r="H750" s="10" t="str">
        <f>VLOOKUP(A750,Master_Produk!$A$1:$E$16,2,FALSE)</f>
        <v>Wajan Anti Lengket 28cm</v>
      </c>
      <c r="I750" s="10" t="str">
        <f>INDEX(Master_Produk!$C$1:$C$16,MATCH(Lembar_Kerja_Analisis!A750,Master_Produk!$A$1:$A$16,0))</f>
        <v>Peralatan Rumah</v>
      </c>
      <c r="J750" s="19">
        <f>_xlfn.XLOOKUP(A750,Master_Produk!$A$1:$A$16,Master_Produk!$D$1:$D$16,,0)</f>
        <v>210000</v>
      </c>
      <c r="K750" s="19">
        <f>INDEX(Master_Produk!$E$1:$E$16,MATCH(Lembar_Kerja_Analisis!A750,Master_Produk!$A$1:$A$16,0))</f>
        <v>140000</v>
      </c>
      <c r="L750" s="8">
        <v>7</v>
      </c>
      <c r="M750" s="19">
        <f t="shared" si="55"/>
        <v>1470000</v>
      </c>
      <c r="N750" s="9">
        <v>0.1</v>
      </c>
      <c r="O750" s="19">
        <f t="shared" si="56"/>
        <v>147000</v>
      </c>
      <c r="P750" s="19">
        <f t="shared" si="57"/>
        <v>1323000</v>
      </c>
      <c r="Q750" s="19">
        <f t="shared" si="58"/>
        <v>980000</v>
      </c>
      <c r="R750" s="19">
        <f t="shared" si="59"/>
        <v>343000</v>
      </c>
    </row>
    <row r="751" spans="1:18" x14ac:dyDescent="0.25">
      <c r="A751" t="str">
        <f>_xlfn.XLOOKUP(C751,Raw_Data_Transaksi!$A$1:$A$1001,Raw_Data_Transaksi!$D$1:$D$1001,,0)</f>
        <v>PRD-111</v>
      </c>
      <c r="B751" t="str">
        <f>_xlfn.XLOOKUP(C751,Raw_Data_Transaksi!$A$1:$A$1001,Raw_Data_Transaksi!$C$1:$C$1001,,0)</f>
        <v>SLS-03</v>
      </c>
      <c r="C751" s="6" t="s">
        <v>835</v>
      </c>
      <c r="D751" s="7">
        <v>45805</v>
      </c>
      <c r="E751" s="10" t="str">
        <f>VLOOKUP(B751,Master_Sales!$A$1:$D$9,2,FALSE)</f>
        <v>Citra Lestari</v>
      </c>
      <c r="F751" s="10" t="str">
        <f>INDEX(Master_Sales!$D$1:$D$9,MATCH(Lembar_Kerja_Analisis!B751,Master_Sales!$A$1:$A$9,0))</f>
        <v>Barat</v>
      </c>
      <c r="G751" s="10" t="str">
        <f>INDEX(Master_Sales!$C$1:$C$9,MATCH(Lembar_Kerja_Analisis!B751,Master_Sales!$A$1:$A$9,0))</f>
        <v>Bandung</v>
      </c>
      <c r="H751" s="10" t="str">
        <f>VLOOKUP(A751,Master_Produk!$A$1:$E$16,2,FALSE)</f>
        <v>Beras Premium 5kg</v>
      </c>
      <c r="I751" s="10" t="str">
        <f>INDEX(Master_Produk!$C$1:$C$16,MATCH(Lembar_Kerja_Analisis!A751,Master_Produk!$A$1:$A$16,0))</f>
        <v>F&amp;B</v>
      </c>
      <c r="J751" s="19">
        <f>_xlfn.XLOOKUP(A751,Master_Produk!$A$1:$A$16,Master_Produk!$D$1:$D$16,,0)</f>
        <v>74000</v>
      </c>
      <c r="K751" s="19">
        <f>INDEX(Master_Produk!$E$1:$E$16,MATCH(Lembar_Kerja_Analisis!A751,Master_Produk!$A$1:$A$16,0))</f>
        <v>65000</v>
      </c>
      <c r="L751" s="8">
        <v>7</v>
      </c>
      <c r="M751" s="19">
        <f t="shared" si="55"/>
        <v>518000</v>
      </c>
      <c r="N751" s="9">
        <v>0.05</v>
      </c>
      <c r="O751" s="19">
        <f t="shared" si="56"/>
        <v>25900</v>
      </c>
      <c r="P751" s="19">
        <f t="shared" si="57"/>
        <v>492100</v>
      </c>
      <c r="Q751" s="19">
        <f t="shared" si="58"/>
        <v>455000</v>
      </c>
      <c r="R751" s="19">
        <f t="shared" si="59"/>
        <v>37100</v>
      </c>
    </row>
    <row r="752" spans="1:18" x14ac:dyDescent="0.25">
      <c r="A752" t="str">
        <f>_xlfn.XLOOKUP(C752,Raw_Data_Transaksi!$A$1:$A$1001,Raw_Data_Transaksi!$D$1:$D$1001,,0)</f>
        <v>PRD-108</v>
      </c>
      <c r="B752" t="str">
        <f>_xlfn.XLOOKUP(C752,Raw_Data_Transaksi!$A$1:$A$1001,Raw_Data_Transaksi!$C$1:$C$1001,,0)</f>
        <v>SLS-08</v>
      </c>
      <c r="C752" s="6" t="s">
        <v>836</v>
      </c>
      <c r="D752" s="7">
        <v>45664</v>
      </c>
      <c r="E752" s="10" t="str">
        <f>VLOOKUP(B752,Master_Sales!$A$1:$D$9,2,FALSE)</f>
        <v>Hendra Wijaya</v>
      </c>
      <c r="F752" s="10" t="str">
        <f>INDEX(Master_Sales!$D$1:$D$9,MATCH(Lembar_Kerja_Analisis!B752,Master_Sales!$A$1:$A$9,0))</f>
        <v>Tengah</v>
      </c>
      <c r="G752" s="10" t="str">
        <f>INDEX(Master_Sales!$C$1:$C$9,MATCH(Lembar_Kerja_Analisis!B752,Master_Sales!$A$1:$A$9,0))</f>
        <v>Yogyakarta</v>
      </c>
      <c r="H752" s="10" t="str">
        <f>VLOOKUP(A752,Master_Produk!$A$1:$E$16,2,FALSE)</f>
        <v>Sepatu Sneakers Pria/Wanita</v>
      </c>
      <c r="I752" s="10" t="str">
        <f>INDEX(Master_Produk!$C$1:$C$16,MATCH(Lembar_Kerja_Analisis!A752,Master_Produk!$A$1:$A$16,0))</f>
        <v>Fashion</v>
      </c>
      <c r="J752" s="19">
        <f>_xlfn.XLOOKUP(A752,Master_Produk!$A$1:$A$16,Master_Produk!$D$1:$D$16,,0)</f>
        <v>450000</v>
      </c>
      <c r="K752" s="19">
        <f>INDEX(Master_Produk!$E$1:$E$16,MATCH(Lembar_Kerja_Analisis!A752,Master_Produk!$A$1:$A$16,0))</f>
        <v>290000</v>
      </c>
      <c r="L752" s="8">
        <v>8</v>
      </c>
      <c r="M752" s="19">
        <f t="shared" si="55"/>
        <v>3600000</v>
      </c>
      <c r="N752" s="9">
        <v>0.2</v>
      </c>
      <c r="O752" s="19">
        <f t="shared" si="56"/>
        <v>720000</v>
      </c>
      <c r="P752" s="19">
        <f t="shared" si="57"/>
        <v>2880000</v>
      </c>
      <c r="Q752" s="19">
        <f t="shared" si="58"/>
        <v>2320000</v>
      </c>
      <c r="R752" s="19">
        <f t="shared" si="59"/>
        <v>560000</v>
      </c>
    </row>
    <row r="753" spans="1:18" x14ac:dyDescent="0.25">
      <c r="A753" t="str">
        <f>_xlfn.XLOOKUP(C753,Raw_Data_Transaksi!$A$1:$A$1001,Raw_Data_Transaksi!$D$1:$D$1001,,0)</f>
        <v>PRD-104</v>
      </c>
      <c r="B753" t="str">
        <f>_xlfn.XLOOKUP(C753,Raw_Data_Transaksi!$A$1:$A$1001,Raw_Data_Transaksi!$C$1:$C$1001,,0)</f>
        <v>SLS-08</v>
      </c>
      <c r="C753" s="6" t="s">
        <v>837</v>
      </c>
      <c r="D753" s="7">
        <v>45779</v>
      </c>
      <c r="E753" s="10" t="str">
        <f>VLOOKUP(B753,Master_Sales!$A$1:$D$9,2,FALSE)</f>
        <v>Hendra Wijaya</v>
      </c>
      <c r="F753" s="10" t="str">
        <f>INDEX(Master_Sales!$D$1:$D$9,MATCH(Lembar_Kerja_Analisis!B753,Master_Sales!$A$1:$A$9,0))</f>
        <v>Tengah</v>
      </c>
      <c r="G753" s="10" t="str">
        <f>INDEX(Master_Sales!$C$1:$C$9,MATCH(Lembar_Kerja_Analisis!B753,Master_Sales!$A$1:$A$9,0))</f>
        <v>Yogyakarta</v>
      </c>
      <c r="H753" s="10" t="str">
        <f>VLOOKUP(A753,Master_Produk!$A$1:$E$16,2,FALSE)</f>
        <v>Monitor 24" FHD 144Hz</v>
      </c>
      <c r="I753" s="10" t="str">
        <f>INDEX(Master_Produk!$C$1:$C$16,MATCH(Lembar_Kerja_Analisis!A753,Master_Produk!$A$1:$A$16,0))</f>
        <v>Elektronik</v>
      </c>
      <c r="J753" s="19">
        <f>_xlfn.XLOOKUP(A753,Master_Produk!$A$1:$A$16,Master_Produk!$D$1:$D$16,,0)</f>
        <v>1950000</v>
      </c>
      <c r="K753" s="19">
        <f>INDEX(Master_Produk!$E$1:$E$16,MATCH(Lembar_Kerja_Analisis!A753,Master_Produk!$A$1:$A$16,0))</f>
        <v>1500000</v>
      </c>
      <c r="L753" s="8">
        <v>8</v>
      </c>
      <c r="M753" s="19">
        <f t="shared" si="55"/>
        <v>15600000</v>
      </c>
      <c r="N753" s="9">
        <v>0.15</v>
      </c>
      <c r="O753" s="19">
        <f t="shared" si="56"/>
        <v>2340000</v>
      </c>
      <c r="P753" s="19">
        <f t="shared" si="57"/>
        <v>13260000</v>
      </c>
      <c r="Q753" s="19">
        <f t="shared" si="58"/>
        <v>12000000</v>
      </c>
      <c r="R753" s="19">
        <f t="shared" si="59"/>
        <v>1260000</v>
      </c>
    </row>
    <row r="754" spans="1:18" x14ac:dyDescent="0.25">
      <c r="A754" t="str">
        <f>_xlfn.XLOOKUP(C754,Raw_Data_Transaksi!$A$1:$A$1001,Raw_Data_Transaksi!$D$1:$D$1001,,0)</f>
        <v>PRD-115</v>
      </c>
      <c r="B754" t="str">
        <f>_xlfn.XLOOKUP(C754,Raw_Data_Transaksi!$A$1:$A$1001,Raw_Data_Transaksi!$C$1:$C$1001,,0)</f>
        <v>SLS-05</v>
      </c>
      <c r="C754" s="6" t="s">
        <v>838</v>
      </c>
      <c r="D754" s="7">
        <v>45783</v>
      </c>
      <c r="E754" s="10" t="str">
        <f>VLOOKUP(B754,Master_Sales!$A$1:$D$9,2,FALSE)</f>
        <v>Eko Prasetyo</v>
      </c>
      <c r="F754" s="10" t="str">
        <f>INDEX(Master_Sales!$D$1:$D$9,MATCH(Lembar_Kerja_Analisis!B754,Master_Sales!$A$1:$A$9,0))</f>
        <v>Tengah</v>
      </c>
      <c r="G754" s="10" t="str">
        <f>INDEX(Master_Sales!$C$1:$C$9,MATCH(Lembar_Kerja_Analisis!B754,Master_Sales!$A$1:$A$9,0))</f>
        <v>Semarang</v>
      </c>
      <c r="H754" s="10" t="str">
        <f>VLOOKUP(A754,Master_Produk!$A$1:$E$16,2,FALSE)</f>
        <v>Set Pisau Dapur Stainless</v>
      </c>
      <c r="I754" s="10" t="str">
        <f>INDEX(Master_Produk!$C$1:$C$16,MATCH(Lembar_Kerja_Analisis!A754,Master_Produk!$A$1:$A$16,0))</f>
        <v>Peralatan Rumah</v>
      </c>
      <c r="J754" s="19">
        <f>_xlfn.XLOOKUP(A754,Master_Produk!$A$1:$A$16,Master_Produk!$D$1:$D$16,,0)</f>
        <v>165000</v>
      </c>
      <c r="K754" s="19">
        <f>INDEX(Master_Produk!$E$1:$E$16,MATCH(Lembar_Kerja_Analisis!A754,Master_Produk!$A$1:$A$16,0))</f>
        <v>105000</v>
      </c>
      <c r="L754" s="8">
        <v>10</v>
      </c>
      <c r="M754" s="19">
        <f t="shared" si="55"/>
        <v>1650000</v>
      </c>
      <c r="N754" s="9">
        <v>0.2</v>
      </c>
      <c r="O754" s="19">
        <f t="shared" si="56"/>
        <v>330000</v>
      </c>
      <c r="P754" s="19">
        <f t="shared" si="57"/>
        <v>1320000</v>
      </c>
      <c r="Q754" s="19">
        <f t="shared" si="58"/>
        <v>1050000</v>
      </c>
      <c r="R754" s="19">
        <f t="shared" si="59"/>
        <v>270000</v>
      </c>
    </row>
    <row r="755" spans="1:18" x14ac:dyDescent="0.25">
      <c r="A755" t="str">
        <f>_xlfn.XLOOKUP(C755,Raw_Data_Transaksi!$A$1:$A$1001,Raw_Data_Transaksi!$D$1:$D$1001,,0)</f>
        <v>PRD-101</v>
      </c>
      <c r="B755" t="str">
        <f>_xlfn.XLOOKUP(C755,Raw_Data_Transaksi!$A$1:$A$1001,Raw_Data_Transaksi!$C$1:$C$1001,,0)</f>
        <v>SLS-06</v>
      </c>
      <c r="C755" s="6" t="s">
        <v>839</v>
      </c>
      <c r="D755" s="7">
        <v>45733</v>
      </c>
      <c r="E755" s="10" t="str">
        <f>VLOOKUP(B755,Master_Sales!$A$1:$D$9,2,FALSE)</f>
        <v>Fajar Nugraha</v>
      </c>
      <c r="F755" s="10" t="str">
        <f>INDEX(Master_Sales!$D$1:$D$9,MATCH(Lembar_Kerja_Analisis!B755,Master_Sales!$A$1:$A$9,0))</f>
        <v>Timur</v>
      </c>
      <c r="G755" s="10" t="str">
        <f>INDEX(Master_Sales!$C$1:$C$9,MATCH(Lembar_Kerja_Analisis!B755,Master_Sales!$A$1:$A$9,0))</f>
        <v>Makassar</v>
      </c>
      <c r="H755" s="10" t="str">
        <f>VLOOKUP(A755,Master_Produk!$A$1:$E$16,2,FALSE)</f>
        <v>Laptop Ultrabook 14"</v>
      </c>
      <c r="I755" s="10" t="str">
        <f>INDEX(Master_Produk!$C$1:$C$16,MATCH(Lembar_Kerja_Analisis!A755,Master_Produk!$A$1:$A$16,0))</f>
        <v>Elektronik</v>
      </c>
      <c r="J755" s="19">
        <f>_xlfn.XLOOKUP(A755,Master_Produk!$A$1:$A$16,Master_Produk!$D$1:$D$16,,0)</f>
        <v>8500000</v>
      </c>
      <c r="K755" s="19">
        <f>INDEX(Master_Produk!$E$1:$E$16,MATCH(Lembar_Kerja_Analisis!A755,Master_Produk!$A$1:$A$16,0))</f>
        <v>7200000</v>
      </c>
      <c r="L755" s="8">
        <v>1</v>
      </c>
      <c r="M755" s="19">
        <f t="shared" si="55"/>
        <v>8500000</v>
      </c>
      <c r="N755" s="9">
        <v>0.05</v>
      </c>
      <c r="O755" s="19">
        <f t="shared" si="56"/>
        <v>425000</v>
      </c>
      <c r="P755" s="19">
        <f t="shared" si="57"/>
        <v>8075000</v>
      </c>
      <c r="Q755" s="19">
        <f t="shared" si="58"/>
        <v>7200000</v>
      </c>
      <c r="R755" s="19">
        <f t="shared" si="59"/>
        <v>875000</v>
      </c>
    </row>
    <row r="756" spans="1:18" x14ac:dyDescent="0.25">
      <c r="A756" t="str">
        <f>_xlfn.XLOOKUP(C756,Raw_Data_Transaksi!$A$1:$A$1001,Raw_Data_Transaksi!$D$1:$D$1001,,0)</f>
        <v>PRD-115</v>
      </c>
      <c r="B756" t="str">
        <f>_xlfn.XLOOKUP(C756,Raw_Data_Transaksi!$A$1:$A$1001,Raw_Data_Transaksi!$C$1:$C$1001,,0)</f>
        <v>SLS-02</v>
      </c>
      <c r="C756" s="6" t="s">
        <v>840</v>
      </c>
      <c r="D756" s="7">
        <v>45827</v>
      </c>
      <c r="E756" s="10" t="str">
        <f>VLOOKUP(B756,Master_Sales!$A$1:$D$9,2,FALSE)</f>
        <v>Budi Santoso</v>
      </c>
      <c r="F756" s="10" t="str">
        <f>INDEX(Master_Sales!$D$1:$D$9,MATCH(Lembar_Kerja_Analisis!B756,Master_Sales!$A$1:$A$9,0))</f>
        <v>Timur</v>
      </c>
      <c r="G756" s="10" t="str">
        <f>INDEX(Master_Sales!$C$1:$C$9,MATCH(Lembar_Kerja_Analisis!B756,Master_Sales!$A$1:$A$9,0))</f>
        <v>Surabaya</v>
      </c>
      <c r="H756" s="10" t="str">
        <f>VLOOKUP(A756,Master_Produk!$A$1:$E$16,2,FALSE)</f>
        <v>Set Pisau Dapur Stainless</v>
      </c>
      <c r="I756" s="10" t="str">
        <f>INDEX(Master_Produk!$C$1:$C$16,MATCH(Lembar_Kerja_Analisis!A756,Master_Produk!$A$1:$A$16,0))</f>
        <v>Peralatan Rumah</v>
      </c>
      <c r="J756" s="19">
        <f>_xlfn.XLOOKUP(A756,Master_Produk!$A$1:$A$16,Master_Produk!$D$1:$D$16,,0)</f>
        <v>165000</v>
      </c>
      <c r="K756" s="19">
        <f>INDEX(Master_Produk!$E$1:$E$16,MATCH(Lembar_Kerja_Analisis!A756,Master_Produk!$A$1:$A$16,0))</f>
        <v>105000</v>
      </c>
      <c r="L756" s="8">
        <v>1</v>
      </c>
      <c r="M756" s="19">
        <f t="shared" si="55"/>
        <v>165000</v>
      </c>
      <c r="N756" s="9">
        <v>0</v>
      </c>
      <c r="O756" s="19">
        <f t="shared" si="56"/>
        <v>0</v>
      </c>
      <c r="P756" s="19">
        <f t="shared" si="57"/>
        <v>165000</v>
      </c>
      <c r="Q756" s="19">
        <f t="shared" si="58"/>
        <v>105000</v>
      </c>
      <c r="R756" s="19">
        <f t="shared" si="59"/>
        <v>60000</v>
      </c>
    </row>
    <row r="757" spans="1:18" x14ac:dyDescent="0.25">
      <c r="A757" t="str">
        <f>_xlfn.XLOOKUP(C757,Raw_Data_Transaksi!$A$1:$A$1001,Raw_Data_Transaksi!$D$1:$D$1001,,0)</f>
        <v>PRD-105</v>
      </c>
      <c r="B757" t="str">
        <f>_xlfn.XLOOKUP(C757,Raw_Data_Transaksi!$A$1:$A$1001,Raw_Data_Transaksi!$C$1:$C$1001,,0)</f>
        <v>SLS-03</v>
      </c>
      <c r="C757" s="6" t="s">
        <v>841</v>
      </c>
      <c r="D757" s="7">
        <v>46002</v>
      </c>
      <c r="E757" s="10" t="str">
        <f>VLOOKUP(B757,Master_Sales!$A$1:$D$9,2,FALSE)</f>
        <v>Citra Lestari</v>
      </c>
      <c r="F757" s="10" t="str">
        <f>INDEX(Master_Sales!$D$1:$D$9,MATCH(Lembar_Kerja_Analisis!B757,Master_Sales!$A$1:$A$9,0))</f>
        <v>Barat</v>
      </c>
      <c r="G757" s="10" t="str">
        <f>INDEX(Master_Sales!$C$1:$C$9,MATCH(Lembar_Kerja_Analisis!B757,Master_Sales!$A$1:$A$9,0))</f>
        <v>Bandung</v>
      </c>
      <c r="H757" s="10" t="str">
        <f>VLOOKUP(A757,Master_Produk!$A$1:$E$16,2,FALSE)</f>
        <v>Kemeja Batik Katun Premium</v>
      </c>
      <c r="I757" s="10" t="str">
        <f>INDEX(Master_Produk!$C$1:$C$16,MATCH(Lembar_Kerja_Analisis!A757,Master_Produk!$A$1:$A$16,0))</f>
        <v>Fashion</v>
      </c>
      <c r="J757" s="19">
        <f>_xlfn.XLOOKUP(A757,Master_Produk!$A$1:$A$16,Master_Produk!$D$1:$D$16,,0)</f>
        <v>320000</v>
      </c>
      <c r="K757" s="19">
        <f>INDEX(Master_Produk!$E$1:$E$16,MATCH(Lembar_Kerja_Analisis!A757,Master_Produk!$A$1:$A$16,0))</f>
        <v>190000</v>
      </c>
      <c r="L757" s="8">
        <v>8</v>
      </c>
      <c r="M757" s="19">
        <f t="shared" si="55"/>
        <v>2560000</v>
      </c>
      <c r="N757" s="9">
        <v>0.2</v>
      </c>
      <c r="O757" s="19">
        <f t="shared" si="56"/>
        <v>512000</v>
      </c>
      <c r="P757" s="19">
        <f t="shared" si="57"/>
        <v>2048000</v>
      </c>
      <c r="Q757" s="19">
        <f t="shared" si="58"/>
        <v>1520000</v>
      </c>
      <c r="R757" s="19">
        <f t="shared" si="59"/>
        <v>528000</v>
      </c>
    </row>
    <row r="758" spans="1:18" x14ac:dyDescent="0.25">
      <c r="A758" t="str">
        <f>_xlfn.XLOOKUP(C758,Raw_Data_Transaksi!$A$1:$A$1001,Raw_Data_Transaksi!$D$1:$D$1001,,0)</f>
        <v>PRD-106</v>
      </c>
      <c r="B758" t="str">
        <f>_xlfn.XLOOKUP(C758,Raw_Data_Transaksi!$A$1:$A$1001,Raw_Data_Transaksi!$C$1:$C$1001,,0)</f>
        <v>SLS-06</v>
      </c>
      <c r="C758" s="6" t="s">
        <v>842</v>
      </c>
      <c r="D758" s="7">
        <v>45811</v>
      </c>
      <c r="E758" s="10" t="str">
        <f>VLOOKUP(B758,Master_Sales!$A$1:$D$9,2,FALSE)</f>
        <v>Fajar Nugraha</v>
      </c>
      <c r="F758" s="10" t="str">
        <f>INDEX(Master_Sales!$D$1:$D$9,MATCH(Lembar_Kerja_Analisis!B758,Master_Sales!$A$1:$A$9,0))</f>
        <v>Timur</v>
      </c>
      <c r="G758" s="10" t="str">
        <f>INDEX(Master_Sales!$C$1:$C$9,MATCH(Lembar_Kerja_Analisis!B758,Master_Sales!$A$1:$A$9,0))</f>
        <v>Makassar</v>
      </c>
      <c r="H758" s="10" t="str">
        <f>VLOOKUP(A758,Master_Produk!$A$1:$E$16,2,FALSE)</f>
        <v>Celana Chino Slim Fit</v>
      </c>
      <c r="I758" s="10" t="str">
        <f>INDEX(Master_Produk!$C$1:$C$16,MATCH(Lembar_Kerja_Analisis!A758,Master_Produk!$A$1:$A$16,0))</f>
        <v>Fashion</v>
      </c>
      <c r="J758" s="19">
        <f>_xlfn.XLOOKUP(A758,Master_Produk!$A$1:$A$16,Master_Produk!$D$1:$D$16,,0)</f>
        <v>280000</v>
      </c>
      <c r="K758" s="19">
        <f>INDEX(Master_Produk!$E$1:$E$16,MATCH(Lembar_Kerja_Analisis!A758,Master_Produk!$A$1:$A$16,0))</f>
        <v>175000</v>
      </c>
      <c r="L758" s="8">
        <v>7</v>
      </c>
      <c r="M758" s="19">
        <f t="shared" si="55"/>
        <v>1960000</v>
      </c>
      <c r="N758" s="9">
        <v>0</v>
      </c>
      <c r="O758" s="19">
        <f t="shared" si="56"/>
        <v>0</v>
      </c>
      <c r="P758" s="19">
        <f t="shared" si="57"/>
        <v>1960000</v>
      </c>
      <c r="Q758" s="19">
        <f t="shared" si="58"/>
        <v>1225000</v>
      </c>
      <c r="R758" s="19">
        <f t="shared" si="59"/>
        <v>735000</v>
      </c>
    </row>
    <row r="759" spans="1:18" x14ac:dyDescent="0.25">
      <c r="A759" t="str">
        <f>_xlfn.XLOOKUP(C759,Raw_Data_Transaksi!$A$1:$A$1001,Raw_Data_Transaksi!$D$1:$D$1001,,0)</f>
        <v>PRD-108</v>
      </c>
      <c r="B759" t="str">
        <f>_xlfn.XLOOKUP(C759,Raw_Data_Transaksi!$A$1:$A$1001,Raw_Data_Transaksi!$C$1:$C$1001,,0)</f>
        <v>SLS-03</v>
      </c>
      <c r="C759" s="6" t="s">
        <v>843</v>
      </c>
      <c r="D759" s="7">
        <v>45807</v>
      </c>
      <c r="E759" s="10" t="str">
        <f>VLOOKUP(B759,Master_Sales!$A$1:$D$9,2,FALSE)</f>
        <v>Citra Lestari</v>
      </c>
      <c r="F759" s="10" t="str">
        <f>INDEX(Master_Sales!$D$1:$D$9,MATCH(Lembar_Kerja_Analisis!B759,Master_Sales!$A$1:$A$9,0))</f>
        <v>Barat</v>
      </c>
      <c r="G759" s="10" t="str">
        <f>INDEX(Master_Sales!$C$1:$C$9,MATCH(Lembar_Kerja_Analisis!B759,Master_Sales!$A$1:$A$9,0))</f>
        <v>Bandung</v>
      </c>
      <c r="H759" s="10" t="str">
        <f>VLOOKUP(A759,Master_Produk!$A$1:$E$16,2,FALSE)</f>
        <v>Sepatu Sneakers Pria/Wanita</v>
      </c>
      <c r="I759" s="10" t="str">
        <f>INDEX(Master_Produk!$C$1:$C$16,MATCH(Lembar_Kerja_Analisis!A759,Master_Produk!$A$1:$A$16,0))</f>
        <v>Fashion</v>
      </c>
      <c r="J759" s="19">
        <f>_xlfn.XLOOKUP(A759,Master_Produk!$A$1:$A$16,Master_Produk!$D$1:$D$16,,0)</f>
        <v>450000</v>
      </c>
      <c r="K759" s="19">
        <f>INDEX(Master_Produk!$E$1:$E$16,MATCH(Lembar_Kerja_Analisis!A759,Master_Produk!$A$1:$A$16,0))</f>
        <v>290000</v>
      </c>
      <c r="L759" s="8">
        <v>2</v>
      </c>
      <c r="M759" s="19">
        <f t="shared" si="55"/>
        <v>900000</v>
      </c>
      <c r="N759" s="9">
        <v>0.1</v>
      </c>
      <c r="O759" s="19">
        <f t="shared" si="56"/>
        <v>90000</v>
      </c>
      <c r="P759" s="19">
        <f t="shared" si="57"/>
        <v>810000</v>
      </c>
      <c r="Q759" s="19">
        <f t="shared" si="58"/>
        <v>580000</v>
      </c>
      <c r="R759" s="19">
        <f t="shared" si="59"/>
        <v>230000</v>
      </c>
    </row>
    <row r="760" spans="1:18" x14ac:dyDescent="0.25">
      <c r="A760" t="str">
        <f>_xlfn.XLOOKUP(C760,Raw_Data_Transaksi!$A$1:$A$1001,Raw_Data_Transaksi!$D$1:$D$1001,,0)</f>
        <v>PRD-104</v>
      </c>
      <c r="B760" t="str">
        <f>_xlfn.XLOOKUP(C760,Raw_Data_Transaksi!$A$1:$A$1001,Raw_Data_Transaksi!$C$1:$C$1001,,0)</f>
        <v>SLS-04</v>
      </c>
      <c r="C760" s="6" t="s">
        <v>844</v>
      </c>
      <c r="D760" s="7">
        <v>45926</v>
      </c>
      <c r="E760" s="10" t="str">
        <f>VLOOKUP(B760,Master_Sales!$A$1:$D$9,2,FALSE)</f>
        <v>Dewi Anggraini</v>
      </c>
      <c r="F760" s="10" t="str">
        <f>INDEX(Master_Sales!$D$1:$D$9,MATCH(Lembar_Kerja_Analisis!B760,Master_Sales!$A$1:$A$9,0))</f>
        <v>Barat</v>
      </c>
      <c r="G760" s="10" t="str">
        <f>INDEX(Master_Sales!$C$1:$C$9,MATCH(Lembar_Kerja_Analisis!B760,Master_Sales!$A$1:$A$9,0))</f>
        <v>Medan</v>
      </c>
      <c r="H760" s="10" t="str">
        <f>VLOOKUP(A760,Master_Produk!$A$1:$E$16,2,FALSE)</f>
        <v>Monitor 24" FHD 144Hz</v>
      </c>
      <c r="I760" s="10" t="str">
        <f>INDEX(Master_Produk!$C$1:$C$16,MATCH(Lembar_Kerja_Analisis!A760,Master_Produk!$A$1:$A$16,0))</f>
        <v>Elektronik</v>
      </c>
      <c r="J760" s="19">
        <f>_xlfn.XLOOKUP(A760,Master_Produk!$A$1:$A$16,Master_Produk!$D$1:$D$16,,0)</f>
        <v>1950000</v>
      </c>
      <c r="K760" s="19">
        <f>INDEX(Master_Produk!$E$1:$E$16,MATCH(Lembar_Kerja_Analisis!A760,Master_Produk!$A$1:$A$16,0))</f>
        <v>1500000</v>
      </c>
      <c r="L760" s="8">
        <v>10</v>
      </c>
      <c r="M760" s="19">
        <f t="shared" si="55"/>
        <v>19500000</v>
      </c>
      <c r="N760" s="9">
        <v>0</v>
      </c>
      <c r="O760" s="19">
        <f t="shared" si="56"/>
        <v>0</v>
      </c>
      <c r="P760" s="19">
        <f t="shared" si="57"/>
        <v>19500000</v>
      </c>
      <c r="Q760" s="19">
        <f t="shared" si="58"/>
        <v>15000000</v>
      </c>
      <c r="R760" s="19">
        <f t="shared" si="59"/>
        <v>4500000</v>
      </c>
    </row>
    <row r="761" spans="1:18" x14ac:dyDescent="0.25">
      <c r="A761" t="str">
        <f>_xlfn.XLOOKUP(C761,Raw_Data_Transaksi!$A$1:$A$1001,Raw_Data_Transaksi!$D$1:$D$1001,,0)</f>
        <v>PRD-112</v>
      </c>
      <c r="B761" t="str">
        <f>_xlfn.XLOOKUP(C761,Raw_Data_Transaksi!$A$1:$A$1001,Raw_Data_Transaksi!$C$1:$C$1001,,0)</f>
        <v>SLS-05</v>
      </c>
      <c r="C761" s="6" t="s">
        <v>845</v>
      </c>
      <c r="D761" s="7">
        <v>45905</v>
      </c>
      <c r="E761" s="10" t="str">
        <f>VLOOKUP(B761,Master_Sales!$A$1:$D$9,2,FALSE)</f>
        <v>Eko Prasetyo</v>
      </c>
      <c r="F761" s="10" t="str">
        <f>INDEX(Master_Sales!$D$1:$D$9,MATCH(Lembar_Kerja_Analisis!B761,Master_Sales!$A$1:$A$9,0))</f>
        <v>Tengah</v>
      </c>
      <c r="G761" s="10" t="str">
        <f>INDEX(Master_Sales!$C$1:$C$9,MATCH(Lembar_Kerja_Analisis!B761,Master_Sales!$A$1:$A$9,0))</f>
        <v>Semarang</v>
      </c>
      <c r="H761" s="10" t="str">
        <f>VLOOKUP(A761,Master_Produk!$A$1:$E$16,2,FALSE)</f>
        <v>Susu UHT Full Cream 1L</v>
      </c>
      <c r="I761" s="10" t="str">
        <f>INDEX(Master_Produk!$C$1:$C$16,MATCH(Lembar_Kerja_Analisis!A761,Master_Produk!$A$1:$A$16,0))</f>
        <v>F&amp;B</v>
      </c>
      <c r="J761" s="19">
        <f>_xlfn.XLOOKUP(A761,Master_Produk!$A$1:$A$16,Master_Produk!$D$1:$D$16,,0)</f>
        <v>22000</v>
      </c>
      <c r="K761" s="19">
        <f>INDEX(Master_Produk!$E$1:$E$16,MATCH(Lembar_Kerja_Analisis!A761,Master_Produk!$A$1:$A$16,0))</f>
        <v>18000</v>
      </c>
      <c r="L761" s="8">
        <v>22</v>
      </c>
      <c r="M761" s="19">
        <f t="shared" si="55"/>
        <v>484000</v>
      </c>
      <c r="N761" s="9">
        <v>0.1</v>
      </c>
      <c r="O761" s="19">
        <f t="shared" si="56"/>
        <v>48400</v>
      </c>
      <c r="P761" s="19">
        <f t="shared" si="57"/>
        <v>435600</v>
      </c>
      <c r="Q761" s="19">
        <f t="shared" si="58"/>
        <v>396000</v>
      </c>
      <c r="R761" s="19">
        <f t="shared" si="59"/>
        <v>39600</v>
      </c>
    </row>
    <row r="762" spans="1:18" x14ac:dyDescent="0.25">
      <c r="A762" t="str">
        <f>_xlfn.XLOOKUP(C762,Raw_Data_Transaksi!$A$1:$A$1001,Raw_Data_Transaksi!$D$1:$D$1001,,0)</f>
        <v>PRD-110</v>
      </c>
      <c r="B762" t="str">
        <f>_xlfn.XLOOKUP(C762,Raw_Data_Transaksi!$A$1:$A$1001,Raw_Data_Transaksi!$C$1:$C$1001,,0)</f>
        <v>SLS-08</v>
      </c>
      <c r="C762" s="6" t="s">
        <v>846</v>
      </c>
      <c r="D762" s="7">
        <v>45724</v>
      </c>
      <c r="E762" s="10" t="str">
        <f>VLOOKUP(B762,Master_Sales!$A$1:$D$9,2,FALSE)</f>
        <v>Hendra Wijaya</v>
      </c>
      <c r="F762" s="10" t="str">
        <f>INDEX(Master_Sales!$D$1:$D$9,MATCH(Lembar_Kerja_Analisis!B762,Master_Sales!$A$1:$A$9,0))</f>
        <v>Tengah</v>
      </c>
      <c r="G762" s="10" t="str">
        <f>INDEX(Master_Sales!$C$1:$C$9,MATCH(Lembar_Kerja_Analisis!B762,Master_Sales!$A$1:$A$9,0))</f>
        <v>Yogyakarta</v>
      </c>
      <c r="H762" s="10" t="str">
        <f>VLOOKUP(A762,Master_Produk!$A$1:$E$16,2,FALSE)</f>
        <v>Minyak Goreng Sawit 2L</v>
      </c>
      <c r="I762" s="10" t="str">
        <f>INDEX(Master_Produk!$C$1:$C$16,MATCH(Lembar_Kerja_Analisis!A762,Master_Produk!$A$1:$A$16,0))</f>
        <v>F&amp;B</v>
      </c>
      <c r="J762" s="19">
        <f>_xlfn.XLOOKUP(A762,Master_Produk!$A$1:$A$16,Master_Produk!$D$1:$D$16,,0)</f>
        <v>36000</v>
      </c>
      <c r="K762" s="19">
        <f>INDEX(Master_Produk!$E$1:$E$16,MATCH(Lembar_Kerja_Analisis!A762,Master_Produk!$A$1:$A$16,0))</f>
        <v>31000</v>
      </c>
      <c r="L762" s="8">
        <v>26</v>
      </c>
      <c r="M762" s="19">
        <f t="shared" si="55"/>
        <v>936000</v>
      </c>
      <c r="N762" s="9">
        <v>0.15</v>
      </c>
      <c r="O762" s="19">
        <f t="shared" si="56"/>
        <v>140400</v>
      </c>
      <c r="P762" s="19">
        <f t="shared" si="57"/>
        <v>795600</v>
      </c>
      <c r="Q762" s="19">
        <f t="shared" si="58"/>
        <v>806000</v>
      </c>
      <c r="R762" s="19">
        <f t="shared" si="59"/>
        <v>-10400</v>
      </c>
    </row>
    <row r="763" spans="1:18" x14ac:dyDescent="0.25">
      <c r="A763" t="str">
        <f>_xlfn.XLOOKUP(C763,Raw_Data_Transaksi!$A$1:$A$1001,Raw_Data_Transaksi!$D$1:$D$1001,,0)</f>
        <v>PRD-105</v>
      </c>
      <c r="B763" t="str">
        <f>_xlfn.XLOOKUP(C763,Raw_Data_Transaksi!$A$1:$A$1001,Raw_Data_Transaksi!$C$1:$C$1001,,0)</f>
        <v>SLS-04</v>
      </c>
      <c r="C763" s="6" t="s">
        <v>847</v>
      </c>
      <c r="D763" s="7">
        <v>46020</v>
      </c>
      <c r="E763" s="10" t="str">
        <f>VLOOKUP(B763,Master_Sales!$A$1:$D$9,2,FALSE)</f>
        <v>Dewi Anggraini</v>
      </c>
      <c r="F763" s="10" t="str">
        <f>INDEX(Master_Sales!$D$1:$D$9,MATCH(Lembar_Kerja_Analisis!B763,Master_Sales!$A$1:$A$9,0))</f>
        <v>Barat</v>
      </c>
      <c r="G763" s="10" t="str">
        <f>INDEX(Master_Sales!$C$1:$C$9,MATCH(Lembar_Kerja_Analisis!B763,Master_Sales!$A$1:$A$9,0))</f>
        <v>Medan</v>
      </c>
      <c r="H763" s="10" t="str">
        <f>VLOOKUP(A763,Master_Produk!$A$1:$E$16,2,FALSE)</f>
        <v>Kemeja Batik Katun Premium</v>
      </c>
      <c r="I763" s="10" t="str">
        <f>INDEX(Master_Produk!$C$1:$C$16,MATCH(Lembar_Kerja_Analisis!A763,Master_Produk!$A$1:$A$16,0))</f>
        <v>Fashion</v>
      </c>
      <c r="J763" s="19">
        <f>_xlfn.XLOOKUP(A763,Master_Produk!$A$1:$A$16,Master_Produk!$D$1:$D$16,,0)</f>
        <v>320000</v>
      </c>
      <c r="K763" s="19">
        <f>INDEX(Master_Produk!$E$1:$E$16,MATCH(Lembar_Kerja_Analisis!A763,Master_Produk!$A$1:$A$16,0))</f>
        <v>190000</v>
      </c>
      <c r="L763" s="8">
        <v>1</v>
      </c>
      <c r="M763" s="19">
        <f t="shared" si="55"/>
        <v>320000</v>
      </c>
      <c r="N763" s="9">
        <v>0</v>
      </c>
      <c r="O763" s="19">
        <f t="shared" si="56"/>
        <v>0</v>
      </c>
      <c r="P763" s="19">
        <f t="shared" si="57"/>
        <v>320000</v>
      </c>
      <c r="Q763" s="19">
        <f t="shared" si="58"/>
        <v>190000</v>
      </c>
      <c r="R763" s="19">
        <f t="shared" si="59"/>
        <v>130000</v>
      </c>
    </row>
    <row r="764" spans="1:18" x14ac:dyDescent="0.25">
      <c r="A764" t="str">
        <f>_xlfn.XLOOKUP(C764,Raw_Data_Transaksi!$A$1:$A$1001,Raw_Data_Transaksi!$D$1:$D$1001,,0)</f>
        <v>PRD-113</v>
      </c>
      <c r="B764" t="str">
        <f>_xlfn.XLOOKUP(C764,Raw_Data_Transaksi!$A$1:$A$1001,Raw_Data_Transaksi!$C$1:$C$1001,,0)</f>
        <v>SLS-07</v>
      </c>
      <c r="C764" s="6" t="s">
        <v>848</v>
      </c>
      <c r="D764" s="7">
        <v>45764</v>
      </c>
      <c r="E764" s="10" t="str">
        <f>VLOOKUP(B764,Master_Sales!$A$1:$D$9,2,FALSE)</f>
        <v>Gita Permata</v>
      </c>
      <c r="F764" s="10" t="str">
        <f>INDEX(Master_Sales!$D$1:$D$9,MATCH(Lembar_Kerja_Analisis!B764,Master_Sales!$A$1:$A$9,0))</f>
        <v>Tengah</v>
      </c>
      <c r="G764" s="10" t="str">
        <f>INDEX(Master_Sales!$C$1:$C$9,MATCH(Lembar_Kerja_Analisis!B764,Master_Sales!$A$1:$A$9,0))</f>
        <v>Denpasar</v>
      </c>
      <c r="H764" s="10" t="str">
        <f>VLOOKUP(A764,Master_Produk!$A$1:$E$16,2,FALSE)</f>
        <v>Wajan Anti Lengket 28cm</v>
      </c>
      <c r="I764" s="10" t="str">
        <f>INDEX(Master_Produk!$C$1:$C$16,MATCH(Lembar_Kerja_Analisis!A764,Master_Produk!$A$1:$A$16,0))</f>
        <v>Peralatan Rumah</v>
      </c>
      <c r="J764" s="19">
        <f>_xlfn.XLOOKUP(A764,Master_Produk!$A$1:$A$16,Master_Produk!$D$1:$D$16,,0)</f>
        <v>210000</v>
      </c>
      <c r="K764" s="19">
        <f>INDEX(Master_Produk!$E$1:$E$16,MATCH(Lembar_Kerja_Analisis!A764,Master_Produk!$A$1:$A$16,0))</f>
        <v>140000</v>
      </c>
      <c r="L764" s="8">
        <v>7</v>
      </c>
      <c r="M764" s="19">
        <f t="shared" si="55"/>
        <v>1470000</v>
      </c>
      <c r="N764" s="9">
        <v>0</v>
      </c>
      <c r="O764" s="19">
        <f t="shared" si="56"/>
        <v>0</v>
      </c>
      <c r="P764" s="19">
        <f t="shared" si="57"/>
        <v>1470000</v>
      </c>
      <c r="Q764" s="19">
        <f t="shared" si="58"/>
        <v>980000</v>
      </c>
      <c r="R764" s="19">
        <f t="shared" si="59"/>
        <v>490000</v>
      </c>
    </row>
    <row r="765" spans="1:18" x14ac:dyDescent="0.25">
      <c r="A765" t="str">
        <f>_xlfn.XLOOKUP(C765,Raw_Data_Transaksi!$A$1:$A$1001,Raw_Data_Transaksi!$D$1:$D$1001,,0)</f>
        <v>PRD-111</v>
      </c>
      <c r="B765" t="str">
        <f>_xlfn.XLOOKUP(C765,Raw_Data_Transaksi!$A$1:$A$1001,Raw_Data_Transaksi!$C$1:$C$1001,,0)</f>
        <v>SLS-04</v>
      </c>
      <c r="C765" s="6" t="s">
        <v>849</v>
      </c>
      <c r="D765" s="7">
        <v>45663</v>
      </c>
      <c r="E765" s="10" t="str">
        <f>VLOOKUP(B765,Master_Sales!$A$1:$D$9,2,FALSE)</f>
        <v>Dewi Anggraini</v>
      </c>
      <c r="F765" s="10" t="str">
        <f>INDEX(Master_Sales!$D$1:$D$9,MATCH(Lembar_Kerja_Analisis!B765,Master_Sales!$A$1:$A$9,0))</f>
        <v>Barat</v>
      </c>
      <c r="G765" s="10" t="str">
        <f>INDEX(Master_Sales!$C$1:$C$9,MATCH(Lembar_Kerja_Analisis!B765,Master_Sales!$A$1:$A$9,0))</f>
        <v>Medan</v>
      </c>
      <c r="H765" s="10" t="str">
        <f>VLOOKUP(A765,Master_Produk!$A$1:$E$16,2,FALSE)</f>
        <v>Beras Premium 5kg</v>
      </c>
      <c r="I765" s="10" t="str">
        <f>INDEX(Master_Produk!$C$1:$C$16,MATCH(Lembar_Kerja_Analisis!A765,Master_Produk!$A$1:$A$16,0))</f>
        <v>F&amp;B</v>
      </c>
      <c r="J765" s="19">
        <f>_xlfn.XLOOKUP(A765,Master_Produk!$A$1:$A$16,Master_Produk!$D$1:$D$16,,0)</f>
        <v>74000</v>
      </c>
      <c r="K765" s="19">
        <f>INDEX(Master_Produk!$E$1:$E$16,MATCH(Lembar_Kerja_Analisis!A765,Master_Produk!$A$1:$A$16,0))</f>
        <v>65000</v>
      </c>
      <c r="L765" s="8">
        <v>12</v>
      </c>
      <c r="M765" s="19">
        <f t="shared" si="55"/>
        <v>888000</v>
      </c>
      <c r="N765" s="9">
        <v>0.1</v>
      </c>
      <c r="O765" s="19">
        <f t="shared" si="56"/>
        <v>88800</v>
      </c>
      <c r="P765" s="19">
        <f t="shared" si="57"/>
        <v>799200</v>
      </c>
      <c r="Q765" s="19">
        <f t="shared" si="58"/>
        <v>780000</v>
      </c>
      <c r="R765" s="19">
        <f t="shared" si="59"/>
        <v>19200</v>
      </c>
    </row>
    <row r="766" spans="1:18" x14ac:dyDescent="0.25">
      <c r="A766" t="str">
        <f>_xlfn.XLOOKUP(C766,Raw_Data_Transaksi!$A$1:$A$1001,Raw_Data_Transaksi!$D$1:$D$1001,,0)</f>
        <v>PRD-109</v>
      </c>
      <c r="B766" t="str">
        <f>_xlfn.XLOOKUP(C766,Raw_Data_Transaksi!$A$1:$A$1001,Raw_Data_Transaksi!$C$1:$C$1001,,0)</f>
        <v>SLS-06</v>
      </c>
      <c r="C766" s="6" t="s">
        <v>850</v>
      </c>
      <c r="D766" s="7">
        <v>45917</v>
      </c>
      <c r="E766" s="10" t="str">
        <f>VLOOKUP(B766,Master_Sales!$A$1:$D$9,2,FALSE)</f>
        <v>Fajar Nugraha</v>
      </c>
      <c r="F766" s="10" t="str">
        <f>INDEX(Master_Sales!$D$1:$D$9,MATCH(Lembar_Kerja_Analisis!B766,Master_Sales!$A$1:$A$9,0))</f>
        <v>Timur</v>
      </c>
      <c r="G766" s="10" t="str">
        <f>INDEX(Master_Sales!$C$1:$C$9,MATCH(Lembar_Kerja_Analisis!B766,Master_Sales!$A$1:$A$9,0))</f>
        <v>Makassar</v>
      </c>
      <c r="H766" s="10" t="str">
        <f>VLOOKUP(A766,Master_Produk!$A$1:$E$16,2,FALSE)</f>
        <v>Kopi Arabika Gayo 250g</v>
      </c>
      <c r="I766" s="10" t="str">
        <f>INDEX(Master_Produk!$C$1:$C$16,MATCH(Lembar_Kerja_Analisis!A766,Master_Produk!$A$1:$A$16,0))</f>
        <v>F&amp;B</v>
      </c>
      <c r="J766" s="19">
        <f>_xlfn.XLOOKUP(A766,Master_Produk!$A$1:$A$16,Master_Produk!$D$1:$D$16,,0)</f>
        <v>85000</v>
      </c>
      <c r="K766" s="19">
        <f>INDEX(Master_Produk!$E$1:$E$16,MATCH(Lembar_Kerja_Analisis!A766,Master_Produk!$A$1:$A$16,0))</f>
        <v>55000</v>
      </c>
      <c r="L766" s="8">
        <v>6</v>
      </c>
      <c r="M766" s="19">
        <f t="shared" si="55"/>
        <v>510000</v>
      </c>
      <c r="N766" s="9">
        <v>0.1</v>
      </c>
      <c r="O766" s="19">
        <f t="shared" si="56"/>
        <v>51000</v>
      </c>
      <c r="P766" s="19">
        <f t="shared" si="57"/>
        <v>459000</v>
      </c>
      <c r="Q766" s="19">
        <f t="shared" si="58"/>
        <v>330000</v>
      </c>
      <c r="R766" s="19">
        <f t="shared" si="59"/>
        <v>129000</v>
      </c>
    </row>
    <row r="767" spans="1:18" x14ac:dyDescent="0.25">
      <c r="A767" t="str">
        <f>_xlfn.XLOOKUP(C767,Raw_Data_Transaksi!$A$1:$A$1001,Raw_Data_Transaksi!$D$1:$D$1001,,0)</f>
        <v>PRD-104</v>
      </c>
      <c r="B767" t="str">
        <f>_xlfn.XLOOKUP(C767,Raw_Data_Transaksi!$A$1:$A$1001,Raw_Data_Transaksi!$C$1:$C$1001,,0)</f>
        <v>SLS-06</v>
      </c>
      <c r="C767" s="6" t="s">
        <v>851</v>
      </c>
      <c r="D767" s="7">
        <v>45747</v>
      </c>
      <c r="E767" s="10" t="str">
        <f>VLOOKUP(B767,Master_Sales!$A$1:$D$9,2,FALSE)</f>
        <v>Fajar Nugraha</v>
      </c>
      <c r="F767" s="10" t="str">
        <f>INDEX(Master_Sales!$D$1:$D$9,MATCH(Lembar_Kerja_Analisis!B767,Master_Sales!$A$1:$A$9,0))</f>
        <v>Timur</v>
      </c>
      <c r="G767" s="10" t="str">
        <f>INDEX(Master_Sales!$C$1:$C$9,MATCH(Lembar_Kerja_Analisis!B767,Master_Sales!$A$1:$A$9,0))</f>
        <v>Makassar</v>
      </c>
      <c r="H767" s="10" t="str">
        <f>VLOOKUP(A767,Master_Produk!$A$1:$E$16,2,FALSE)</f>
        <v>Monitor 24" FHD 144Hz</v>
      </c>
      <c r="I767" s="10" t="str">
        <f>INDEX(Master_Produk!$C$1:$C$16,MATCH(Lembar_Kerja_Analisis!A767,Master_Produk!$A$1:$A$16,0))</f>
        <v>Elektronik</v>
      </c>
      <c r="J767" s="19">
        <f>_xlfn.XLOOKUP(A767,Master_Produk!$A$1:$A$16,Master_Produk!$D$1:$D$16,,0)</f>
        <v>1950000</v>
      </c>
      <c r="K767" s="19">
        <f>INDEX(Master_Produk!$E$1:$E$16,MATCH(Lembar_Kerja_Analisis!A767,Master_Produk!$A$1:$A$16,0))</f>
        <v>1500000</v>
      </c>
      <c r="L767" s="8">
        <v>6</v>
      </c>
      <c r="M767" s="19">
        <f t="shared" si="55"/>
        <v>11700000</v>
      </c>
      <c r="N767" s="9">
        <v>0.15</v>
      </c>
      <c r="O767" s="19">
        <f t="shared" si="56"/>
        <v>1755000</v>
      </c>
      <c r="P767" s="19">
        <f t="shared" si="57"/>
        <v>9945000</v>
      </c>
      <c r="Q767" s="19">
        <f t="shared" si="58"/>
        <v>9000000</v>
      </c>
      <c r="R767" s="19">
        <f t="shared" si="59"/>
        <v>945000</v>
      </c>
    </row>
    <row r="768" spans="1:18" x14ac:dyDescent="0.25">
      <c r="A768" t="str">
        <f>_xlfn.XLOOKUP(C768,Raw_Data_Transaksi!$A$1:$A$1001,Raw_Data_Transaksi!$D$1:$D$1001,,0)</f>
        <v>PRD-103</v>
      </c>
      <c r="B768" t="str">
        <f>_xlfn.XLOOKUP(C768,Raw_Data_Transaksi!$A$1:$A$1001,Raw_Data_Transaksi!$C$1:$C$1001,,0)</f>
        <v>SLS-08</v>
      </c>
      <c r="C768" s="6" t="s">
        <v>852</v>
      </c>
      <c r="D768" s="7">
        <v>45904</v>
      </c>
      <c r="E768" s="10" t="str">
        <f>VLOOKUP(B768,Master_Sales!$A$1:$D$9,2,FALSE)</f>
        <v>Hendra Wijaya</v>
      </c>
      <c r="F768" s="10" t="str">
        <f>INDEX(Master_Sales!$D$1:$D$9,MATCH(Lembar_Kerja_Analisis!B768,Master_Sales!$A$1:$A$9,0))</f>
        <v>Tengah</v>
      </c>
      <c r="G768" s="10" t="str">
        <f>INDEX(Master_Sales!$C$1:$C$9,MATCH(Lembar_Kerja_Analisis!B768,Master_Sales!$A$1:$A$9,0))</f>
        <v>Yogyakarta</v>
      </c>
      <c r="H768" s="10" t="str">
        <f>VLOOKUP(A768,Master_Produk!$A$1:$E$16,2,FALSE)</f>
        <v>Mechanical Keyboard RGB</v>
      </c>
      <c r="I768" s="10" t="str">
        <f>INDEX(Master_Produk!$C$1:$C$16,MATCH(Lembar_Kerja_Analisis!A768,Master_Produk!$A$1:$A$16,0))</f>
        <v>Elektronik</v>
      </c>
      <c r="J768" s="19">
        <f>_xlfn.XLOOKUP(A768,Master_Produk!$A$1:$A$16,Master_Produk!$D$1:$D$16,,0)</f>
        <v>750000</v>
      </c>
      <c r="K768" s="19">
        <f>INDEX(Master_Produk!$E$1:$E$16,MATCH(Lembar_Kerja_Analisis!A768,Master_Produk!$A$1:$A$16,0))</f>
        <v>520000</v>
      </c>
      <c r="L768" s="8">
        <v>9</v>
      </c>
      <c r="M768" s="19">
        <f t="shared" si="55"/>
        <v>6750000</v>
      </c>
      <c r="N768" s="9">
        <v>0.1</v>
      </c>
      <c r="O768" s="19">
        <f t="shared" si="56"/>
        <v>675000</v>
      </c>
      <c r="P768" s="19">
        <f t="shared" si="57"/>
        <v>6075000</v>
      </c>
      <c r="Q768" s="19">
        <f t="shared" si="58"/>
        <v>4680000</v>
      </c>
      <c r="R768" s="19">
        <f t="shared" si="59"/>
        <v>1395000</v>
      </c>
    </row>
    <row r="769" spans="1:18" x14ac:dyDescent="0.25">
      <c r="A769" t="str">
        <f>_xlfn.XLOOKUP(C769,Raw_Data_Transaksi!$A$1:$A$1001,Raw_Data_Transaksi!$D$1:$D$1001,,0)</f>
        <v>PRD-105</v>
      </c>
      <c r="B769" t="str">
        <f>_xlfn.XLOOKUP(C769,Raw_Data_Transaksi!$A$1:$A$1001,Raw_Data_Transaksi!$C$1:$C$1001,,0)</f>
        <v>SLS-06</v>
      </c>
      <c r="C769" s="6" t="s">
        <v>853</v>
      </c>
      <c r="D769" s="7">
        <v>45924</v>
      </c>
      <c r="E769" s="10" t="str">
        <f>VLOOKUP(B769,Master_Sales!$A$1:$D$9,2,FALSE)</f>
        <v>Fajar Nugraha</v>
      </c>
      <c r="F769" s="10" t="str">
        <f>INDEX(Master_Sales!$D$1:$D$9,MATCH(Lembar_Kerja_Analisis!B769,Master_Sales!$A$1:$A$9,0))</f>
        <v>Timur</v>
      </c>
      <c r="G769" s="10" t="str">
        <f>INDEX(Master_Sales!$C$1:$C$9,MATCH(Lembar_Kerja_Analisis!B769,Master_Sales!$A$1:$A$9,0))</f>
        <v>Makassar</v>
      </c>
      <c r="H769" s="10" t="str">
        <f>VLOOKUP(A769,Master_Produk!$A$1:$E$16,2,FALSE)</f>
        <v>Kemeja Batik Katun Premium</v>
      </c>
      <c r="I769" s="10" t="str">
        <f>INDEX(Master_Produk!$C$1:$C$16,MATCH(Lembar_Kerja_Analisis!A769,Master_Produk!$A$1:$A$16,0))</f>
        <v>Fashion</v>
      </c>
      <c r="J769" s="19">
        <f>_xlfn.XLOOKUP(A769,Master_Produk!$A$1:$A$16,Master_Produk!$D$1:$D$16,,0)</f>
        <v>320000</v>
      </c>
      <c r="K769" s="19">
        <f>INDEX(Master_Produk!$E$1:$E$16,MATCH(Lembar_Kerja_Analisis!A769,Master_Produk!$A$1:$A$16,0))</f>
        <v>190000</v>
      </c>
      <c r="L769" s="8">
        <v>9</v>
      </c>
      <c r="M769" s="19">
        <f t="shared" si="55"/>
        <v>2880000</v>
      </c>
      <c r="N769" s="9">
        <v>0.2</v>
      </c>
      <c r="O769" s="19">
        <f t="shared" si="56"/>
        <v>576000</v>
      </c>
      <c r="P769" s="19">
        <f t="shared" si="57"/>
        <v>2304000</v>
      </c>
      <c r="Q769" s="19">
        <f t="shared" si="58"/>
        <v>1710000</v>
      </c>
      <c r="R769" s="19">
        <f t="shared" si="59"/>
        <v>594000</v>
      </c>
    </row>
    <row r="770" spans="1:18" x14ac:dyDescent="0.25">
      <c r="A770" t="str">
        <f>_xlfn.XLOOKUP(C770,Raw_Data_Transaksi!$A$1:$A$1001,Raw_Data_Transaksi!$D$1:$D$1001,,0)</f>
        <v>PRD-102</v>
      </c>
      <c r="B770" t="str">
        <f>_xlfn.XLOOKUP(C770,Raw_Data_Transaksi!$A$1:$A$1001,Raw_Data_Transaksi!$C$1:$C$1001,,0)</f>
        <v>SLS-03</v>
      </c>
      <c r="C770" s="6" t="s">
        <v>854</v>
      </c>
      <c r="D770" s="7">
        <v>45839</v>
      </c>
      <c r="E770" s="10" t="str">
        <f>VLOOKUP(B770,Master_Sales!$A$1:$D$9,2,FALSE)</f>
        <v>Citra Lestari</v>
      </c>
      <c r="F770" s="10" t="str">
        <f>INDEX(Master_Sales!$D$1:$D$9,MATCH(Lembar_Kerja_Analisis!B770,Master_Sales!$A$1:$A$9,0))</f>
        <v>Barat</v>
      </c>
      <c r="G770" s="10" t="str">
        <f>INDEX(Master_Sales!$C$1:$C$9,MATCH(Lembar_Kerja_Analisis!B770,Master_Sales!$A$1:$A$9,0))</f>
        <v>Bandung</v>
      </c>
      <c r="H770" s="10" t="str">
        <f>VLOOKUP(A770,Master_Produk!$A$1:$E$16,2,FALSE)</f>
        <v>Wireless Mouse Ergonomic</v>
      </c>
      <c r="I770" s="10" t="str">
        <f>INDEX(Master_Produk!$C$1:$C$16,MATCH(Lembar_Kerja_Analisis!A770,Master_Produk!$A$1:$A$16,0))</f>
        <v>Elektronik</v>
      </c>
      <c r="J770" s="19">
        <f>_xlfn.XLOOKUP(A770,Master_Produk!$A$1:$A$16,Master_Produk!$D$1:$D$16,,0)</f>
        <v>250000</v>
      </c>
      <c r="K770" s="19">
        <f>INDEX(Master_Produk!$E$1:$E$16,MATCH(Lembar_Kerja_Analisis!A770,Master_Produk!$A$1:$A$16,0))</f>
        <v>160000</v>
      </c>
      <c r="L770" s="8">
        <v>5</v>
      </c>
      <c r="M770" s="19">
        <f t="shared" si="55"/>
        <v>1250000</v>
      </c>
      <c r="N770" s="9">
        <v>0</v>
      </c>
      <c r="O770" s="19">
        <f t="shared" si="56"/>
        <v>0</v>
      </c>
      <c r="P770" s="19">
        <f t="shared" si="57"/>
        <v>1250000</v>
      </c>
      <c r="Q770" s="19">
        <f t="shared" si="58"/>
        <v>800000</v>
      </c>
      <c r="R770" s="19">
        <f t="shared" si="59"/>
        <v>450000</v>
      </c>
    </row>
    <row r="771" spans="1:18" x14ac:dyDescent="0.25">
      <c r="A771" t="str">
        <f>_xlfn.XLOOKUP(C771,Raw_Data_Transaksi!$A$1:$A$1001,Raw_Data_Transaksi!$D$1:$D$1001,,0)</f>
        <v>PRD-110</v>
      </c>
      <c r="B771" t="str">
        <f>_xlfn.XLOOKUP(C771,Raw_Data_Transaksi!$A$1:$A$1001,Raw_Data_Transaksi!$C$1:$C$1001,,0)</f>
        <v>SLS-07</v>
      </c>
      <c r="C771" s="6" t="s">
        <v>855</v>
      </c>
      <c r="D771" s="7">
        <v>45950</v>
      </c>
      <c r="E771" s="10" t="str">
        <f>VLOOKUP(B771,Master_Sales!$A$1:$D$9,2,FALSE)</f>
        <v>Gita Permata</v>
      </c>
      <c r="F771" s="10" t="str">
        <f>INDEX(Master_Sales!$D$1:$D$9,MATCH(Lembar_Kerja_Analisis!B771,Master_Sales!$A$1:$A$9,0))</f>
        <v>Tengah</v>
      </c>
      <c r="G771" s="10" t="str">
        <f>INDEX(Master_Sales!$C$1:$C$9,MATCH(Lembar_Kerja_Analisis!B771,Master_Sales!$A$1:$A$9,0))</f>
        <v>Denpasar</v>
      </c>
      <c r="H771" s="10" t="str">
        <f>VLOOKUP(A771,Master_Produk!$A$1:$E$16,2,FALSE)</f>
        <v>Minyak Goreng Sawit 2L</v>
      </c>
      <c r="I771" s="10" t="str">
        <f>INDEX(Master_Produk!$C$1:$C$16,MATCH(Lembar_Kerja_Analisis!A771,Master_Produk!$A$1:$A$16,0))</f>
        <v>F&amp;B</v>
      </c>
      <c r="J771" s="19">
        <f>_xlfn.XLOOKUP(A771,Master_Produk!$A$1:$A$16,Master_Produk!$D$1:$D$16,,0)</f>
        <v>36000</v>
      </c>
      <c r="K771" s="19">
        <f>INDEX(Master_Produk!$E$1:$E$16,MATCH(Lembar_Kerja_Analisis!A771,Master_Produk!$A$1:$A$16,0))</f>
        <v>31000</v>
      </c>
      <c r="L771" s="8">
        <v>22</v>
      </c>
      <c r="M771" s="19">
        <f t="shared" ref="M771:M834" si="60">L771*J771</f>
        <v>792000</v>
      </c>
      <c r="N771" s="9">
        <v>0</v>
      </c>
      <c r="O771" s="19">
        <f t="shared" ref="O771:O834" si="61">M771*N771</f>
        <v>0</v>
      </c>
      <c r="P771" s="19">
        <f t="shared" ref="P771:P834" si="62">M771-O771</f>
        <v>792000</v>
      </c>
      <c r="Q771" s="19">
        <f t="shared" ref="Q771:Q834" si="63">L771*K771</f>
        <v>682000</v>
      </c>
      <c r="R771" s="19">
        <f t="shared" ref="R771:R834" si="64">P771-Q771</f>
        <v>110000</v>
      </c>
    </row>
    <row r="772" spans="1:18" x14ac:dyDescent="0.25">
      <c r="A772" t="str">
        <f>_xlfn.XLOOKUP(C772,Raw_Data_Transaksi!$A$1:$A$1001,Raw_Data_Transaksi!$D$1:$D$1001,,0)</f>
        <v>PRD-101</v>
      </c>
      <c r="B772" t="str">
        <f>_xlfn.XLOOKUP(C772,Raw_Data_Transaksi!$A$1:$A$1001,Raw_Data_Transaksi!$C$1:$C$1001,,0)</f>
        <v>SLS-05</v>
      </c>
      <c r="C772" s="6" t="s">
        <v>856</v>
      </c>
      <c r="D772" s="7">
        <v>46021</v>
      </c>
      <c r="E772" s="10" t="str">
        <f>VLOOKUP(B772,Master_Sales!$A$1:$D$9,2,FALSE)</f>
        <v>Eko Prasetyo</v>
      </c>
      <c r="F772" s="10" t="str">
        <f>INDEX(Master_Sales!$D$1:$D$9,MATCH(Lembar_Kerja_Analisis!B772,Master_Sales!$A$1:$A$9,0))</f>
        <v>Tengah</v>
      </c>
      <c r="G772" s="10" t="str">
        <f>INDEX(Master_Sales!$C$1:$C$9,MATCH(Lembar_Kerja_Analisis!B772,Master_Sales!$A$1:$A$9,0))</f>
        <v>Semarang</v>
      </c>
      <c r="H772" s="10" t="str">
        <f>VLOOKUP(A772,Master_Produk!$A$1:$E$16,2,FALSE)</f>
        <v>Laptop Ultrabook 14"</v>
      </c>
      <c r="I772" s="10" t="str">
        <f>INDEX(Master_Produk!$C$1:$C$16,MATCH(Lembar_Kerja_Analisis!A772,Master_Produk!$A$1:$A$16,0))</f>
        <v>Elektronik</v>
      </c>
      <c r="J772" s="19">
        <f>_xlfn.XLOOKUP(A772,Master_Produk!$A$1:$A$16,Master_Produk!$D$1:$D$16,,0)</f>
        <v>8500000</v>
      </c>
      <c r="K772" s="19">
        <f>INDEX(Master_Produk!$E$1:$E$16,MATCH(Lembar_Kerja_Analisis!A772,Master_Produk!$A$1:$A$16,0))</f>
        <v>7200000</v>
      </c>
      <c r="L772" s="8">
        <v>7</v>
      </c>
      <c r="M772" s="19">
        <f t="shared" si="60"/>
        <v>59500000</v>
      </c>
      <c r="N772" s="9">
        <v>0</v>
      </c>
      <c r="O772" s="19">
        <f t="shared" si="61"/>
        <v>0</v>
      </c>
      <c r="P772" s="19">
        <f t="shared" si="62"/>
        <v>59500000</v>
      </c>
      <c r="Q772" s="19">
        <f t="shared" si="63"/>
        <v>50400000</v>
      </c>
      <c r="R772" s="19">
        <f t="shared" si="64"/>
        <v>9100000</v>
      </c>
    </row>
    <row r="773" spans="1:18" x14ac:dyDescent="0.25">
      <c r="A773" t="str">
        <f>_xlfn.XLOOKUP(C773,Raw_Data_Transaksi!$A$1:$A$1001,Raw_Data_Transaksi!$D$1:$D$1001,,0)</f>
        <v>PRD-114</v>
      </c>
      <c r="B773" t="str">
        <f>_xlfn.XLOOKUP(C773,Raw_Data_Transaksi!$A$1:$A$1001,Raw_Data_Transaksi!$C$1:$C$1001,,0)</f>
        <v>SLS-05</v>
      </c>
      <c r="C773" s="6" t="s">
        <v>857</v>
      </c>
      <c r="D773" s="7">
        <v>45889</v>
      </c>
      <c r="E773" s="10" t="str">
        <f>VLOOKUP(B773,Master_Sales!$A$1:$D$9,2,FALSE)</f>
        <v>Eko Prasetyo</v>
      </c>
      <c r="F773" s="10" t="str">
        <f>INDEX(Master_Sales!$D$1:$D$9,MATCH(Lembar_Kerja_Analisis!B773,Master_Sales!$A$1:$A$9,0))</f>
        <v>Tengah</v>
      </c>
      <c r="G773" s="10" t="str">
        <f>INDEX(Master_Sales!$C$1:$C$9,MATCH(Lembar_Kerja_Analisis!B773,Master_Sales!$A$1:$A$9,0))</f>
        <v>Semarang</v>
      </c>
      <c r="H773" s="10" t="str">
        <f>VLOOKUP(A773,Master_Produk!$A$1:$E$16,2,FALSE)</f>
        <v>Blender Multifungsi 2-in-1</v>
      </c>
      <c r="I773" s="10" t="str">
        <f>INDEX(Master_Produk!$C$1:$C$16,MATCH(Lembar_Kerja_Analisis!A773,Master_Produk!$A$1:$A$16,0))</f>
        <v>Peralatan Rumah</v>
      </c>
      <c r="J773" s="19">
        <f>_xlfn.XLOOKUP(A773,Master_Produk!$A$1:$A$16,Master_Produk!$D$1:$D$16,,0)</f>
        <v>340000</v>
      </c>
      <c r="K773" s="19">
        <f>INDEX(Master_Produk!$E$1:$E$16,MATCH(Lembar_Kerja_Analisis!A773,Master_Produk!$A$1:$A$16,0))</f>
        <v>240000</v>
      </c>
      <c r="L773" s="8">
        <v>4</v>
      </c>
      <c r="M773" s="19">
        <f t="shared" si="60"/>
        <v>1360000</v>
      </c>
      <c r="N773" s="9">
        <v>0.2</v>
      </c>
      <c r="O773" s="19">
        <f t="shared" si="61"/>
        <v>272000</v>
      </c>
      <c r="P773" s="19">
        <f t="shared" si="62"/>
        <v>1088000</v>
      </c>
      <c r="Q773" s="19">
        <f t="shared" si="63"/>
        <v>960000</v>
      </c>
      <c r="R773" s="19">
        <f t="shared" si="64"/>
        <v>128000</v>
      </c>
    </row>
    <row r="774" spans="1:18" x14ac:dyDescent="0.25">
      <c r="A774" t="str">
        <f>_xlfn.XLOOKUP(C774,Raw_Data_Transaksi!$A$1:$A$1001,Raw_Data_Transaksi!$D$1:$D$1001,,0)</f>
        <v>PRD-113</v>
      </c>
      <c r="B774" t="str">
        <f>_xlfn.XLOOKUP(C774,Raw_Data_Transaksi!$A$1:$A$1001,Raw_Data_Transaksi!$C$1:$C$1001,,0)</f>
        <v>SLS-01</v>
      </c>
      <c r="C774" s="6" t="s">
        <v>858</v>
      </c>
      <c r="D774" s="7">
        <v>45849</v>
      </c>
      <c r="E774" s="10" t="str">
        <f>VLOOKUP(B774,Master_Sales!$A$1:$D$9,2,FALSE)</f>
        <v>Andi Pratama</v>
      </c>
      <c r="F774" s="10" t="str">
        <f>INDEX(Master_Sales!$D$1:$D$9,MATCH(Lembar_Kerja_Analisis!B774,Master_Sales!$A$1:$A$9,0))</f>
        <v>Barat</v>
      </c>
      <c r="G774" s="10" t="str">
        <f>INDEX(Master_Sales!$C$1:$C$9,MATCH(Lembar_Kerja_Analisis!B774,Master_Sales!$A$1:$A$9,0))</f>
        <v>Jakarta</v>
      </c>
      <c r="H774" s="10" t="str">
        <f>VLOOKUP(A774,Master_Produk!$A$1:$E$16,2,FALSE)</f>
        <v>Wajan Anti Lengket 28cm</v>
      </c>
      <c r="I774" s="10" t="str">
        <f>INDEX(Master_Produk!$C$1:$C$16,MATCH(Lembar_Kerja_Analisis!A774,Master_Produk!$A$1:$A$16,0))</f>
        <v>Peralatan Rumah</v>
      </c>
      <c r="J774" s="19">
        <f>_xlfn.XLOOKUP(A774,Master_Produk!$A$1:$A$16,Master_Produk!$D$1:$D$16,,0)</f>
        <v>210000</v>
      </c>
      <c r="K774" s="19">
        <f>INDEX(Master_Produk!$E$1:$E$16,MATCH(Lembar_Kerja_Analisis!A774,Master_Produk!$A$1:$A$16,0))</f>
        <v>140000</v>
      </c>
      <c r="L774" s="8">
        <v>4</v>
      </c>
      <c r="M774" s="19">
        <f t="shared" si="60"/>
        <v>840000</v>
      </c>
      <c r="N774" s="9">
        <v>0</v>
      </c>
      <c r="O774" s="19">
        <f t="shared" si="61"/>
        <v>0</v>
      </c>
      <c r="P774" s="19">
        <f t="shared" si="62"/>
        <v>840000</v>
      </c>
      <c r="Q774" s="19">
        <f t="shared" si="63"/>
        <v>560000</v>
      </c>
      <c r="R774" s="19">
        <f t="shared" si="64"/>
        <v>280000</v>
      </c>
    </row>
    <row r="775" spans="1:18" x14ac:dyDescent="0.25">
      <c r="A775" t="str">
        <f>_xlfn.XLOOKUP(C775,Raw_Data_Transaksi!$A$1:$A$1001,Raw_Data_Transaksi!$D$1:$D$1001,,0)</f>
        <v>PRD-115</v>
      </c>
      <c r="B775" t="str">
        <f>_xlfn.XLOOKUP(C775,Raw_Data_Transaksi!$A$1:$A$1001,Raw_Data_Transaksi!$C$1:$C$1001,,0)</f>
        <v>SLS-03</v>
      </c>
      <c r="C775" s="6" t="s">
        <v>859</v>
      </c>
      <c r="D775" s="7">
        <v>45905</v>
      </c>
      <c r="E775" s="10" t="str">
        <f>VLOOKUP(B775,Master_Sales!$A$1:$D$9,2,FALSE)</f>
        <v>Citra Lestari</v>
      </c>
      <c r="F775" s="10" t="str">
        <f>INDEX(Master_Sales!$D$1:$D$9,MATCH(Lembar_Kerja_Analisis!B775,Master_Sales!$A$1:$A$9,0))</f>
        <v>Barat</v>
      </c>
      <c r="G775" s="10" t="str">
        <f>INDEX(Master_Sales!$C$1:$C$9,MATCH(Lembar_Kerja_Analisis!B775,Master_Sales!$A$1:$A$9,0))</f>
        <v>Bandung</v>
      </c>
      <c r="H775" s="10" t="str">
        <f>VLOOKUP(A775,Master_Produk!$A$1:$E$16,2,FALSE)</f>
        <v>Set Pisau Dapur Stainless</v>
      </c>
      <c r="I775" s="10" t="str">
        <f>INDEX(Master_Produk!$C$1:$C$16,MATCH(Lembar_Kerja_Analisis!A775,Master_Produk!$A$1:$A$16,0))</f>
        <v>Peralatan Rumah</v>
      </c>
      <c r="J775" s="19">
        <f>_xlfn.XLOOKUP(A775,Master_Produk!$A$1:$A$16,Master_Produk!$D$1:$D$16,,0)</f>
        <v>165000</v>
      </c>
      <c r="K775" s="19">
        <f>INDEX(Master_Produk!$E$1:$E$16,MATCH(Lembar_Kerja_Analisis!A775,Master_Produk!$A$1:$A$16,0))</f>
        <v>105000</v>
      </c>
      <c r="L775" s="8">
        <v>4</v>
      </c>
      <c r="M775" s="19">
        <f t="shared" si="60"/>
        <v>660000</v>
      </c>
      <c r="N775" s="9">
        <v>0.1</v>
      </c>
      <c r="O775" s="19">
        <f t="shared" si="61"/>
        <v>66000</v>
      </c>
      <c r="P775" s="19">
        <f t="shared" si="62"/>
        <v>594000</v>
      </c>
      <c r="Q775" s="19">
        <f t="shared" si="63"/>
        <v>420000</v>
      </c>
      <c r="R775" s="19">
        <f t="shared" si="64"/>
        <v>174000</v>
      </c>
    </row>
    <row r="776" spans="1:18" x14ac:dyDescent="0.25">
      <c r="A776" t="str">
        <f>_xlfn.XLOOKUP(C776,Raw_Data_Transaksi!$A$1:$A$1001,Raw_Data_Transaksi!$D$1:$D$1001,,0)</f>
        <v>PRD-103</v>
      </c>
      <c r="B776" t="str">
        <f>_xlfn.XLOOKUP(C776,Raw_Data_Transaksi!$A$1:$A$1001,Raw_Data_Transaksi!$C$1:$C$1001,,0)</f>
        <v>SLS-02</v>
      </c>
      <c r="C776" s="6" t="s">
        <v>860</v>
      </c>
      <c r="D776" s="7">
        <v>45825</v>
      </c>
      <c r="E776" s="10" t="str">
        <f>VLOOKUP(B776,Master_Sales!$A$1:$D$9,2,FALSE)</f>
        <v>Budi Santoso</v>
      </c>
      <c r="F776" s="10" t="str">
        <f>INDEX(Master_Sales!$D$1:$D$9,MATCH(Lembar_Kerja_Analisis!B776,Master_Sales!$A$1:$A$9,0))</f>
        <v>Timur</v>
      </c>
      <c r="G776" s="10" t="str">
        <f>INDEX(Master_Sales!$C$1:$C$9,MATCH(Lembar_Kerja_Analisis!B776,Master_Sales!$A$1:$A$9,0))</f>
        <v>Surabaya</v>
      </c>
      <c r="H776" s="10" t="str">
        <f>VLOOKUP(A776,Master_Produk!$A$1:$E$16,2,FALSE)</f>
        <v>Mechanical Keyboard RGB</v>
      </c>
      <c r="I776" s="10" t="str">
        <f>INDEX(Master_Produk!$C$1:$C$16,MATCH(Lembar_Kerja_Analisis!A776,Master_Produk!$A$1:$A$16,0))</f>
        <v>Elektronik</v>
      </c>
      <c r="J776" s="19">
        <f>_xlfn.XLOOKUP(A776,Master_Produk!$A$1:$A$16,Master_Produk!$D$1:$D$16,,0)</f>
        <v>750000</v>
      </c>
      <c r="K776" s="19">
        <f>INDEX(Master_Produk!$E$1:$E$16,MATCH(Lembar_Kerja_Analisis!A776,Master_Produk!$A$1:$A$16,0))</f>
        <v>520000</v>
      </c>
      <c r="L776" s="8">
        <v>9</v>
      </c>
      <c r="M776" s="19">
        <f t="shared" si="60"/>
        <v>6750000</v>
      </c>
      <c r="N776" s="9">
        <v>0.05</v>
      </c>
      <c r="O776" s="19">
        <f t="shared" si="61"/>
        <v>337500</v>
      </c>
      <c r="P776" s="19">
        <f t="shared" si="62"/>
        <v>6412500</v>
      </c>
      <c r="Q776" s="19">
        <f t="shared" si="63"/>
        <v>4680000</v>
      </c>
      <c r="R776" s="19">
        <f t="shared" si="64"/>
        <v>1732500</v>
      </c>
    </row>
    <row r="777" spans="1:18" x14ac:dyDescent="0.25">
      <c r="A777" t="str">
        <f>_xlfn.XLOOKUP(C777,Raw_Data_Transaksi!$A$1:$A$1001,Raw_Data_Transaksi!$D$1:$D$1001,,0)</f>
        <v>PRD-107</v>
      </c>
      <c r="B777" t="str">
        <f>_xlfn.XLOOKUP(C777,Raw_Data_Transaksi!$A$1:$A$1001,Raw_Data_Transaksi!$C$1:$C$1001,,0)</f>
        <v>SLS-02</v>
      </c>
      <c r="C777" s="6" t="s">
        <v>861</v>
      </c>
      <c r="D777" s="7">
        <v>45893</v>
      </c>
      <c r="E777" s="10" t="str">
        <f>VLOOKUP(B777,Master_Sales!$A$1:$D$9,2,FALSE)</f>
        <v>Budi Santoso</v>
      </c>
      <c r="F777" s="10" t="str">
        <f>INDEX(Master_Sales!$D$1:$D$9,MATCH(Lembar_Kerja_Analisis!B777,Master_Sales!$A$1:$A$9,0))</f>
        <v>Timur</v>
      </c>
      <c r="G777" s="10" t="str">
        <f>INDEX(Master_Sales!$C$1:$C$9,MATCH(Lembar_Kerja_Analisis!B777,Master_Sales!$A$1:$A$9,0))</f>
        <v>Surabaya</v>
      </c>
      <c r="H777" s="10" t="str">
        <f>VLOOKUP(A777,Master_Produk!$A$1:$E$16,2,FALSE)</f>
        <v>Jaket Hoodie Casual</v>
      </c>
      <c r="I777" s="10" t="str">
        <f>INDEX(Master_Produk!$C$1:$C$16,MATCH(Lembar_Kerja_Analisis!A777,Master_Produk!$A$1:$A$16,0))</f>
        <v>Fashion</v>
      </c>
      <c r="J777" s="19">
        <f>_xlfn.XLOOKUP(A777,Master_Produk!$A$1:$A$16,Master_Produk!$D$1:$D$16,,0)</f>
        <v>350000</v>
      </c>
      <c r="K777" s="19">
        <f>INDEX(Master_Produk!$E$1:$E$16,MATCH(Lembar_Kerja_Analisis!A777,Master_Produk!$A$1:$A$16,0))</f>
        <v>220000</v>
      </c>
      <c r="L777" s="8">
        <v>1</v>
      </c>
      <c r="M777" s="19">
        <f t="shared" si="60"/>
        <v>350000</v>
      </c>
      <c r="N777" s="9">
        <v>0.1</v>
      </c>
      <c r="O777" s="19">
        <f t="shared" si="61"/>
        <v>35000</v>
      </c>
      <c r="P777" s="19">
        <f t="shared" si="62"/>
        <v>315000</v>
      </c>
      <c r="Q777" s="19">
        <f t="shared" si="63"/>
        <v>220000</v>
      </c>
      <c r="R777" s="19">
        <f t="shared" si="64"/>
        <v>95000</v>
      </c>
    </row>
    <row r="778" spans="1:18" x14ac:dyDescent="0.25">
      <c r="A778" t="str">
        <f>_xlfn.XLOOKUP(C778,Raw_Data_Transaksi!$A$1:$A$1001,Raw_Data_Transaksi!$D$1:$D$1001,,0)</f>
        <v>PRD-108</v>
      </c>
      <c r="B778" t="str">
        <f>_xlfn.XLOOKUP(C778,Raw_Data_Transaksi!$A$1:$A$1001,Raw_Data_Transaksi!$C$1:$C$1001,,0)</f>
        <v>SLS-01</v>
      </c>
      <c r="C778" s="6" t="s">
        <v>862</v>
      </c>
      <c r="D778" s="7">
        <v>45828</v>
      </c>
      <c r="E778" s="10" t="str">
        <f>VLOOKUP(B778,Master_Sales!$A$1:$D$9,2,FALSE)</f>
        <v>Andi Pratama</v>
      </c>
      <c r="F778" s="10" t="str">
        <f>INDEX(Master_Sales!$D$1:$D$9,MATCH(Lembar_Kerja_Analisis!B778,Master_Sales!$A$1:$A$9,0))</f>
        <v>Barat</v>
      </c>
      <c r="G778" s="10" t="str">
        <f>INDEX(Master_Sales!$C$1:$C$9,MATCH(Lembar_Kerja_Analisis!B778,Master_Sales!$A$1:$A$9,0))</f>
        <v>Jakarta</v>
      </c>
      <c r="H778" s="10" t="str">
        <f>VLOOKUP(A778,Master_Produk!$A$1:$E$16,2,FALSE)</f>
        <v>Sepatu Sneakers Pria/Wanita</v>
      </c>
      <c r="I778" s="10" t="str">
        <f>INDEX(Master_Produk!$C$1:$C$16,MATCH(Lembar_Kerja_Analisis!A778,Master_Produk!$A$1:$A$16,0))</f>
        <v>Fashion</v>
      </c>
      <c r="J778" s="19">
        <f>_xlfn.XLOOKUP(A778,Master_Produk!$A$1:$A$16,Master_Produk!$D$1:$D$16,,0)</f>
        <v>450000</v>
      </c>
      <c r="K778" s="19">
        <f>INDEX(Master_Produk!$E$1:$E$16,MATCH(Lembar_Kerja_Analisis!A778,Master_Produk!$A$1:$A$16,0))</f>
        <v>290000</v>
      </c>
      <c r="L778" s="8">
        <v>2</v>
      </c>
      <c r="M778" s="19">
        <f t="shared" si="60"/>
        <v>900000</v>
      </c>
      <c r="N778" s="9">
        <v>0.2</v>
      </c>
      <c r="O778" s="19">
        <f t="shared" si="61"/>
        <v>180000</v>
      </c>
      <c r="P778" s="19">
        <f t="shared" si="62"/>
        <v>720000</v>
      </c>
      <c r="Q778" s="19">
        <f t="shared" si="63"/>
        <v>580000</v>
      </c>
      <c r="R778" s="19">
        <f t="shared" si="64"/>
        <v>140000</v>
      </c>
    </row>
    <row r="779" spans="1:18" x14ac:dyDescent="0.25">
      <c r="A779" t="str">
        <f>_xlfn.XLOOKUP(C779,Raw_Data_Transaksi!$A$1:$A$1001,Raw_Data_Transaksi!$D$1:$D$1001,,0)</f>
        <v>PRD-115</v>
      </c>
      <c r="B779" t="str">
        <f>_xlfn.XLOOKUP(C779,Raw_Data_Transaksi!$A$1:$A$1001,Raw_Data_Transaksi!$C$1:$C$1001,,0)</f>
        <v>SLS-04</v>
      </c>
      <c r="C779" s="6" t="s">
        <v>863</v>
      </c>
      <c r="D779" s="7">
        <v>45985</v>
      </c>
      <c r="E779" s="10" t="str">
        <f>VLOOKUP(B779,Master_Sales!$A$1:$D$9,2,FALSE)</f>
        <v>Dewi Anggraini</v>
      </c>
      <c r="F779" s="10" t="str">
        <f>INDEX(Master_Sales!$D$1:$D$9,MATCH(Lembar_Kerja_Analisis!B779,Master_Sales!$A$1:$A$9,0))</f>
        <v>Barat</v>
      </c>
      <c r="G779" s="10" t="str">
        <f>INDEX(Master_Sales!$C$1:$C$9,MATCH(Lembar_Kerja_Analisis!B779,Master_Sales!$A$1:$A$9,0))</f>
        <v>Medan</v>
      </c>
      <c r="H779" s="10" t="str">
        <f>VLOOKUP(A779,Master_Produk!$A$1:$E$16,2,FALSE)</f>
        <v>Set Pisau Dapur Stainless</v>
      </c>
      <c r="I779" s="10" t="str">
        <f>INDEX(Master_Produk!$C$1:$C$16,MATCH(Lembar_Kerja_Analisis!A779,Master_Produk!$A$1:$A$16,0))</f>
        <v>Peralatan Rumah</v>
      </c>
      <c r="J779" s="19">
        <f>_xlfn.XLOOKUP(A779,Master_Produk!$A$1:$A$16,Master_Produk!$D$1:$D$16,,0)</f>
        <v>165000</v>
      </c>
      <c r="K779" s="19">
        <f>INDEX(Master_Produk!$E$1:$E$16,MATCH(Lembar_Kerja_Analisis!A779,Master_Produk!$A$1:$A$16,0))</f>
        <v>105000</v>
      </c>
      <c r="L779" s="8">
        <v>6</v>
      </c>
      <c r="M779" s="19">
        <f t="shared" si="60"/>
        <v>990000</v>
      </c>
      <c r="N779" s="9">
        <v>0.05</v>
      </c>
      <c r="O779" s="19">
        <f t="shared" si="61"/>
        <v>49500</v>
      </c>
      <c r="P779" s="19">
        <f t="shared" si="62"/>
        <v>940500</v>
      </c>
      <c r="Q779" s="19">
        <f t="shared" si="63"/>
        <v>630000</v>
      </c>
      <c r="R779" s="19">
        <f t="shared" si="64"/>
        <v>310500</v>
      </c>
    </row>
    <row r="780" spans="1:18" x14ac:dyDescent="0.25">
      <c r="A780" t="str">
        <f>_xlfn.XLOOKUP(C780,Raw_Data_Transaksi!$A$1:$A$1001,Raw_Data_Transaksi!$D$1:$D$1001,,0)</f>
        <v>PRD-106</v>
      </c>
      <c r="B780" t="str">
        <f>_xlfn.XLOOKUP(C780,Raw_Data_Transaksi!$A$1:$A$1001,Raw_Data_Transaksi!$C$1:$C$1001,,0)</f>
        <v>SLS-08</v>
      </c>
      <c r="C780" s="6" t="s">
        <v>864</v>
      </c>
      <c r="D780" s="7">
        <v>45930</v>
      </c>
      <c r="E780" s="10" t="str">
        <f>VLOOKUP(B780,Master_Sales!$A$1:$D$9,2,FALSE)</f>
        <v>Hendra Wijaya</v>
      </c>
      <c r="F780" s="10" t="str">
        <f>INDEX(Master_Sales!$D$1:$D$9,MATCH(Lembar_Kerja_Analisis!B780,Master_Sales!$A$1:$A$9,0))</f>
        <v>Tengah</v>
      </c>
      <c r="G780" s="10" t="str">
        <f>INDEX(Master_Sales!$C$1:$C$9,MATCH(Lembar_Kerja_Analisis!B780,Master_Sales!$A$1:$A$9,0))</f>
        <v>Yogyakarta</v>
      </c>
      <c r="H780" s="10" t="str">
        <f>VLOOKUP(A780,Master_Produk!$A$1:$E$16,2,FALSE)</f>
        <v>Celana Chino Slim Fit</v>
      </c>
      <c r="I780" s="10" t="str">
        <f>INDEX(Master_Produk!$C$1:$C$16,MATCH(Lembar_Kerja_Analisis!A780,Master_Produk!$A$1:$A$16,0))</f>
        <v>Fashion</v>
      </c>
      <c r="J780" s="19">
        <f>_xlfn.XLOOKUP(A780,Master_Produk!$A$1:$A$16,Master_Produk!$D$1:$D$16,,0)</f>
        <v>280000</v>
      </c>
      <c r="K780" s="19">
        <f>INDEX(Master_Produk!$E$1:$E$16,MATCH(Lembar_Kerja_Analisis!A780,Master_Produk!$A$1:$A$16,0))</f>
        <v>175000</v>
      </c>
      <c r="L780" s="8">
        <v>11</v>
      </c>
      <c r="M780" s="19">
        <f t="shared" si="60"/>
        <v>3080000</v>
      </c>
      <c r="N780" s="9">
        <v>0</v>
      </c>
      <c r="O780" s="19">
        <f t="shared" si="61"/>
        <v>0</v>
      </c>
      <c r="P780" s="19">
        <f t="shared" si="62"/>
        <v>3080000</v>
      </c>
      <c r="Q780" s="19">
        <f t="shared" si="63"/>
        <v>1925000</v>
      </c>
      <c r="R780" s="19">
        <f t="shared" si="64"/>
        <v>1155000</v>
      </c>
    </row>
    <row r="781" spans="1:18" x14ac:dyDescent="0.25">
      <c r="A781" t="str">
        <f>_xlfn.XLOOKUP(C781,Raw_Data_Transaksi!$A$1:$A$1001,Raw_Data_Transaksi!$D$1:$D$1001,,0)</f>
        <v>PRD-102</v>
      </c>
      <c r="B781" t="str">
        <f>_xlfn.XLOOKUP(C781,Raw_Data_Transaksi!$A$1:$A$1001,Raw_Data_Transaksi!$C$1:$C$1001,,0)</f>
        <v>SLS-01</v>
      </c>
      <c r="C781" s="6" t="s">
        <v>865</v>
      </c>
      <c r="D781" s="7">
        <v>45798</v>
      </c>
      <c r="E781" s="10" t="str">
        <f>VLOOKUP(B781,Master_Sales!$A$1:$D$9,2,FALSE)</f>
        <v>Andi Pratama</v>
      </c>
      <c r="F781" s="10" t="str">
        <f>INDEX(Master_Sales!$D$1:$D$9,MATCH(Lembar_Kerja_Analisis!B781,Master_Sales!$A$1:$A$9,0))</f>
        <v>Barat</v>
      </c>
      <c r="G781" s="10" t="str">
        <f>INDEX(Master_Sales!$C$1:$C$9,MATCH(Lembar_Kerja_Analisis!B781,Master_Sales!$A$1:$A$9,0))</f>
        <v>Jakarta</v>
      </c>
      <c r="H781" s="10" t="str">
        <f>VLOOKUP(A781,Master_Produk!$A$1:$E$16,2,FALSE)</f>
        <v>Wireless Mouse Ergonomic</v>
      </c>
      <c r="I781" s="10" t="str">
        <f>INDEX(Master_Produk!$C$1:$C$16,MATCH(Lembar_Kerja_Analisis!A781,Master_Produk!$A$1:$A$16,0))</f>
        <v>Elektronik</v>
      </c>
      <c r="J781" s="19">
        <f>_xlfn.XLOOKUP(A781,Master_Produk!$A$1:$A$16,Master_Produk!$D$1:$D$16,,0)</f>
        <v>250000</v>
      </c>
      <c r="K781" s="19">
        <f>INDEX(Master_Produk!$E$1:$E$16,MATCH(Lembar_Kerja_Analisis!A781,Master_Produk!$A$1:$A$16,0))</f>
        <v>160000</v>
      </c>
      <c r="L781" s="8">
        <v>10</v>
      </c>
      <c r="M781" s="19">
        <f t="shared" si="60"/>
        <v>2500000</v>
      </c>
      <c r="N781" s="9">
        <v>0.2</v>
      </c>
      <c r="O781" s="19">
        <f t="shared" si="61"/>
        <v>500000</v>
      </c>
      <c r="P781" s="19">
        <f t="shared" si="62"/>
        <v>2000000</v>
      </c>
      <c r="Q781" s="19">
        <f t="shared" si="63"/>
        <v>1600000</v>
      </c>
      <c r="R781" s="19">
        <f t="shared" si="64"/>
        <v>400000</v>
      </c>
    </row>
    <row r="782" spans="1:18" x14ac:dyDescent="0.25">
      <c r="A782" t="str">
        <f>_xlfn.XLOOKUP(C782,Raw_Data_Transaksi!$A$1:$A$1001,Raw_Data_Transaksi!$D$1:$D$1001,,0)</f>
        <v>PRD-106</v>
      </c>
      <c r="B782" t="str">
        <f>_xlfn.XLOOKUP(C782,Raw_Data_Transaksi!$A$1:$A$1001,Raw_Data_Transaksi!$C$1:$C$1001,,0)</f>
        <v>SLS-05</v>
      </c>
      <c r="C782" s="6" t="s">
        <v>866</v>
      </c>
      <c r="D782" s="7">
        <v>45939</v>
      </c>
      <c r="E782" s="10" t="str">
        <f>VLOOKUP(B782,Master_Sales!$A$1:$D$9,2,FALSE)</f>
        <v>Eko Prasetyo</v>
      </c>
      <c r="F782" s="10" t="str">
        <f>INDEX(Master_Sales!$D$1:$D$9,MATCH(Lembar_Kerja_Analisis!B782,Master_Sales!$A$1:$A$9,0))</f>
        <v>Tengah</v>
      </c>
      <c r="G782" s="10" t="str">
        <f>INDEX(Master_Sales!$C$1:$C$9,MATCH(Lembar_Kerja_Analisis!B782,Master_Sales!$A$1:$A$9,0))</f>
        <v>Semarang</v>
      </c>
      <c r="H782" s="10" t="str">
        <f>VLOOKUP(A782,Master_Produk!$A$1:$E$16,2,FALSE)</f>
        <v>Celana Chino Slim Fit</v>
      </c>
      <c r="I782" s="10" t="str">
        <f>INDEX(Master_Produk!$C$1:$C$16,MATCH(Lembar_Kerja_Analisis!A782,Master_Produk!$A$1:$A$16,0))</f>
        <v>Fashion</v>
      </c>
      <c r="J782" s="19">
        <f>_xlfn.XLOOKUP(A782,Master_Produk!$A$1:$A$16,Master_Produk!$D$1:$D$16,,0)</f>
        <v>280000</v>
      </c>
      <c r="K782" s="19">
        <f>INDEX(Master_Produk!$E$1:$E$16,MATCH(Lembar_Kerja_Analisis!A782,Master_Produk!$A$1:$A$16,0))</f>
        <v>175000</v>
      </c>
      <c r="L782" s="8">
        <v>3</v>
      </c>
      <c r="M782" s="19">
        <f t="shared" si="60"/>
        <v>840000</v>
      </c>
      <c r="N782" s="9">
        <v>0.1</v>
      </c>
      <c r="O782" s="19">
        <f t="shared" si="61"/>
        <v>84000</v>
      </c>
      <c r="P782" s="19">
        <f t="shared" si="62"/>
        <v>756000</v>
      </c>
      <c r="Q782" s="19">
        <f t="shared" si="63"/>
        <v>525000</v>
      </c>
      <c r="R782" s="19">
        <f t="shared" si="64"/>
        <v>231000</v>
      </c>
    </row>
    <row r="783" spans="1:18" x14ac:dyDescent="0.25">
      <c r="A783" t="str">
        <f>_xlfn.XLOOKUP(C783,Raw_Data_Transaksi!$A$1:$A$1001,Raw_Data_Transaksi!$D$1:$D$1001,,0)</f>
        <v>PRD-110</v>
      </c>
      <c r="B783" t="str">
        <f>_xlfn.XLOOKUP(C783,Raw_Data_Transaksi!$A$1:$A$1001,Raw_Data_Transaksi!$C$1:$C$1001,,0)</f>
        <v>SLS-06</v>
      </c>
      <c r="C783" s="6" t="s">
        <v>867</v>
      </c>
      <c r="D783" s="7">
        <v>45817</v>
      </c>
      <c r="E783" s="10" t="str">
        <f>VLOOKUP(B783,Master_Sales!$A$1:$D$9,2,FALSE)</f>
        <v>Fajar Nugraha</v>
      </c>
      <c r="F783" s="10" t="str">
        <f>INDEX(Master_Sales!$D$1:$D$9,MATCH(Lembar_Kerja_Analisis!B783,Master_Sales!$A$1:$A$9,0))</f>
        <v>Timur</v>
      </c>
      <c r="G783" s="10" t="str">
        <f>INDEX(Master_Sales!$C$1:$C$9,MATCH(Lembar_Kerja_Analisis!B783,Master_Sales!$A$1:$A$9,0))</f>
        <v>Makassar</v>
      </c>
      <c r="H783" s="10" t="str">
        <f>VLOOKUP(A783,Master_Produk!$A$1:$E$16,2,FALSE)</f>
        <v>Minyak Goreng Sawit 2L</v>
      </c>
      <c r="I783" s="10" t="str">
        <f>INDEX(Master_Produk!$C$1:$C$16,MATCH(Lembar_Kerja_Analisis!A783,Master_Produk!$A$1:$A$16,0))</f>
        <v>F&amp;B</v>
      </c>
      <c r="J783" s="19">
        <f>_xlfn.XLOOKUP(A783,Master_Produk!$A$1:$A$16,Master_Produk!$D$1:$D$16,,0)</f>
        <v>36000</v>
      </c>
      <c r="K783" s="19">
        <f>INDEX(Master_Produk!$E$1:$E$16,MATCH(Lembar_Kerja_Analisis!A783,Master_Produk!$A$1:$A$16,0))</f>
        <v>31000</v>
      </c>
      <c r="L783" s="8">
        <v>17</v>
      </c>
      <c r="M783" s="19">
        <f t="shared" si="60"/>
        <v>612000</v>
      </c>
      <c r="N783" s="9">
        <v>0</v>
      </c>
      <c r="O783" s="19">
        <f t="shared" si="61"/>
        <v>0</v>
      </c>
      <c r="P783" s="19">
        <f t="shared" si="62"/>
        <v>612000</v>
      </c>
      <c r="Q783" s="19">
        <f t="shared" si="63"/>
        <v>527000</v>
      </c>
      <c r="R783" s="19">
        <f t="shared" si="64"/>
        <v>85000</v>
      </c>
    </row>
    <row r="784" spans="1:18" x14ac:dyDescent="0.25">
      <c r="A784" t="str">
        <f>_xlfn.XLOOKUP(C784,Raw_Data_Transaksi!$A$1:$A$1001,Raw_Data_Transaksi!$D$1:$D$1001,,0)</f>
        <v>PRD-101</v>
      </c>
      <c r="B784" t="str">
        <f>_xlfn.XLOOKUP(C784,Raw_Data_Transaksi!$A$1:$A$1001,Raw_Data_Transaksi!$C$1:$C$1001,,0)</f>
        <v>SLS-02</v>
      </c>
      <c r="C784" s="6" t="s">
        <v>868</v>
      </c>
      <c r="D784" s="7">
        <v>46003</v>
      </c>
      <c r="E784" s="10" t="str">
        <f>VLOOKUP(B784,Master_Sales!$A$1:$D$9,2,FALSE)</f>
        <v>Budi Santoso</v>
      </c>
      <c r="F784" s="10" t="str">
        <f>INDEX(Master_Sales!$D$1:$D$9,MATCH(Lembar_Kerja_Analisis!B784,Master_Sales!$A$1:$A$9,0))</f>
        <v>Timur</v>
      </c>
      <c r="G784" s="10" t="str">
        <f>INDEX(Master_Sales!$C$1:$C$9,MATCH(Lembar_Kerja_Analisis!B784,Master_Sales!$A$1:$A$9,0))</f>
        <v>Surabaya</v>
      </c>
      <c r="H784" s="10" t="str">
        <f>VLOOKUP(A784,Master_Produk!$A$1:$E$16,2,FALSE)</f>
        <v>Laptop Ultrabook 14"</v>
      </c>
      <c r="I784" s="10" t="str">
        <f>INDEX(Master_Produk!$C$1:$C$16,MATCH(Lembar_Kerja_Analisis!A784,Master_Produk!$A$1:$A$16,0))</f>
        <v>Elektronik</v>
      </c>
      <c r="J784" s="19">
        <f>_xlfn.XLOOKUP(A784,Master_Produk!$A$1:$A$16,Master_Produk!$D$1:$D$16,,0)</f>
        <v>8500000</v>
      </c>
      <c r="K784" s="19">
        <f>INDEX(Master_Produk!$E$1:$E$16,MATCH(Lembar_Kerja_Analisis!A784,Master_Produk!$A$1:$A$16,0))</f>
        <v>7200000</v>
      </c>
      <c r="L784" s="8">
        <v>7</v>
      </c>
      <c r="M784" s="19">
        <f t="shared" si="60"/>
        <v>59500000</v>
      </c>
      <c r="N784" s="9">
        <v>0</v>
      </c>
      <c r="O784" s="19">
        <f t="shared" si="61"/>
        <v>0</v>
      </c>
      <c r="P784" s="19">
        <f t="shared" si="62"/>
        <v>59500000</v>
      </c>
      <c r="Q784" s="19">
        <f t="shared" si="63"/>
        <v>50400000</v>
      </c>
      <c r="R784" s="19">
        <f t="shared" si="64"/>
        <v>9100000</v>
      </c>
    </row>
    <row r="785" spans="1:18" x14ac:dyDescent="0.25">
      <c r="A785" t="str">
        <f>_xlfn.XLOOKUP(C785,Raw_Data_Transaksi!$A$1:$A$1001,Raw_Data_Transaksi!$D$1:$D$1001,,0)</f>
        <v>PRD-112</v>
      </c>
      <c r="B785" t="str">
        <f>_xlfn.XLOOKUP(C785,Raw_Data_Transaksi!$A$1:$A$1001,Raw_Data_Transaksi!$C$1:$C$1001,,0)</f>
        <v>SLS-08</v>
      </c>
      <c r="C785" s="6" t="s">
        <v>869</v>
      </c>
      <c r="D785" s="7">
        <v>45749</v>
      </c>
      <c r="E785" s="10" t="str">
        <f>VLOOKUP(B785,Master_Sales!$A$1:$D$9,2,FALSE)</f>
        <v>Hendra Wijaya</v>
      </c>
      <c r="F785" s="10" t="str">
        <f>INDEX(Master_Sales!$D$1:$D$9,MATCH(Lembar_Kerja_Analisis!B785,Master_Sales!$A$1:$A$9,0))</f>
        <v>Tengah</v>
      </c>
      <c r="G785" s="10" t="str">
        <f>INDEX(Master_Sales!$C$1:$C$9,MATCH(Lembar_Kerja_Analisis!B785,Master_Sales!$A$1:$A$9,0))</f>
        <v>Yogyakarta</v>
      </c>
      <c r="H785" s="10" t="str">
        <f>VLOOKUP(A785,Master_Produk!$A$1:$E$16,2,FALSE)</f>
        <v>Susu UHT Full Cream 1L</v>
      </c>
      <c r="I785" s="10" t="str">
        <f>INDEX(Master_Produk!$C$1:$C$16,MATCH(Lembar_Kerja_Analisis!A785,Master_Produk!$A$1:$A$16,0))</f>
        <v>F&amp;B</v>
      </c>
      <c r="J785" s="19">
        <f>_xlfn.XLOOKUP(A785,Master_Produk!$A$1:$A$16,Master_Produk!$D$1:$D$16,,0)</f>
        <v>22000</v>
      </c>
      <c r="K785" s="19">
        <f>INDEX(Master_Produk!$E$1:$E$16,MATCH(Lembar_Kerja_Analisis!A785,Master_Produk!$A$1:$A$16,0))</f>
        <v>18000</v>
      </c>
      <c r="L785" s="8">
        <v>14</v>
      </c>
      <c r="M785" s="19">
        <f t="shared" si="60"/>
        <v>308000</v>
      </c>
      <c r="N785" s="9">
        <v>0.1</v>
      </c>
      <c r="O785" s="19">
        <f t="shared" si="61"/>
        <v>30800</v>
      </c>
      <c r="P785" s="19">
        <f t="shared" si="62"/>
        <v>277200</v>
      </c>
      <c r="Q785" s="19">
        <f t="shared" si="63"/>
        <v>252000</v>
      </c>
      <c r="R785" s="19">
        <f t="shared" si="64"/>
        <v>25200</v>
      </c>
    </row>
    <row r="786" spans="1:18" x14ac:dyDescent="0.25">
      <c r="A786" t="str">
        <f>_xlfn.XLOOKUP(C786,Raw_Data_Transaksi!$A$1:$A$1001,Raw_Data_Transaksi!$D$1:$D$1001,,0)</f>
        <v>PRD-110</v>
      </c>
      <c r="B786" t="str">
        <f>_xlfn.XLOOKUP(C786,Raw_Data_Transaksi!$A$1:$A$1001,Raw_Data_Transaksi!$C$1:$C$1001,,0)</f>
        <v>SLS-03</v>
      </c>
      <c r="C786" s="6" t="s">
        <v>870</v>
      </c>
      <c r="D786" s="7">
        <v>45896</v>
      </c>
      <c r="E786" s="10" t="str">
        <f>VLOOKUP(B786,Master_Sales!$A$1:$D$9,2,FALSE)</f>
        <v>Citra Lestari</v>
      </c>
      <c r="F786" s="10" t="str">
        <f>INDEX(Master_Sales!$D$1:$D$9,MATCH(Lembar_Kerja_Analisis!B786,Master_Sales!$A$1:$A$9,0))</f>
        <v>Barat</v>
      </c>
      <c r="G786" s="10" t="str">
        <f>INDEX(Master_Sales!$C$1:$C$9,MATCH(Lembar_Kerja_Analisis!B786,Master_Sales!$A$1:$A$9,0))</f>
        <v>Bandung</v>
      </c>
      <c r="H786" s="10" t="str">
        <f>VLOOKUP(A786,Master_Produk!$A$1:$E$16,2,FALSE)</f>
        <v>Minyak Goreng Sawit 2L</v>
      </c>
      <c r="I786" s="10" t="str">
        <f>INDEX(Master_Produk!$C$1:$C$16,MATCH(Lembar_Kerja_Analisis!A786,Master_Produk!$A$1:$A$16,0))</f>
        <v>F&amp;B</v>
      </c>
      <c r="J786" s="19">
        <f>_xlfn.XLOOKUP(A786,Master_Produk!$A$1:$A$16,Master_Produk!$D$1:$D$16,,0)</f>
        <v>36000</v>
      </c>
      <c r="K786" s="19">
        <f>INDEX(Master_Produk!$E$1:$E$16,MATCH(Lembar_Kerja_Analisis!A786,Master_Produk!$A$1:$A$16,0))</f>
        <v>31000</v>
      </c>
      <c r="L786" s="8">
        <v>29</v>
      </c>
      <c r="M786" s="19">
        <f t="shared" si="60"/>
        <v>1044000</v>
      </c>
      <c r="N786" s="9">
        <v>0.15</v>
      </c>
      <c r="O786" s="19">
        <f t="shared" si="61"/>
        <v>156600</v>
      </c>
      <c r="P786" s="19">
        <f t="shared" si="62"/>
        <v>887400</v>
      </c>
      <c r="Q786" s="19">
        <f t="shared" si="63"/>
        <v>899000</v>
      </c>
      <c r="R786" s="19">
        <f t="shared" si="64"/>
        <v>-11600</v>
      </c>
    </row>
    <row r="787" spans="1:18" x14ac:dyDescent="0.25">
      <c r="A787" t="str">
        <f>_xlfn.XLOOKUP(C787,Raw_Data_Transaksi!$A$1:$A$1001,Raw_Data_Transaksi!$D$1:$D$1001,,0)</f>
        <v>PRD-111</v>
      </c>
      <c r="B787" t="str">
        <f>_xlfn.XLOOKUP(C787,Raw_Data_Transaksi!$A$1:$A$1001,Raw_Data_Transaksi!$C$1:$C$1001,,0)</f>
        <v>SLS-08</v>
      </c>
      <c r="C787" s="6" t="s">
        <v>871</v>
      </c>
      <c r="D787" s="7">
        <v>46008</v>
      </c>
      <c r="E787" s="10" t="str">
        <f>VLOOKUP(B787,Master_Sales!$A$1:$D$9,2,FALSE)</f>
        <v>Hendra Wijaya</v>
      </c>
      <c r="F787" s="10" t="str">
        <f>INDEX(Master_Sales!$D$1:$D$9,MATCH(Lembar_Kerja_Analisis!B787,Master_Sales!$A$1:$A$9,0))</f>
        <v>Tengah</v>
      </c>
      <c r="G787" s="10" t="str">
        <f>INDEX(Master_Sales!$C$1:$C$9,MATCH(Lembar_Kerja_Analisis!B787,Master_Sales!$A$1:$A$9,0))</f>
        <v>Yogyakarta</v>
      </c>
      <c r="H787" s="10" t="str">
        <f>VLOOKUP(A787,Master_Produk!$A$1:$E$16,2,FALSE)</f>
        <v>Beras Premium 5kg</v>
      </c>
      <c r="I787" s="10" t="str">
        <f>INDEX(Master_Produk!$C$1:$C$16,MATCH(Lembar_Kerja_Analisis!A787,Master_Produk!$A$1:$A$16,0))</f>
        <v>F&amp;B</v>
      </c>
      <c r="J787" s="19">
        <f>_xlfn.XLOOKUP(A787,Master_Produk!$A$1:$A$16,Master_Produk!$D$1:$D$16,,0)</f>
        <v>74000</v>
      </c>
      <c r="K787" s="19">
        <f>INDEX(Master_Produk!$E$1:$E$16,MATCH(Lembar_Kerja_Analisis!A787,Master_Produk!$A$1:$A$16,0))</f>
        <v>65000</v>
      </c>
      <c r="L787" s="8">
        <v>10</v>
      </c>
      <c r="M787" s="19">
        <f t="shared" si="60"/>
        <v>740000</v>
      </c>
      <c r="N787" s="9">
        <v>0.05</v>
      </c>
      <c r="O787" s="19">
        <f t="shared" si="61"/>
        <v>37000</v>
      </c>
      <c r="P787" s="19">
        <f t="shared" si="62"/>
        <v>703000</v>
      </c>
      <c r="Q787" s="19">
        <f t="shared" si="63"/>
        <v>650000</v>
      </c>
      <c r="R787" s="19">
        <f t="shared" si="64"/>
        <v>53000</v>
      </c>
    </row>
    <row r="788" spans="1:18" x14ac:dyDescent="0.25">
      <c r="A788" t="str">
        <f>_xlfn.XLOOKUP(C788,Raw_Data_Transaksi!$A$1:$A$1001,Raw_Data_Transaksi!$D$1:$D$1001,,0)</f>
        <v>PRD-107</v>
      </c>
      <c r="B788" t="str">
        <f>_xlfn.XLOOKUP(C788,Raw_Data_Transaksi!$A$1:$A$1001,Raw_Data_Transaksi!$C$1:$C$1001,,0)</f>
        <v>SLS-03</v>
      </c>
      <c r="C788" s="6" t="s">
        <v>872</v>
      </c>
      <c r="D788" s="7">
        <v>45844</v>
      </c>
      <c r="E788" s="10" t="str">
        <f>VLOOKUP(B788,Master_Sales!$A$1:$D$9,2,FALSE)</f>
        <v>Citra Lestari</v>
      </c>
      <c r="F788" s="10" t="str">
        <f>INDEX(Master_Sales!$D$1:$D$9,MATCH(Lembar_Kerja_Analisis!B788,Master_Sales!$A$1:$A$9,0))</f>
        <v>Barat</v>
      </c>
      <c r="G788" s="10" t="str">
        <f>INDEX(Master_Sales!$C$1:$C$9,MATCH(Lembar_Kerja_Analisis!B788,Master_Sales!$A$1:$A$9,0))</f>
        <v>Bandung</v>
      </c>
      <c r="H788" s="10" t="str">
        <f>VLOOKUP(A788,Master_Produk!$A$1:$E$16,2,FALSE)</f>
        <v>Jaket Hoodie Casual</v>
      </c>
      <c r="I788" s="10" t="str">
        <f>INDEX(Master_Produk!$C$1:$C$16,MATCH(Lembar_Kerja_Analisis!A788,Master_Produk!$A$1:$A$16,0))</f>
        <v>Fashion</v>
      </c>
      <c r="J788" s="19">
        <f>_xlfn.XLOOKUP(A788,Master_Produk!$A$1:$A$16,Master_Produk!$D$1:$D$16,,0)</f>
        <v>350000</v>
      </c>
      <c r="K788" s="19">
        <f>INDEX(Master_Produk!$E$1:$E$16,MATCH(Lembar_Kerja_Analisis!A788,Master_Produk!$A$1:$A$16,0))</f>
        <v>220000</v>
      </c>
      <c r="L788" s="8">
        <v>12</v>
      </c>
      <c r="M788" s="19">
        <f t="shared" si="60"/>
        <v>4200000</v>
      </c>
      <c r="N788" s="9">
        <v>0.1</v>
      </c>
      <c r="O788" s="19">
        <f t="shared" si="61"/>
        <v>420000</v>
      </c>
      <c r="P788" s="19">
        <f t="shared" si="62"/>
        <v>3780000</v>
      </c>
      <c r="Q788" s="19">
        <f t="shared" si="63"/>
        <v>2640000</v>
      </c>
      <c r="R788" s="19">
        <f t="shared" si="64"/>
        <v>1140000</v>
      </c>
    </row>
    <row r="789" spans="1:18" x14ac:dyDescent="0.25">
      <c r="A789" t="str">
        <f>_xlfn.XLOOKUP(C789,Raw_Data_Transaksi!$A$1:$A$1001,Raw_Data_Transaksi!$D$1:$D$1001,,0)</f>
        <v>PRD-102</v>
      </c>
      <c r="B789" t="str">
        <f>_xlfn.XLOOKUP(C789,Raw_Data_Transaksi!$A$1:$A$1001,Raw_Data_Transaksi!$C$1:$C$1001,,0)</f>
        <v>SLS-08</v>
      </c>
      <c r="C789" s="6" t="s">
        <v>873</v>
      </c>
      <c r="D789" s="7">
        <v>45673</v>
      </c>
      <c r="E789" s="10" t="str">
        <f>VLOOKUP(B789,Master_Sales!$A$1:$D$9,2,FALSE)</f>
        <v>Hendra Wijaya</v>
      </c>
      <c r="F789" s="10" t="str">
        <f>INDEX(Master_Sales!$D$1:$D$9,MATCH(Lembar_Kerja_Analisis!B789,Master_Sales!$A$1:$A$9,0))</f>
        <v>Tengah</v>
      </c>
      <c r="G789" s="10" t="str">
        <f>INDEX(Master_Sales!$C$1:$C$9,MATCH(Lembar_Kerja_Analisis!B789,Master_Sales!$A$1:$A$9,0))</f>
        <v>Yogyakarta</v>
      </c>
      <c r="H789" s="10" t="str">
        <f>VLOOKUP(A789,Master_Produk!$A$1:$E$16,2,FALSE)</f>
        <v>Wireless Mouse Ergonomic</v>
      </c>
      <c r="I789" s="10" t="str">
        <f>INDEX(Master_Produk!$C$1:$C$16,MATCH(Lembar_Kerja_Analisis!A789,Master_Produk!$A$1:$A$16,0))</f>
        <v>Elektronik</v>
      </c>
      <c r="J789" s="19">
        <f>_xlfn.XLOOKUP(A789,Master_Produk!$A$1:$A$16,Master_Produk!$D$1:$D$16,,0)</f>
        <v>250000</v>
      </c>
      <c r="K789" s="19">
        <f>INDEX(Master_Produk!$E$1:$E$16,MATCH(Lembar_Kerja_Analisis!A789,Master_Produk!$A$1:$A$16,0))</f>
        <v>160000</v>
      </c>
      <c r="L789" s="8">
        <v>2</v>
      </c>
      <c r="M789" s="19">
        <f t="shared" si="60"/>
        <v>500000</v>
      </c>
      <c r="N789" s="9">
        <v>0.1</v>
      </c>
      <c r="O789" s="19">
        <f t="shared" si="61"/>
        <v>50000</v>
      </c>
      <c r="P789" s="19">
        <f t="shared" si="62"/>
        <v>450000</v>
      </c>
      <c r="Q789" s="19">
        <f t="shared" si="63"/>
        <v>320000</v>
      </c>
      <c r="R789" s="19">
        <f t="shared" si="64"/>
        <v>130000</v>
      </c>
    </row>
    <row r="790" spans="1:18" x14ac:dyDescent="0.25">
      <c r="A790" t="str">
        <f>_xlfn.XLOOKUP(C790,Raw_Data_Transaksi!$A$1:$A$1001,Raw_Data_Transaksi!$D$1:$D$1001,,0)</f>
        <v>PRD-113</v>
      </c>
      <c r="B790" t="str">
        <f>_xlfn.XLOOKUP(C790,Raw_Data_Transaksi!$A$1:$A$1001,Raw_Data_Transaksi!$C$1:$C$1001,,0)</f>
        <v>SLS-06</v>
      </c>
      <c r="C790" s="6" t="s">
        <v>874</v>
      </c>
      <c r="D790" s="7">
        <v>45802</v>
      </c>
      <c r="E790" s="10" t="str">
        <f>VLOOKUP(B790,Master_Sales!$A$1:$D$9,2,FALSE)</f>
        <v>Fajar Nugraha</v>
      </c>
      <c r="F790" s="10" t="str">
        <f>INDEX(Master_Sales!$D$1:$D$9,MATCH(Lembar_Kerja_Analisis!B790,Master_Sales!$A$1:$A$9,0))</f>
        <v>Timur</v>
      </c>
      <c r="G790" s="10" t="str">
        <f>INDEX(Master_Sales!$C$1:$C$9,MATCH(Lembar_Kerja_Analisis!B790,Master_Sales!$A$1:$A$9,0))</f>
        <v>Makassar</v>
      </c>
      <c r="H790" s="10" t="str">
        <f>VLOOKUP(A790,Master_Produk!$A$1:$E$16,2,FALSE)</f>
        <v>Wajan Anti Lengket 28cm</v>
      </c>
      <c r="I790" s="10" t="str">
        <f>INDEX(Master_Produk!$C$1:$C$16,MATCH(Lembar_Kerja_Analisis!A790,Master_Produk!$A$1:$A$16,0))</f>
        <v>Peralatan Rumah</v>
      </c>
      <c r="J790" s="19">
        <f>_xlfn.XLOOKUP(A790,Master_Produk!$A$1:$A$16,Master_Produk!$D$1:$D$16,,0)</f>
        <v>210000</v>
      </c>
      <c r="K790" s="19">
        <f>INDEX(Master_Produk!$E$1:$E$16,MATCH(Lembar_Kerja_Analisis!A790,Master_Produk!$A$1:$A$16,0))</f>
        <v>140000</v>
      </c>
      <c r="L790" s="8">
        <v>10</v>
      </c>
      <c r="M790" s="19">
        <f t="shared" si="60"/>
        <v>2100000</v>
      </c>
      <c r="N790" s="9">
        <v>0.2</v>
      </c>
      <c r="O790" s="19">
        <f t="shared" si="61"/>
        <v>420000</v>
      </c>
      <c r="P790" s="19">
        <f t="shared" si="62"/>
        <v>1680000</v>
      </c>
      <c r="Q790" s="19">
        <f t="shared" si="63"/>
        <v>1400000</v>
      </c>
      <c r="R790" s="19">
        <f t="shared" si="64"/>
        <v>280000</v>
      </c>
    </row>
    <row r="791" spans="1:18" x14ac:dyDescent="0.25">
      <c r="A791" t="str">
        <f>_xlfn.XLOOKUP(C791,Raw_Data_Transaksi!$A$1:$A$1001,Raw_Data_Transaksi!$D$1:$D$1001,,0)</f>
        <v>PRD-114</v>
      </c>
      <c r="B791" t="str">
        <f>_xlfn.XLOOKUP(C791,Raw_Data_Transaksi!$A$1:$A$1001,Raw_Data_Transaksi!$C$1:$C$1001,,0)</f>
        <v>SLS-02</v>
      </c>
      <c r="C791" s="6" t="s">
        <v>875</v>
      </c>
      <c r="D791" s="7">
        <v>45865</v>
      </c>
      <c r="E791" s="10" t="str">
        <f>VLOOKUP(B791,Master_Sales!$A$1:$D$9,2,FALSE)</f>
        <v>Budi Santoso</v>
      </c>
      <c r="F791" s="10" t="str">
        <f>INDEX(Master_Sales!$D$1:$D$9,MATCH(Lembar_Kerja_Analisis!B791,Master_Sales!$A$1:$A$9,0))</f>
        <v>Timur</v>
      </c>
      <c r="G791" s="10" t="str">
        <f>INDEX(Master_Sales!$C$1:$C$9,MATCH(Lembar_Kerja_Analisis!B791,Master_Sales!$A$1:$A$9,0))</f>
        <v>Surabaya</v>
      </c>
      <c r="H791" s="10" t="str">
        <f>VLOOKUP(A791,Master_Produk!$A$1:$E$16,2,FALSE)</f>
        <v>Blender Multifungsi 2-in-1</v>
      </c>
      <c r="I791" s="10" t="str">
        <f>INDEX(Master_Produk!$C$1:$C$16,MATCH(Lembar_Kerja_Analisis!A791,Master_Produk!$A$1:$A$16,0))</f>
        <v>Peralatan Rumah</v>
      </c>
      <c r="J791" s="19">
        <f>_xlfn.XLOOKUP(A791,Master_Produk!$A$1:$A$16,Master_Produk!$D$1:$D$16,,0)</f>
        <v>340000</v>
      </c>
      <c r="K791" s="19">
        <f>INDEX(Master_Produk!$E$1:$E$16,MATCH(Lembar_Kerja_Analisis!A791,Master_Produk!$A$1:$A$16,0))</f>
        <v>240000</v>
      </c>
      <c r="L791" s="8">
        <v>6</v>
      </c>
      <c r="M791" s="19">
        <f t="shared" si="60"/>
        <v>2040000</v>
      </c>
      <c r="N791" s="9">
        <v>0.2</v>
      </c>
      <c r="O791" s="19">
        <f t="shared" si="61"/>
        <v>408000</v>
      </c>
      <c r="P791" s="19">
        <f t="shared" si="62"/>
        <v>1632000</v>
      </c>
      <c r="Q791" s="19">
        <f t="shared" si="63"/>
        <v>1440000</v>
      </c>
      <c r="R791" s="19">
        <f t="shared" si="64"/>
        <v>192000</v>
      </c>
    </row>
    <row r="792" spans="1:18" x14ac:dyDescent="0.25">
      <c r="A792" t="str">
        <f>_xlfn.XLOOKUP(C792,Raw_Data_Transaksi!$A$1:$A$1001,Raw_Data_Transaksi!$D$1:$D$1001,,0)</f>
        <v>PRD-110</v>
      </c>
      <c r="B792" t="str">
        <f>_xlfn.XLOOKUP(C792,Raw_Data_Transaksi!$A$1:$A$1001,Raw_Data_Transaksi!$C$1:$C$1001,,0)</f>
        <v>SLS-07</v>
      </c>
      <c r="C792" s="6" t="s">
        <v>876</v>
      </c>
      <c r="D792" s="7">
        <v>45863</v>
      </c>
      <c r="E792" s="10" t="str">
        <f>VLOOKUP(B792,Master_Sales!$A$1:$D$9,2,FALSE)</f>
        <v>Gita Permata</v>
      </c>
      <c r="F792" s="10" t="str">
        <f>INDEX(Master_Sales!$D$1:$D$9,MATCH(Lembar_Kerja_Analisis!B792,Master_Sales!$A$1:$A$9,0))</f>
        <v>Tengah</v>
      </c>
      <c r="G792" s="10" t="str">
        <f>INDEX(Master_Sales!$C$1:$C$9,MATCH(Lembar_Kerja_Analisis!B792,Master_Sales!$A$1:$A$9,0))</f>
        <v>Denpasar</v>
      </c>
      <c r="H792" s="10" t="str">
        <f>VLOOKUP(A792,Master_Produk!$A$1:$E$16,2,FALSE)</f>
        <v>Minyak Goreng Sawit 2L</v>
      </c>
      <c r="I792" s="10" t="str">
        <f>INDEX(Master_Produk!$C$1:$C$16,MATCH(Lembar_Kerja_Analisis!A792,Master_Produk!$A$1:$A$16,0))</f>
        <v>F&amp;B</v>
      </c>
      <c r="J792" s="19">
        <f>_xlfn.XLOOKUP(A792,Master_Produk!$A$1:$A$16,Master_Produk!$D$1:$D$16,,0)</f>
        <v>36000</v>
      </c>
      <c r="K792" s="19">
        <f>INDEX(Master_Produk!$E$1:$E$16,MATCH(Lembar_Kerja_Analisis!A792,Master_Produk!$A$1:$A$16,0))</f>
        <v>31000</v>
      </c>
      <c r="L792" s="8">
        <v>22</v>
      </c>
      <c r="M792" s="19">
        <f t="shared" si="60"/>
        <v>792000</v>
      </c>
      <c r="N792" s="9">
        <v>0.05</v>
      </c>
      <c r="O792" s="19">
        <f t="shared" si="61"/>
        <v>39600</v>
      </c>
      <c r="P792" s="19">
        <f t="shared" si="62"/>
        <v>752400</v>
      </c>
      <c r="Q792" s="19">
        <f t="shared" si="63"/>
        <v>682000</v>
      </c>
      <c r="R792" s="19">
        <f t="shared" si="64"/>
        <v>70400</v>
      </c>
    </row>
    <row r="793" spans="1:18" x14ac:dyDescent="0.25">
      <c r="A793" t="str">
        <f>_xlfn.XLOOKUP(C793,Raw_Data_Transaksi!$A$1:$A$1001,Raw_Data_Transaksi!$D$1:$D$1001,,0)</f>
        <v>PRD-106</v>
      </c>
      <c r="B793" t="str">
        <f>_xlfn.XLOOKUP(C793,Raw_Data_Transaksi!$A$1:$A$1001,Raw_Data_Transaksi!$C$1:$C$1001,,0)</f>
        <v>SLS-04</v>
      </c>
      <c r="C793" s="6" t="s">
        <v>877</v>
      </c>
      <c r="D793" s="7">
        <v>45691</v>
      </c>
      <c r="E793" s="10" t="str">
        <f>VLOOKUP(B793,Master_Sales!$A$1:$D$9,2,FALSE)</f>
        <v>Dewi Anggraini</v>
      </c>
      <c r="F793" s="10" t="str">
        <f>INDEX(Master_Sales!$D$1:$D$9,MATCH(Lembar_Kerja_Analisis!B793,Master_Sales!$A$1:$A$9,0))</f>
        <v>Barat</v>
      </c>
      <c r="G793" s="10" t="str">
        <f>INDEX(Master_Sales!$C$1:$C$9,MATCH(Lembar_Kerja_Analisis!B793,Master_Sales!$A$1:$A$9,0))</f>
        <v>Medan</v>
      </c>
      <c r="H793" s="10" t="str">
        <f>VLOOKUP(A793,Master_Produk!$A$1:$E$16,2,FALSE)</f>
        <v>Celana Chino Slim Fit</v>
      </c>
      <c r="I793" s="10" t="str">
        <f>INDEX(Master_Produk!$C$1:$C$16,MATCH(Lembar_Kerja_Analisis!A793,Master_Produk!$A$1:$A$16,0))</f>
        <v>Fashion</v>
      </c>
      <c r="J793" s="19">
        <f>_xlfn.XLOOKUP(A793,Master_Produk!$A$1:$A$16,Master_Produk!$D$1:$D$16,,0)</f>
        <v>280000</v>
      </c>
      <c r="K793" s="19">
        <f>INDEX(Master_Produk!$E$1:$E$16,MATCH(Lembar_Kerja_Analisis!A793,Master_Produk!$A$1:$A$16,0))</f>
        <v>175000</v>
      </c>
      <c r="L793" s="8">
        <v>12</v>
      </c>
      <c r="M793" s="19">
        <f t="shared" si="60"/>
        <v>3360000</v>
      </c>
      <c r="N793" s="9">
        <v>0.2</v>
      </c>
      <c r="O793" s="19">
        <f t="shared" si="61"/>
        <v>672000</v>
      </c>
      <c r="P793" s="19">
        <f t="shared" si="62"/>
        <v>2688000</v>
      </c>
      <c r="Q793" s="19">
        <f t="shared" si="63"/>
        <v>2100000</v>
      </c>
      <c r="R793" s="19">
        <f t="shared" si="64"/>
        <v>588000</v>
      </c>
    </row>
    <row r="794" spans="1:18" x14ac:dyDescent="0.25">
      <c r="A794" t="str">
        <f>_xlfn.XLOOKUP(C794,Raw_Data_Transaksi!$A$1:$A$1001,Raw_Data_Transaksi!$D$1:$D$1001,,0)</f>
        <v>PRD-112</v>
      </c>
      <c r="B794" t="str">
        <f>_xlfn.XLOOKUP(C794,Raw_Data_Transaksi!$A$1:$A$1001,Raw_Data_Transaksi!$C$1:$C$1001,,0)</f>
        <v>SLS-04</v>
      </c>
      <c r="C794" s="6" t="s">
        <v>878</v>
      </c>
      <c r="D794" s="7">
        <v>45936</v>
      </c>
      <c r="E794" s="10" t="str">
        <f>VLOOKUP(B794,Master_Sales!$A$1:$D$9,2,FALSE)</f>
        <v>Dewi Anggraini</v>
      </c>
      <c r="F794" s="10" t="str">
        <f>INDEX(Master_Sales!$D$1:$D$9,MATCH(Lembar_Kerja_Analisis!B794,Master_Sales!$A$1:$A$9,0))</f>
        <v>Barat</v>
      </c>
      <c r="G794" s="10" t="str">
        <f>INDEX(Master_Sales!$C$1:$C$9,MATCH(Lembar_Kerja_Analisis!B794,Master_Sales!$A$1:$A$9,0))</f>
        <v>Medan</v>
      </c>
      <c r="H794" s="10" t="str">
        <f>VLOOKUP(A794,Master_Produk!$A$1:$E$16,2,FALSE)</f>
        <v>Susu UHT Full Cream 1L</v>
      </c>
      <c r="I794" s="10" t="str">
        <f>INDEX(Master_Produk!$C$1:$C$16,MATCH(Lembar_Kerja_Analisis!A794,Master_Produk!$A$1:$A$16,0))</f>
        <v>F&amp;B</v>
      </c>
      <c r="J794" s="19">
        <f>_xlfn.XLOOKUP(A794,Master_Produk!$A$1:$A$16,Master_Produk!$D$1:$D$16,,0)</f>
        <v>22000</v>
      </c>
      <c r="K794" s="19">
        <f>INDEX(Master_Produk!$E$1:$E$16,MATCH(Lembar_Kerja_Analisis!A794,Master_Produk!$A$1:$A$16,0))</f>
        <v>18000</v>
      </c>
      <c r="L794" s="8">
        <v>24</v>
      </c>
      <c r="M794" s="19">
        <f t="shared" si="60"/>
        <v>528000</v>
      </c>
      <c r="N794" s="9">
        <v>0</v>
      </c>
      <c r="O794" s="19">
        <f t="shared" si="61"/>
        <v>0</v>
      </c>
      <c r="P794" s="19">
        <f t="shared" si="62"/>
        <v>528000</v>
      </c>
      <c r="Q794" s="19">
        <f t="shared" si="63"/>
        <v>432000</v>
      </c>
      <c r="R794" s="19">
        <f t="shared" si="64"/>
        <v>96000</v>
      </c>
    </row>
    <row r="795" spans="1:18" x14ac:dyDescent="0.25">
      <c r="A795" t="str">
        <f>_xlfn.XLOOKUP(C795,Raw_Data_Transaksi!$A$1:$A$1001,Raw_Data_Transaksi!$D$1:$D$1001,,0)</f>
        <v>PRD-109</v>
      </c>
      <c r="B795" t="str">
        <f>_xlfn.XLOOKUP(C795,Raw_Data_Transaksi!$A$1:$A$1001,Raw_Data_Transaksi!$C$1:$C$1001,,0)</f>
        <v>SLS-02</v>
      </c>
      <c r="C795" s="6" t="s">
        <v>879</v>
      </c>
      <c r="D795" s="7">
        <v>45824</v>
      </c>
      <c r="E795" s="10" t="str">
        <f>VLOOKUP(B795,Master_Sales!$A$1:$D$9,2,FALSE)</f>
        <v>Budi Santoso</v>
      </c>
      <c r="F795" s="10" t="str">
        <f>INDEX(Master_Sales!$D$1:$D$9,MATCH(Lembar_Kerja_Analisis!B795,Master_Sales!$A$1:$A$9,0))</f>
        <v>Timur</v>
      </c>
      <c r="G795" s="10" t="str">
        <f>INDEX(Master_Sales!$C$1:$C$9,MATCH(Lembar_Kerja_Analisis!B795,Master_Sales!$A$1:$A$9,0))</f>
        <v>Surabaya</v>
      </c>
      <c r="H795" s="10" t="str">
        <f>VLOOKUP(A795,Master_Produk!$A$1:$E$16,2,FALSE)</f>
        <v>Kopi Arabika Gayo 250g</v>
      </c>
      <c r="I795" s="10" t="str">
        <f>INDEX(Master_Produk!$C$1:$C$16,MATCH(Lembar_Kerja_Analisis!A795,Master_Produk!$A$1:$A$16,0))</f>
        <v>F&amp;B</v>
      </c>
      <c r="J795" s="19">
        <f>_xlfn.XLOOKUP(A795,Master_Produk!$A$1:$A$16,Master_Produk!$D$1:$D$16,,0)</f>
        <v>85000</v>
      </c>
      <c r="K795" s="19">
        <f>INDEX(Master_Produk!$E$1:$E$16,MATCH(Lembar_Kerja_Analisis!A795,Master_Produk!$A$1:$A$16,0))</f>
        <v>55000</v>
      </c>
      <c r="L795" s="8">
        <v>8</v>
      </c>
      <c r="M795" s="19">
        <f t="shared" si="60"/>
        <v>680000</v>
      </c>
      <c r="N795" s="9">
        <v>0.1</v>
      </c>
      <c r="O795" s="19">
        <f t="shared" si="61"/>
        <v>68000</v>
      </c>
      <c r="P795" s="19">
        <f t="shared" si="62"/>
        <v>612000</v>
      </c>
      <c r="Q795" s="19">
        <f t="shared" si="63"/>
        <v>440000</v>
      </c>
      <c r="R795" s="19">
        <f t="shared" si="64"/>
        <v>172000</v>
      </c>
    </row>
    <row r="796" spans="1:18" x14ac:dyDescent="0.25">
      <c r="A796" t="str">
        <f>_xlfn.XLOOKUP(C796,Raw_Data_Transaksi!$A$1:$A$1001,Raw_Data_Transaksi!$D$1:$D$1001,,0)</f>
        <v>PRD-114</v>
      </c>
      <c r="B796" t="str">
        <f>_xlfn.XLOOKUP(C796,Raw_Data_Transaksi!$A$1:$A$1001,Raw_Data_Transaksi!$C$1:$C$1001,,0)</f>
        <v>SLS-07</v>
      </c>
      <c r="C796" s="6" t="s">
        <v>880</v>
      </c>
      <c r="D796" s="7">
        <v>46008</v>
      </c>
      <c r="E796" s="10" t="str">
        <f>VLOOKUP(B796,Master_Sales!$A$1:$D$9,2,FALSE)</f>
        <v>Gita Permata</v>
      </c>
      <c r="F796" s="10" t="str">
        <f>INDEX(Master_Sales!$D$1:$D$9,MATCH(Lembar_Kerja_Analisis!B796,Master_Sales!$A$1:$A$9,0))</f>
        <v>Tengah</v>
      </c>
      <c r="G796" s="10" t="str">
        <f>INDEX(Master_Sales!$C$1:$C$9,MATCH(Lembar_Kerja_Analisis!B796,Master_Sales!$A$1:$A$9,0))</f>
        <v>Denpasar</v>
      </c>
      <c r="H796" s="10" t="str">
        <f>VLOOKUP(A796,Master_Produk!$A$1:$E$16,2,FALSE)</f>
        <v>Blender Multifungsi 2-in-1</v>
      </c>
      <c r="I796" s="10" t="str">
        <f>INDEX(Master_Produk!$C$1:$C$16,MATCH(Lembar_Kerja_Analisis!A796,Master_Produk!$A$1:$A$16,0))</f>
        <v>Peralatan Rumah</v>
      </c>
      <c r="J796" s="19">
        <f>_xlfn.XLOOKUP(A796,Master_Produk!$A$1:$A$16,Master_Produk!$D$1:$D$16,,0)</f>
        <v>340000</v>
      </c>
      <c r="K796" s="19">
        <f>INDEX(Master_Produk!$E$1:$E$16,MATCH(Lembar_Kerja_Analisis!A796,Master_Produk!$A$1:$A$16,0))</f>
        <v>240000</v>
      </c>
      <c r="L796" s="8">
        <v>6</v>
      </c>
      <c r="M796" s="19">
        <f t="shared" si="60"/>
        <v>2040000</v>
      </c>
      <c r="N796" s="9">
        <v>0.15</v>
      </c>
      <c r="O796" s="19">
        <f t="shared" si="61"/>
        <v>306000</v>
      </c>
      <c r="P796" s="19">
        <f t="shared" si="62"/>
        <v>1734000</v>
      </c>
      <c r="Q796" s="19">
        <f t="shared" si="63"/>
        <v>1440000</v>
      </c>
      <c r="R796" s="19">
        <f t="shared" si="64"/>
        <v>294000</v>
      </c>
    </row>
    <row r="797" spans="1:18" x14ac:dyDescent="0.25">
      <c r="A797" t="str">
        <f>_xlfn.XLOOKUP(C797,Raw_Data_Transaksi!$A$1:$A$1001,Raw_Data_Transaksi!$D$1:$D$1001,,0)</f>
        <v>PRD-115</v>
      </c>
      <c r="B797" t="str">
        <f>_xlfn.XLOOKUP(C797,Raw_Data_Transaksi!$A$1:$A$1001,Raw_Data_Transaksi!$C$1:$C$1001,,0)</f>
        <v>SLS-01</v>
      </c>
      <c r="C797" s="6" t="s">
        <v>881</v>
      </c>
      <c r="D797" s="7">
        <v>45729</v>
      </c>
      <c r="E797" s="10" t="str">
        <f>VLOOKUP(B797,Master_Sales!$A$1:$D$9,2,FALSE)</f>
        <v>Andi Pratama</v>
      </c>
      <c r="F797" s="10" t="str">
        <f>INDEX(Master_Sales!$D$1:$D$9,MATCH(Lembar_Kerja_Analisis!B797,Master_Sales!$A$1:$A$9,0))</f>
        <v>Barat</v>
      </c>
      <c r="G797" s="10" t="str">
        <f>INDEX(Master_Sales!$C$1:$C$9,MATCH(Lembar_Kerja_Analisis!B797,Master_Sales!$A$1:$A$9,0))</f>
        <v>Jakarta</v>
      </c>
      <c r="H797" s="10" t="str">
        <f>VLOOKUP(A797,Master_Produk!$A$1:$E$16,2,FALSE)</f>
        <v>Set Pisau Dapur Stainless</v>
      </c>
      <c r="I797" s="10" t="str">
        <f>INDEX(Master_Produk!$C$1:$C$16,MATCH(Lembar_Kerja_Analisis!A797,Master_Produk!$A$1:$A$16,0))</f>
        <v>Peralatan Rumah</v>
      </c>
      <c r="J797" s="19">
        <f>_xlfn.XLOOKUP(A797,Master_Produk!$A$1:$A$16,Master_Produk!$D$1:$D$16,,0)</f>
        <v>165000</v>
      </c>
      <c r="K797" s="19">
        <f>INDEX(Master_Produk!$E$1:$E$16,MATCH(Lembar_Kerja_Analisis!A797,Master_Produk!$A$1:$A$16,0))</f>
        <v>105000</v>
      </c>
      <c r="L797" s="8">
        <v>3</v>
      </c>
      <c r="M797" s="19">
        <f t="shared" si="60"/>
        <v>495000</v>
      </c>
      <c r="N797" s="9">
        <v>0.05</v>
      </c>
      <c r="O797" s="19">
        <f t="shared" si="61"/>
        <v>24750</v>
      </c>
      <c r="P797" s="19">
        <f t="shared" si="62"/>
        <v>470250</v>
      </c>
      <c r="Q797" s="19">
        <f t="shared" si="63"/>
        <v>315000</v>
      </c>
      <c r="R797" s="19">
        <f t="shared" si="64"/>
        <v>155250</v>
      </c>
    </row>
    <row r="798" spans="1:18" x14ac:dyDescent="0.25">
      <c r="A798" t="str">
        <f>_xlfn.XLOOKUP(C798,Raw_Data_Transaksi!$A$1:$A$1001,Raw_Data_Transaksi!$D$1:$D$1001,,0)</f>
        <v>PRD-110</v>
      </c>
      <c r="B798" t="str">
        <f>_xlfn.XLOOKUP(C798,Raw_Data_Transaksi!$A$1:$A$1001,Raw_Data_Transaksi!$C$1:$C$1001,,0)</f>
        <v>SLS-08</v>
      </c>
      <c r="C798" s="6" t="s">
        <v>882</v>
      </c>
      <c r="D798" s="7">
        <v>45857</v>
      </c>
      <c r="E798" s="10" t="str">
        <f>VLOOKUP(B798,Master_Sales!$A$1:$D$9,2,FALSE)</f>
        <v>Hendra Wijaya</v>
      </c>
      <c r="F798" s="10" t="str">
        <f>INDEX(Master_Sales!$D$1:$D$9,MATCH(Lembar_Kerja_Analisis!B798,Master_Sales!$A$1:$A$9,0))</f>
        <v>Tengah</v>
      </c>
      <c r="G798" s="10" t="str">
        <f>INDEX(Master_Sales!$C$1:$C$9,MATCH(Lembar_Kerja_Analisis!B798,Master_Sales!$A$1:$A$9,0))</f>
        <v>Yogyakarta</v>
      </c>
      <c r="H798" s="10" t="str">
        <f>VLOOKUP(A798,Master_Produk!$A$1:$E$16,2,FALSE)</f>
        <v>Minyak Goreng Sawit 2L</v>
      </c>
      <c r="I798" s="10" t="str">
        <f>INDEX(Master_Produk!$C$1:$C$16,MATCH(Lembar_Kerja_Analisis!A798,Master_Produk!$A$1:$A$16,0))</f>
        <v>F&amp;B</v>
      </c>
      <c r="J798" s="19">
        <f>_xlfn.XLOOKUP(A798,Master_Produk!$A$1:$A$16,Master_Produk!$D$1:$D$16,,0)</f>
        <v>36000</v>
      </c>
      <c r="K798" s="19">
        <f>INDEX(Master_Produk!$E$1:$E$16,MATCH(Lembar_Kerja_Analisis!A798,Master_Produk!$A$1:$A$16,0))</f>
        <v>31000</v>
      </c>
      <c r="L798" s="8">
        <v>9</v>
      </c>
      <c r="M798" s="19">
        <f t="shared" si="60"/>
        <v>324000</v>
      </c>
      <c r="N798" s="9">
        <v>0.1</v>
      </c>
      <c r="O798" s="19">
        <f t="shared" si="61"/>
        <v>32400</v>
      </c>
      <c r="P798" s="19">
        <f t="shared" si="62"/>
        <v>291600</v>
      </c>
      <c r="Q798" s="19">
        <f t="shared" si="63"/>
        <v>279000</v>
      </c>
      <c r="R798" s="19">
        <f t="shared" si="64"/>
        <v>12600</v>
      </c>
    </row>
    <row r="799" spans="1:18" x14ac:dyDescent="0.25">
      <c r="A799" t="str">
        <f>_xlfn.XLOOKUP(C799,Raw_Data_Transaksi!$A$1:$A$1001,Raw_Data_Transaksi!$D$1:$D$1001,,0)</f>
        <v>PRD-112</v>
      </c>
      <c r="B799" t="str">
        <f>_xlfn.XLOOKUP(C799,Raw_Data_Transaksi!$A$1:$A$1001,Raw_Data_Transaksi!$C$1:$C$1001,,0)</f>
        <v>SLS-06</v>
      </c>
      <c r="C799" s="6" t="s">
        <v>883</v>
      </c>
      <c r="D799" s="7">
        <v>45880</v>
      </c>
      <c r="E799" s="10" t="str">
        <f>VLOOKUP(B799,Master_Sales!$A$1:$D$9,2,FALSE)</f>
        <v>Fajar Nugraha</v>
      </c>
      <c r="F799" s="10" t="str">
        <f>INDEX(Master_Sales!$D$1:$D$9,MATCH(Lembar_Kerja_Analisis!B799,Master_Sales!$A$1:$A$9,0))</f>
        <v>Timur</v>
      </c>
      <c r="G799" s="10" t="str">
        <f>INDEX(Master_Sales!$C$1:$C$9,MATCH(Lembar_Kerja_Analisis!B799,Master_Sales!$A$1:$A$9,0))</f>
        <v>Makassar</v>
      </c>
      <c r="H799" s="10" t="str">
        <f>VLOOKUP(A799,Master_Produk!$A$1:$E$16,2,FALSE)</f>
        <v>Susu UHT Full Cream 1L</v>
      </c>
      <c r="I799" s="10" t="str">
        <f>INDEX(Master_Produk!$C$1:$C$16,MATCH(Lembar_Kerja_Analisis!A799,Master_Produk!$A$1:$A$16,0))</f>
        <v>F&amp;B</v>
      </c>
      <c r="J799" s="19">
        <f>_xlfn.XLOOKUP(A799,Master_Produk!$A$1:$A$16,Master_Produk!$D$1:$D$16,,0)</f>
        <v>22000</v>
      </c>
      <c r="K799" s="19">
        <f>INDEX(Master_Produk!$E$1:$E$16,MATCH(Lembar_Kerja_Analisis!A799,Master_Produk!$A$1:$A$16,0))</f>
        <v>18000</v>
      </c>
      <c r="L799" s="8">
        <v>21</v>
      </c>
      <c r="M799" s="19">
        <f t="shared" si="60"/>
        <v>462000</v>
      </c>
      <c r="N799" s="9">
        <v>0</v>
      </c>
      <c r="O799" s="19">
        <f t="shared" si="61"/>
        <v>0</v>
      </c>
      <c r="P799" s="19">
        <f t="shared" si="62"/>
        <v>462000</v>
      </c>
      <c r="Q799" s="19">
        <f t="shared" si="63"/>
        <v>378000</v>
      </c>
      <c r="R799" s="19">
        <f t="shared" si="64"/>
        <v>84000</v>
      </c>
    </row>
    <row r="800" spans="1:18" x14ac:dyDescent="0.25">
      <c r="A800" t="str">
        <f>_xlfn.XLOOKUP(C800,Raw_Data_Transaksi!$A$1:$A$1001,Raw_Data_Transaksi!$D$1:$D$1001,,0)</f>
        <v>PRD-106</v>
      </c>
      <c r="B800" t="str">
        <f>_xlfn.XLOOKUP(C800,Raw_Data_Transaksi!$A$1:$A$1001,Raw_Data_Transaksi!$C$1:$C$1001,,0)</f>
        <v>SLS-01</v>
      </c>
      <c r="C800" s="6" t="s">
        <v>884</v>
      </c>
      <c r="D800" s="7">
        <v>45689</v>
      </c>
      <c r="E800" s="10" t="str">
        <f>VLOOKUP(B800,Master_Sales!$A$1:$D$9,2,FALSE)</f>
        <v>Andi Pratama</v>
      </c>
      <c r="F800" s="10" t="str">
        <f>INDEX(Master_Sales!$D$1:$D$9,MATCH(Lembar_Kerja_Analisis!B800,Master_Sales!$A$1:$A$9,0))</f>
        <v>Barat</v>
      </c>
      <c r="G800" s="10" t="str">
        <f>INDEX(Master_Sales!$C$1:$C$9,MATCH(Lembar_Kerja_Analisis!B800,Master_Sales!$A$1:$A$9,0))</f>
        <v>Jakarta</v>
      </c>
      <c r="H800" s="10" t="str">
        <f>VLOOKUP(A800,Master_Produk!$A$1:$E$16,2,FALSE)</f>
        <v>Celana Chino Slim Fit</v>
      </c>
      <c r="I800" s="10" t="str">
        <f>INDEX(Master_Produk!$C$1:$C$16,MATCH(Lembar_Kerja_Analisis!A800,Master_Produk!$A$1:$A$16,0))</f>
        <v>Fashion</v>
      </c>
      <c r="J800" s="19">
        <f>_xlfn.XLOOKUP(A800,Master_Produk!$A$1:$A$16,Master_Produk!$D$1:$D$16,,0)</f>
        <v>280000</v>
      </c>
      <c r="K800" s="19">
        <f>INDEX(Master_Produk!$E$1:$E$16,MATCH(Lembar_Kerja_Analisis!A800,Master_Produk!$A$1:$A$16,0))</f>
        <v>175000</v>
      </c>
      <c r="L800" s="8">
        <v>1</v>
      </c>
      <c r="M800" s="19">
        <f t="shared" si="60"/>
        <v>280000</v>
      </c>
      <c r="N800" s="9">
        <v>0.2</v>
      </c>
      <c r="O800" s="19">
        <f t="shared" si="61"/>
        <v>56000</v>
      </c>
      <c r="P800" s="19">
        <f t="shared" si="62"/>
        <v>224000</v>
      </c>
      <c r="Q800" s="19">
        <f t="shared" si="63"/>
        <v>175000</v>
      </c>
      <c r="R800" s="19">
        <f t="shared" si="64"/>
        <v>49000</v>
      </c>
    </row>
    <row r="801" spans="1:18" x14ac:dyDescent="0.25">
      <c r="A801" t="str">
        <f>_xlfn.XLOOKUP(C801,Raw_Data_Transaksi!$A$1:$A$1001,Raw_Data_Transaksi!$D$1:$D$1001,,0)</f>
        <v>PRD-104</v>
      </c>
      <c r="B801" t="str">
        <f>_xlfn.XLOOKUP(C801,Raw_Data_Transaksi!$A$1:$A$1001,Raw_Data_Transaksi!$C$1:$C$1001,,0)</f>
        <v>SLS-07</v>
      </c>
      <c r="C801" s="6" t="s">
        <v>885</v>
      </c>
      <c r="D801" s="7">
        <v>45673</v>
      </c>
      <c r="E801" s="10" t="str">
        <f>VLOOKUP(B801,Master_Sales!$A$1:$D$9,2,FALSE)</f>
        <v>Gita Permata</v>
      </c>
      <c r="F801" s="10" t="str">
        <f>INDEX(Master_Sales!$D$1:$D$9,MATCH(Lembar_Kerja_Analisis!B801,Master_Sales!$A$1:$A$9,0))</f>
        <v>Tengah</v>
      </c>
      <c r="G801" s="10" t="str">
        <f>INDEX(Master_Sales!$C$1:$C$9,MATCH(Lembar_Kerja_Analisis!B801,Master_Sales!$A$1:$A$9,0))</f>
        <v>Denpasar</v>
      </c>
      <c r="H801" s="10" t="str">
        <f>VLOOKUP(A801,Master_Produk!$A$1:$E$16,2,FALSE)</f>
        <v>Monitor 24" FHD 144Hz</v>
      </c>
      <c r="I801" s="10" t="str">
        <f>INDEX(Master_Produk!$C$1:$C$16,MATCH(Lembar_Kerja_Analisis!A801,Master_Produk!$A$1:$A$16,0))</f>
        <v>Elektronik</v>
      </c>
      <c r="J801" s="19">
        <f>_xlfn.XLOOKUP(A801,Master_Produk!$A$1:$A$16,Master_Produk!$D$1:$D$16,,0)</f>
        <v>1950000</v>
      </c>
      <c r="K801" s="19">
        <f>INDEX(Master_Produk!$E$1:$E$16,MATCH(Lembar_Kerja_Analisis!A801,Master_Produk!$A$1:$A$16,0))</f>
        <v>1500000</v>
      </c>
      <c r="L801" s="8">
        <v>12</v>
      </c>
      <c r="M801" s="19">
        <f t="shared" si="60"/>
        <v>23400000</v>
      </c>
      <c r="N801" s="9">
        <v>0.2</v>
      </c>
      <c r="O801" s="19">
        <f t="shared" si="61"/>
        <v>4680000</v>
      </c>
      <c r="P801" s="19">
        <f t="shared" si="62"/>
        <v>18720000</v>
      </c>
      <c r="Q801" s="19">
        <f t="shared" si="63"/>
        <v>18000000</v>
      </c>
      <c r="R801" s="19">
        <f t="shared" si="64"/>
        <v>720000</v>
      </c>
    </row>
    <row r="802" spans="1:18" x14ac:dyDescent="0.25">
      <c r="A802" t="str">
        <f>_xlfn.XLOOKUP(C802,Raw_Data_Transaksi!$A$1:$A$1001,Raw_Data_Transaksi!$D$1:$D$1001,,0)</f>
        <v>PRD-107</v>
      </c>
      <c r="B802" t="str">
        <f>_xlfn.XLOOKUP(C802,Raw_Data_Transaksi!$A$1:$A$1001,Raw_Data_Transaksi!$C$1:$C$1001,,0)</f>
        <v>SLS-07</v>
      </c>
      <c r="C802" s="6" t="s">
        <v>886</v>
      </c>
      <c r="D802" s="7">
        <v>46022</v>
      </c>
      <c r="E802" s="10" t="str">
        <f>VLOOKUP(B802,Master_Sales!$A$1:$D$9,2,FALSE)</f>
        <v>Gita Permata</v>
      </c>
      <c r="F802" s="10" t="str">
        <f>INDEX(Master_Sales!$D$1:$D$9,MATCH(Lembar_Kerja_Analisis!B802,Master_Sales!$A$1:$A$9,0))</f>
        <v>Tengah</v>
      </c>
      <c r="G802" s="10" t="str">
        <f>INDEX(Master_Sales!$C$1:$C$9,MATCH(Lembar_Kerja_Analisis!B802,Master_Sales!$A$1:$A$9,0))</f>
        <v>Denpasar</v>
      </c>
      <c r="H802" s="10" t="str">
        <f>VLOOKUP(A802,Master_Produk!$A$1:$E$16,2,FALSE)</f>
        <v>Jaket Hoodie Casual</v>
      </c>
      <c r="I802" s="10" t="str">
        <f>INDEX(Master_Produk!$C$1:$C$16,MATCH(Lembar_Kerja_Analisis!A802,Master_Produk!$A$1:$A$16,0))</f>
        <v>Fashion</v>
      </c>
      <c r="J802" s="19">
        <f>_xlfn.XLOOKUP(A802,Master_Produk!$A$1:$A$16,Master_Produk!$D$1:$D$16,,0)</f>
        <v>350000</v>
      </c>
      <c r="K802" s="19">
        <f>INDEX(Master_Produk!$E$1:$E$16,MATCH(Lembar_Kerja_Analisis!A802,Master_Produk!$A$1:$A$16,0))</f>
        <v>220000</v>
      </c>
      <c r="L802" s="8">
        <v>7</v>
      </c>
      <c r="M802" s="19">
        <f t="shared" si="60"/>
        <v>2450000</v>
      </c>
      <c r="N802" s="9">
        <v>0.15</v>
      </c>
      <c r="O802" s="19">
        <f t="shared" si="61"/>
        <v>367500</v>
      </c>
      <c r="P802" s="19">
        <f t="shared" si="62"/>
        <v>2082500</v>
      </c>
      <c r="Q802" s="19">
        <f t="shared" si="63"/>
        <v>1540000</v>
      </c>
      <c r="R802" s="19">
        <f t="shared" si="64"/>
        <v>542500</v>
      </c>
    </row>
    <row r="803" spans="1:18" x14ac:dyDescent="0.25">
      <c r="A803" t="str">
        <f>_xlfn.XLOOKUP(C803,Raw_Data_Transaksi!$A$1:$A$1001,Raw_Data_Transaksi!$D$1:$D$1001,,0)</f>
        <v>PRD-103</v>
      </c>
      <c r="B803" t="str">
        <f>_xlfn.XLOOKUP(C803,Raw_Data_Transaksi!$A$1:$A$1001,Raw_Data_Transaksi!$C$1:$C$1001,,0)</f>
        <v>SLS-04</v>
      </c>
      <c r="C803" s="6" t="s">
        <v>887</v>
      </c>
      <c r="D803" s="7">
        <v>45901</v>
      </c>
      <c r="E803" s="10" t="str">
        <f>VLOOKUP(B803,Master_Sales!$A$1:$D$9,2,FALSE)</f>
        <v>Dewi Anggraini</v>
      </c>
      <c r="F803" s="10" t="str">
        <f>INDEX(Master_Sales!$D$1:$D$9,MATCH(Lembar_Kerja_Analisis!B803,Master_Sales!$A$1:$A$9,0))</f>
        <v>Barat</v>
      </c>
      <c r="G803" s="10" t="str">
        <f>INDEX(Master_Sales!$C$1:$C$9,MATCH(Lembar_Kerja_Analisis!B803,Master_Sales!$A$1:$A$9,0))</f>
        <v>Medan</v>
      </c>
      <c r="H803" s="10" t="str">
        <f>VLOOKUP(A803,Master_Produk!$A$1:$E$16,2,FALSE)</f>
        <v>Mechanical Keyboard RGB</v>
      </c>
      <c r="I803" s="10" t="str">
        <f>INDEX(Master_Produk!$C$1:$C$16,MATCH(Lembar_Kerja_Analisis!A803,Master_Produk!$A$1:$A$16,0))</f>
        <v>Elektronik</v>
      </c>
      <c r="J803" s="19">
        <f>_xlfn.XLOOKUP(A803,Master_Produk!$A$1:$A$16,Master_Produk!$D$1:$D$16,,0)</f>
        <v>750000</v>
      </c>
      <c r="K803" s="19">
        <f>INDEX(Master_Produk!$E$1:$E$16,MATCH(Lembar_Kerja_Analisis!A803,Master_Produk!$A$1:$A$16,0))</f>
        <v>520000</v>
      </c>
      <c r="L803" s="8">
        <v>9</v>
      </c>
      <c r="M803" s="19">
        <f t="shared" si="60"/>
        <v>6750000</v>
      </c>
      <c r="N803" s="9">
        <v>0.15</v>
      </c>
      <c r="O803" s="19">
        <f t="shared" si="61"/>
        <v>1012500</v>
      </c>
      <c r="P803" s="19">
        <f t="shared" si="62"/>
        <v>5737500</v>
      </c>
      <c r="Q803" s="19">
        <f t="shared" si="63"/>
        <v>4680000</v>
      </c>
      <c r="R803" s="19">
        <f t="shared" si="64"/>
        <v>1057500</v>
      </c>
    </row>
    <row r="804" spans="1:18" x14ac:dyDescent="0.25">
      <c r="A804" t="str">
        <f>_xlfn.XLOOKUP(C804,Raw_Data_Transaksi!$A$1:$A$1001,Raw_Data_Transaksi!$D$1:$D$1001,,0)</f>
        <v>PRD-114</v>
      </c>
      <c r="B804" t="str">
        <f>_xlfn.XLOOKUP(C804,Raw_Data_Transaksi!$A$1:$A$1001,Raw_Data_Transaksi!$C$1:$C$1001,,0)</f>
        <v>SLS-03</v>
      </c>
      <c r="C804" s="6" t="s">
        <v>888</v>
      </c>
      <c r="D804" s="7">
        <v>45805</v>
      </c>
      <c r="E804" s="10" t="str">
        <f>VLOOKUP(B804,Master_Sales!$A$1:$D$9,2,FALSE)</f>
        <v>Citra Lestari</v>
      </c>
      <c r="F804" s="10" t="str">
        <f>INDEX(Master_Sales!$D$1:$D$9,MATCH(Lembar_Kerja_Analisis!B804,Master_Sales!$A$1:$A$9,0))</f>
        <v>Barat</v>
      </c>
      <c r="G804" s="10" t="str">
        <f>INDEX(Master_Sales!$C$1:$C$9,MATCH(Lembar_Kerja_Analisis!B804,Master_Sales!$A$1:$A$9,0))</f>
        <v>Bandung</v>
      </c>
      <c r="H804" s="10" t="str">
        <f>VLOOKUP(A804,Master_Produk!$A$1:$E$16,2,FALSE)</f>
        <v>Blender Multifungsi 2-in-1</v>
      </c>
      <c r="I804" s="10" t="str">
        <f>INDEX(Master_Produk!$C$1:$C$16,MATCH(Lembar_Kerja_Analisis!A804,Master_Produk!$A$1:$A$16,0))</f>
        <v>Peralatan Rumah</v>
      </c>
      <c r="J804" s="19">
        <f>_xlfn.XLOOKUP(A804,Master_Produk!$A$1:$A$16,Master_Produk!$D$1:$D$16,,0)</f>
        <v>340000</v>
      </c>
      <c r="K804" s="19">
        <f>INDEX(Master_Produk!$E$1:$E$16,MATCH(Lembar_Kerja_Analisis!A804,Master_Produk!$A$1:$A$16,0))</f>
        <v>240000</v>
      </c>
      <c r="L804" s="8">
        <v>3</v>
      </c>
      <c r="M804" s="19">
        <f t="shared" si="60"/>
        <v>1020000</v>
      </c>
      <c r="N804" s="9">
        <v>0</v>
      </c>
      <c r="O804" s="19">
        <f t="shared" si="61"/>
        <v>0</v>
      </c>
      <c r="P804" s="19">
        <f t="shared" si="62"/>
        <v>1020000</v>
      </c>
      <c r="Q804" s="19">
        <f t="shared" si="63"/>
        <v>720000</v>
      </c>
      <c r="R804" s="19">
        <f t="shared" si="64"/>
        <v>300000</v>
      </c>
    </row>
    <row r="805" spans="1:18" x14ac:dyDescent="0.25">
      <c r="A805" t="str">
        <f>_xlfn.XLOOKUP(C805,Raw_Data_Transaksi!$A$1:$A$1001,Raw_Data_Transaksi!$D$1:$D$1001,,0)</f>
        <v>PRD-112</v>
      </c>
      <c r="B805" t="str">
        <f>_xlfn.XLOOKUP(C805,Raw_Data_Transaksi!$A$1:$A$1001,Raw_Data_Transaksi!$C$1:$C$1001,,0)</f>
        <v>SLS-08</v>
      </c>
      <c r="C805" s="6" t="s">
        <v>889</v>
      </c>
      <c r="D805" s="7">
        <v>45731</v>
      </c>
      <c r="E805" s="10" t="str">
        <f>VLOOKUP(B805,Master_Sales!$A$1:$D$9,2,FALSE)</f>
        <v>Hendra Wijaya</v>
      </c>
      <c r="F805" s="10" t="str">
        <f>INDEX(Master_Sales!$D$1:$D$9,MATCH(Lembar_Kerja_Analisis!B805,Master_Sales!$A$1:$A$9,0))</f>
        <v>Tengah</v>
      </c>
      <c r="G805" s="10" t="str">
        <f>INDEX(Master_Sales!$C$1:$C$9,MATCH(Lembar_Kerja_Analisis!B805,Master_Sales!$A$1:$A$9,0))</f>
        <v>Yogyakarta</v>
      </c>
      <c r="H805" s="10" t="str">
        <f>VLOOKUP(A805,Master_Produk!$A$1:$E$16,2,FALSE)</f>
        <v>Susu UHT Full Cream 1L</v>
      </c>
      <c r="I805" s="10" t="str">
        <f>INDEX(Master_Produk!$C$1:$C$16,MATCH(Lembar_Kerja_Analisis!A805,Master_Produk!$A$1:$A$16,0))</f>
        <v>F&amp;B</v>
      </c>
      <c r="J805" s="19">
        <f>_xlfn.XLOOKUP(A805,Master_Produk!$A$1:$A$16,Master_Produk!$D$1:$D$16,,0)</f>
        <v>22000</v>
      </c>
      <c r="K805" s="19">
        <f>INDEX(Master_Produk!$E$1:$E$16,MATCH(Lembar_Kerja_Analisis!A805,Master_Produk!$A$1:$A$16,0))</f>
        <v>18000</v>
      </c>
      <c r="L805" s="8">
        <v>16</v>
      </c>
      <c r="M805" s="19">
        <f t="shared" si="60"/>
        <v>352000</v>
      </c>
      <c r="N805" s="9">
        <v>0.05</v>
      </c>
      <c r="O805" s="19">
        <f t="shared" si="61"/>
        <v>17600</v>
      </c>
      <c r="P805" s="19">
        <f t="shared" si="62"/>
        <v>334400</v>
      </c>
      <c r="Q805" s="19">
        <f t="shared" si="63"/>
        <v>288000</v>
      </c>
      <c r="R805" s="19">
        <f t="shared" si="64"/>
        <v>46400</v>
      </c>
    </row>
    <row r="806" spans="1:18" x14ac:dyDescent="0.25">
      <c r="A806" t="str">
        <f>_xlfn.XLOOKUP(C806,Raw_Data_Transaksi!$A$1:$A$1001,Raw_Data_Transaksi!$D$1:$D$1001,,0)</f>
        <v>PRD-115</v>
      </c>
      <c r="B806" t="str">
        <f>_xlfn.XLOOKUP(C806,Raw_Data_Transaksi!$A$1:$A$1001,Raw_Data_Transaksi!$C$1:$C$1001,,0)</f>
        <v>SLS-07</v>
      </c>
      <c r="C806" s="6" t="s">
        <v>890</v>
      </c>
      <c r="D806" s="7">
        <v>45891</v>
      </c>
      <c r="E806" s="10" t="str">
        <f>VLOOKUP(B806,Master_Sales!$A$1:$D$9,2,FALSE)</f>
        <v>Gita Permata</v>
      </c>
      <c r="F806" s="10" t="str">
        <f>INDEX(Master_Sales!$D$1:$D$9,MATCH(Lembar_Kerja_Analisis!B806,Master_Sales!$A$1:$A$9,0))</f>
        <v>Tengah</v>
      </c>
      <c r="G806" s="10" t="str">
        <f>INDEX(Master_Sales!$C$1:$C$9,MATCH(Lembar_Kerja_Analisis!B806,Master_Sales!$A$1:$A$9,0))</f>
        <v>Denpasar</v>
      </c>
      <c r="H806" s="10" t="str">
        <f>VLOOKUP(A806,Master_Produk!$A$1:$E$16,2,FALSE)</f>
        <v>Set Pisau Dapur Stainless</v>
      </c>
      <c r="I806" s="10" t="str">
        <f>INDEX(Master_Produk!$C$1:$C$16,MATCH(Lembar_Kerja_Analisis!A806,Master_Produk!$A$1:$A$16,0))</f>
        <v>Peralatan Rumah</v>
      </c>
      <c r="J806" s="19">
        <f>_xlfn.XLOOKUP(A806,Master_Produk!$A$1:$A$16,Master_Produk!$D$1:$D$16,,0)</f>
        <v>165000</v>
      </c>
      <c r="K806" s="19">
        <f>INDEX(Master_Produk!$E$1:$E$16,MATCH(Lembar_Kerja_Analisis!A806,Master_Produk!$A$1:$A$16,0))</f>
        <v>105000</v>
      </c>
      <c r="L806" s="8">
        <v>10</v>
      </c>
      <c r="M806" s="19">
        <f t="shared" si="60"/>
        <v>1650000</v>
      </c>
      <c r="N806" s="9">
        <v>0.05</v>
      </c>
      <c r="O806" s="19">
        <f t="shared" si="61"/>
        <v>82500</v>
      </c>
      <c r="P806" s="19">
        <f t="shared" si="62"/>
        <v>1567500</v>
      </c>
      <c r="Q806" s="19">
        <f t="shared" si="63"/>
        <v>1050000</v>
      </c>
      <c r="R806" s="19">
        <f t="shared" si="64"/>
        <v>517500</v>
      </c>
    </row>
    <row r="807" spans="1:18" x14ac:dyDescent="0.25">
      <c r="A807" t="str">
        <f>_xlfn.XLOOKUP(C807,Raw_Data_Transaksi!$A$1:$A$1001,Raw_Data_Transaksi!$D$1:$D$1001,,0)</f>
        <v>PRD-114</v>
      </c>
      <c r="B807" t="str">
        <f>_xlfn.XLOOKUP(C807,Raw_Data_Transaksi!$A$1:$A$1001,Raw_Data_Transaksi!$C$1:$C$1001,,0)</f>
        <v>SLS-08</v>
      </c>
      <c r="C807" s="6" t="s">
        <v>891</v>
      </c>
      <c r="D807" s="7">
        <v>45940</v>
      </c>
      <c r="E807" s="10" t="str">
        <f>VLOOKUP(B807,Master_Sales!$A$1:$D$9,2,FALSE)</f>
        <v>Hendra Wijaya</v>
      </c>
      <c r="F807" s="10" t="str">
        <f>INDEX(Master_Sales!$D$1:$D$9,MATCH(Lembar_Kerja_Analisis!B807,Master_Sales!$A$1:$A$9,0))</f>
        <v>Tengah</v>
      </c>
      <c r="G807" s="10" t="str">
        <f>INDEX(Master_Sales!$C$1:$C$9,MATCH(Lembar_Kerja_Analisis!B807,Master_Sales!$A$1:$A$9,0))</f>
        <v>Yogyakarta</v>
      </c>
      <c r="H807" s="10" t="str">
        <f>VLOOKUP(A807,Master_Produk!$A$1:$E$16,2,FALSE)</f>
        <v>Blender Multifungsi 2-in-1</v>
      </c>
      <c r="I807" s="10" t="str">
        <f>INDEX(Master_Produk!$C$1:$C$16,MATCH(Lembar_Kerja_Analisis!A807,Master_Produk!$A$1:$A$16,0))</f>
        <v>Peralatan Rumah</v>
      </c>
      <c r="J807" s="19">
        <f>_xlfn.XLOOKUP(A807,Master_Produk!$A$1:$A$16,Master_Produk!$D$1:$D$16,,0)</f>
        <v>340000</v>
      </c>
      <c r="K807" s="19">
        <f>INDEX(Master_Produk!$E$1:$E$16,MATCH(Lembar_Kerja_Analisis!A807,Master_Produk!$A$1:$A$16,0))</f>
        <v>240000</v>
      </c>
      <c r="L807" s="8">
        <v>7</v>
      </c>
      <c r="M807" s="19">
        <f t="shared" si="60"/>
        <v>2380000</v>
      </c>
      <c r="N807" s="9">
        <v>0.1</v>
      </c>
      <c r="O807" s="19">
        <f t="shared" si="61"/>
        <v>238000</v>
      </c>
      <c r="P807" s="19">
        <f t="shared" si="62"/>
        <v>2142000</v>
      </c>
      <c r="Q807" s="19">
        <f t="shared" si="63"/>
        <v>1680000</v>
      </c>
      <c r="R807" s="19">
        <f t="shared" si="64"/>
        <v>462000</v>
      </c>
    </row>
    <row r="808" spans="1:18" x14ac:dyDescent="0.25">
      <c r="A808" t="str">
        <f>_xlfn.XLOOKUP(C808,Raw_Data_Transaksi!$A$1:$A$1001,Raw_Data_Transaksi!$D$1:$D$1001,,0)</f>
        <v>PRD-101</v>
      </c>
      <c r="B808" t="str">
        <f>_xlfn.XLOOKUP(C808,Raw_Data_Transaksi!$A$1:$A$1001,Raw_Data_Transaksi!$C$1:$C$1001,,0)</f>
        <v>SLS-08</v>
      </c>
      <c r="C808" s="6" t="s">
        <v>892</v>
      </c>
      <c r="D808" s="7">
        <v>45967</v>
      </c>
      <c r="E808" s="10" t="str">
        <f>VLOOKUP(B808,Master_Sales!$A$1:$D$9,2,FALSE)</f>
        <v>Hendra Wijaya</v>
      </c>
      <c r="F808" s="10" t="str">
        <f>INDEX(Master_Sales!$D$1:$D$9,MATCH(Lembar_Kerja_Analisis!B808,Master_Sales!$A$1:$A$9,0))</f>
        <v>Tengah</v>
      </c>
      <c r="G808" s="10" t="str">
        <f>INDEX(Master_Sales!$C$1:$C$9,MATCH(Lembar_Kerja_Analisis!B808,Master_Sales!$A$1:$A$9,0))</f>
        <v>Yogyakarta</v>
      </c>
      <c r="H808" s="10" t="str">
        <f>VLOOKUP(A808,Master_Produk!$A$1:$E$16,2,FALSE)</f>
        <v>Laptop Ultrabook 14"</v>
      </c>
      <c r="I808" s="10" t="str">
        <f>INDEX(Master_Produk!$C$1:$C$16,MATCH(Lembar_Kerja_Analisis!A808,Master_Produk!$A$1:$A$16,0))</f>
        <v>Elektronik</v>
      </c>
      <c r="J808" s="19">
        <f>_xlfn.XLOOKUP(A808,Master_Produk!$A$1:$A$16,Master_Produk!$D$1:$D$16,,0)</f>
        <v>8500000</v>
      </c>
      <c r="K808" s="19">
        <f>INDEX(Master_Produk!$E$1:$E$16,MATCH(Lembar_Kerja_Analisis!A808,Master_Produk!$A$1:$A$16,0))</f>
        <v>7200000</v>
      </c>
      <c r="L808" s="8">
        <v>12</v>
      </c>
      <c r="M808" s="19">
        <f t="shared" si="60"/>
        <v>102000000</v>
      </c>
      <c r="N808" s="9">
        <v>0.05</v>
      </c>
      <c r="O808" s="19">
        <f t="shared" si="61"/>
        <v>5100000</v>
      </c>
      <c r="P808" s="19">
        <f t="shared" si="62"/>
        <v>96900000</v>
      </c>
      <c r="Q808" s="19">
        <f t="shared" si="63"/>
        <v>86400000</v>
      </c>
      <c r="R808" s="19">
        <f t="shared" si="64"/>
        <v>10500000</v>
      </c>
    </row>
    <row r="809" spans="1:18" x14ac:dyDescent="0.25">
      <c r="A809" t="str">
        <f>_xlfn.XLOOKUP(C809,Raw_Data_Transaksi!$A$1:$A$1001,Raw_Data_Transaksi!$D$1:$D$1001,,0)</f>
        <v>PRD-101</v>
      </c>
      <c r="B809" t="str">
        <f>_xlfn.XLOOKUP(C809,Raw_Data_Transaksi!$A$1:$A$1001,Raw_Data_Transaksi!$C$1:$C$1001,,0)</f>
        <v>SLS-08</v>
      </c>
      <c r="C809" s="6" t="s">
        <v>893</v>
      </c>
      <c r="D809" s="7">
        <v>45675</v>
      </c>
      <c r="E809" s="10" t="str">
        <f>VLOOKUP(B809,Master_Sales!$A$1:$D$9,2,FALSE)</f>
        <v>Hendra Wijaya</v>
      </c>
      <c r="F809" s="10" t="str">
        <f>INDEX(Master_Sales!$D$1:$D$9,MATCH(Lembar_Kerja_Analisis!B809,Master_Sales!$A$1:$A$9,0))</f>
        <v>Tengah</v>
      </c>
      <c r="G809" s="10" t="str">
        <f>INDEX(Master_Sales!$C$1:$C$9,MATCH(Lembar_Kerja_Analisis!B809,Master_Sales!$A$1:$A$9,0))</f>
        <v>Yogyakarta</v>
      </c>
      <c r="H809" s="10" t="str">
        <f>VLOOKUP(A809,Master_Produk!$A$1:$E$16,2,FALSE)</f>
        <v>Laptop Ultrabook 14"</v>
      </c>
      <c r="I809" s="10" t="str">
        <f>INDEX(Master_Produk!$C$1:$C$16,MATCH(Lembar_Kerja_Analisis!A809,Master_Produk!$A$1:$A$16,0))</f>
        <v>Elektronik</v>
      </c>
      <c r="J809" s="19">
        <f>_xlfn.XLOOKUP(A809,Master_Produk!$A$1:$A$16,Master_Produk!$D$1:$D$16,,0)</f>
        <v>8500000</v>
      </c>
      <c r="K809" s="19">
        <f>INDEX(Master_Produk!$E$1:$E$16,MATCH(Lembar_Kerja_Analisis!A809,Master_Produk!$A$1:$A$16,0))</f>
        <v>7200000</v>
      </c>
      <c r="L809" s="8">
        <v>12</v>
      </c>
      <c r="M809" s="19">
        <f t="shared" si="60"/>
        <v>102000000</v>
      </c>
      <c r="N809" s="9">
        <v>0.1</v>
      </c>
      <c r="O809" s="19">
        <f t="shared" si="61"/>
        <v>10200000</v>
      </c>
      <c r="P809" s="19">
        <f t="shared" si="62"/>
        <v>91800000</v>
      </c>
      <c r="Q809" s="19">
        <f t="shared" si="63"/>
        <v>86400000</v>
      </c>
      <c r="R809" s="19">
        <f t="shared" si="64"/>
        <v>5400000</v>
      </c>
    </row>
    <row r="810" spans="1:18" x14ac:dyDescent="0.25">
      <c r="A810" t="str">
        <f>_xlfn.XLOOKUP(C810,Raw_Data_Transaksi!$A$1:$A$1001,Raw_Data_Transaksi!$D$1:$D$1001,,0)</f>
        <v>PRD-102</v>
      </c>
      <c r="B810" t="str">
        <f>_xlfn.XLOOKUP(C810,Raw_Data_Transaksi!$A$1:$A$1001,Raw_Data_Transaksi!$C$1:$C$1001,,0)</f>
        <v>SLS-03</v>
      </c>
      <c r="C810" s="6" t="s">
        <v>894</v>
      </c>
      <c r="D810" s="7">
        <v>46011</v>
      </c>
      <c r="E810" s="10" t="str">
        <f>VLOOKUP(B810,Master_Sales!$A$1:$D$9,2,FALSE)</f>
        <v>Citra Lestari</v>
      </c>
      <c r="F810" s="10" t="str">
        <f>INDEX(Master_Sales!$D$1:$D$9,MATCH(Lembar_Kerja_Analisis!B810,Master_Sales!$A$1:$A$9,0))</f>
        <v>Barat</v>
      </c>
      <c r="G810" s="10" t="str">
        <f>INDEX(Master_Sales!$C$1:$C$9,MATCH(Lembar_Kerja_Analisis!B810,Master_Sales!$A$1:$A$9,0))</f>
        <v>Bandung</v>
      </c>
      <c r="H810" s="10" t="str">
        <f>VLOOKUP(A810,Master_Produk!$A$1:$E$16,2,FALSE)</f>
        <v>Wireless Mouse Ergonomic</v>
      </c>
      <c r="I810" s="10" t="str">
        <f>INDEX(Master_Produk!$C$1:$C$16,MATCH(Lembar_Kerja_Analisis!A810,Master_Produk!$A$1:$A$16,0))</f>
        <v>Elektronik</v>
      </c>
      <c r="J810" s="19">
        <f>_xlfn.XLOOKUP(A810,Master_Produk!$A$1:$A$16,Master_Produk!$D$1:$D$16,,0)</f>
        <v>250000</v>
      </c>
      <c r="K810" s="19">
        <f>INDEX(Master_Produk!$E$1:$E$16,MATCH(Lembar_Kerja_Analisis!A810,Master_Produk!$A$1:$A$16,0))</f>
        <v>160000</v>
      </c>
      <c r="L810" s="8">
        <v>12</v>
      </c>
      <c r="M810" s="19">
        <f t="shared" si="60"/>
        <v>3000000</v>
      </c>
      <c r="N810" s="9">
        <v>0.2</v>
      </c>
      <c r="O810" s="19">
        <f t="shared" si="61"/>
        <v>600000</v>
      </c>
      <c r="P810" s="19">
        <f t="shared" si="62"/>
        <v>2400000</v>
      </c>
      <c r="Q810" s="19">
        <f t="shared" si="63"/>
        <v>1920000</v>
      </c>
      <c r="R810" s="19">
        <f t="shared" si="64"/>
        <v>480000</v>
      </c>
    </row>
    <row r="811" spans="1:18" x14ac:dyDescent="0.25">
      <c r="A811" t="str">
        <f>_xlfn.XLOOKUP(C811,Raw_Data_Transaksi!$A$1:$A$1001,Raw_Data_Transaksi!$D$1:$D$1001,,0)</f>
        <v>PRD-115</v>
      </c>
      <c r="B811" t="str">
        <f>_xlfn.XLOOKUP(C811,Raw_Data_Transaksi!$A$1:$A$1001,Raw_Data_Transaksi!$C$1:$C$1001,,0)</f>
        <v>SLS-02</v>
      </c>
      <c r="C811" s="6" t="s">
        <v>895</v>
      </c>
      <c r="D811" s="7">
        <v>45925</v>
      </c>
      <c r="E811" s="10" t="str">
        <f>VLOOKUP(B811,Master_Sales!$A$1:$D$9,2,FALSE)</f>
        <v>Budi Santoso</v>
      </c>
      <c r="F811" s="10" t="str">
        <f>INDEX(Master_Sales!$D$1:$D$9,MATCH(Lembar_Kerja_Analisis!B811,Master_Sales!$A$1:$A$9,0))</f>
        <v>Timur</v>
      </c>
      <c r="G811" s="10" t="str">
        <f>INDEX(Master_Sales!$C$1:$C$9,MATCH(Lembar_Kerja_Analisis!B811,Master_Sales!$A$1:$A$9,0))</f>
        <v>Surabaya</v>
      </c>
      <c r="H811" s="10" t="str">
        <f>VLOOKUP(A811,Master_Produk!$A$1:$E$16,2,FALSE)</f>
        <v>Set Pisau Dapur Stainless</v>
      </c>
      <c r="I811" s="10" t="str">
        <f>INDEX(Master_Produk!$C$1:$C$16,MATCH(Lembar_Kerja_Analisis!A811,Master_Produk!$A$1:$A$16,0))</f>
        <v>Peralatan Rumah</v>
      </c>
      <c r="J811" s="19">
        <f>_xlfn.XLOOKUP(A811,Master_Produk!$A$1:$A$16,Master_Produk!$D$1:$D$16,,0)</f>
        <v>165000</v>
      </c>
      <c r="K811" s="19">
        <f>INDEX(Master_Produk!$E$1:$E$16,MATCH(Lembar_Kerja_Analisis!A811,Master_Produk!$A$1:$A$16,0))</f>
        <v>105000</v>
      </c>
      <c r="L811" s="8">
        <v>4</v>
      </c>
      <c r="M811" s="19">
        <f t="shared" si="60"/>
        <v>660000</v>
      </c>
      <c r="N811" s="9">
        <v>0.15</v>
      </c>
      <c r="O811" s="19">
        <f t="shared" si="61"/>
        <v>99000</v>
      </c>
      <c r="P811" s="19">
        <f t="shared" si="62"/>
        <v>561000</v>
      </c>
      <c r="Q811" s="19">
        <f t="shared" si="63"/>
        <v>420000</v>
      </c>
      <c r="R811" s="19">
        <f t="shared" si="64"/>
        <v>141000</v>
      </c>
    </row>
    <row r="812" spans="1:18" x14ac:dyDescent="0.25">
      <c r="A812" t="str">
        <f>_xlfn.XLOOKUP(C812,Raw_Data_Transaksi!$A$1:$A$1001,Raw_Data_Transaksi!$D$1:$D$1001,,0)</f>
        <v>PRD-101</v>
      </c>
      <c r="B812" t="str">
        <f>_xlfn.XLOOKUP(C812,Raw_Data_Transaksi!$A$1:$A$1001,Raw_Data_Transaksi!$C$1:$C$1001,,0)</f>
        <v>SLS-06</v>
      </c>
      <c r="C812" s="6" t="s">
        <v>896</v>
      </c>
      <c r="D812" s="7">
        <v>45971</v>
      </c>
      <c r="E812" s="10" t="str">
        <f>VLOOKUP(B812,Master_Sales!$A$1:$D$9,2,FALSE)</f>
        <v>Fajar Nugraha</v>
      </c>
      <c r="F812" s="10" t="str">
        <f>INDEX(Master_Sales!$D$1:$D$9,MATCH(Lembar_Kerja_Analisis!B812,Master_Sales!$A$1:$A$9,0))</f>
        <v>Timur</v>
      </c>
      <c r="G812" s="10" t="str">
        <f>INDEX(Master_Sales!$C$1:$C$9,MATCH(Lembar_Kerja_Analisis!B812,Master_Sales!$A$1:$A$9,0))</f>
        <v>Makassar</v>
      </c>
      <c r="H812" s="10" t="str">
        <f>VLOOKUP(A812,Master_Produk!$A$1:$E$16,2,FALSE)</f>
        <v>Laptop Ultrabook 14"</v>
      </c>
      <c r="I812" s="10" t="str">
        <f>INDEX(Master_Produk!$C$1:$C$16,MATCH(Lembar_Kerja_Analisis!A812,Master_Produk!$A$1:$A$16,0))</f>
        <v>Elektronik</v>
      </c>
      <c r="J812" s="19">
        <f>_xlfn.XLOOKUP(A812,Master_Produk!$A$1:$A$16,Master_Produk!$D$1:$D$16,,0)</f>
        <v>8500000</v>
      </c>
      <c r="K812" s="19">
        <f>INDEX(Master_Produk!$E$1:$E$16,MATCH(Lembar_Kerja_Analisis!A812,Master_Produk!$A$1:$A$16,0))</f>
        <v>7200000</v>
      </c>
      <c r="L812" s="8">
        <v>9</v>
      </c>
      <c r="M812" s="19">
        <f t="shared" si="60"/>
        <v>76500000</v>
      </c>
      <c r="N812" s="9">
        <v>0</v>
      </c>
      <c r="O812" s="19">
        <f t="shared" si="61"/>
        <v>0</v>
      </c>
      <c r="P812" s="19">
        <f t="shared" si="62"/>
        <v>76500000</v>
      </c>
      <c r="Q812" s="19">
        <f t="shared" si="63"/>
        <v>64800000</v>
      </c>
      <c r="R812" s="19">
        <f t="shared" si="64"/>
        <v>11700000</v>
      </c>
    </row>
    <row r="813" spans="1:18" x14ac:dyDescent="0.25">
      <c r="A813" t="str">
        <f>_xlfn.XLOOKUP(C813,Raw_Data_Transaksi!$A$1:$A$1001,Raw_Data_Transaksi!$D$1:$D$1001,,0)</f>
        <v>PRD-112</v>
      </c>
      <c r="B813" t="str">
        <f>_xlfn.XLOOKUP(C813,Raw_Data_Transaksi!$A$1:$A$1001,Raw_Data_Transaksi!$C$1:$C$1001,,0)</f>
        <v>SLS-06</v>
      </c>
      <c r="C813" s="6" t="s">
        <v>897</v>
      </c>
      <c r="D813" s="7">
        <v>45951</v>
      </c>
      <c r="E813" s="10" t="str">
        <f>VLOOKUP(B813,Master_Sales!$A$1:$D$9,2,FALSE)</f>
        <v>Fajar Nugraha</v>
      </c>
      <c r="F813" s="10" t="str">
        <f>INDEX(Master_Sales!$D$1:$D$9,MATCH(Lembar_Kerja_Analisis!B813,Master_Sales!$A$1:$A$9,0))</f>
        <v>Timur</v>
      </c>
      <c r="G813" s="10" t="str">
        <f>INDEX(Master_Sales!$C$1:$C$9,MATCH(Lembar_Kerja_Analisis!B813,Master_Sales!$A$1:$A$9,0))</f>
        <v>Makassar</v>
      </c>
      <c r="H813" s="10" t="str">
        <f>VLOOKUP(A813,Master_Produk!$A$1:$E$16,2,FALSE)</f>
        <v>Susu UHT Full Cream 1L</v>
      </c>
      <c r="I813" s="10" t="str">
        <f>INDEX(Master_Produk!$C$1:$C$16,MATCH(Lembar_Kerja_Analisis!A813,Master_Produk!$A$1:$A$16,0))</f>
        <v>F&amp;B</v>
      </c>
      <c r="J813" s="19">
        <f>_xlfn.XLOOKUP(A813,Master_Produk!$A$1:$A$16,Master_Produk!$D$1:$D$16,,0)</f>
        <v>22000</v>
      </c>
      <c r="K813" s="19">
        <f>INDEX(Master_Produk!$E$1:$E$16,MATCH(Lembar_Kerja_Analisis!A813,Master_Produk!$A$1:$A$16,0))</f>
        <v>18000</v>
      </c>
      <c r="L813" s="8">
        <v>14</v>
      </c>
      <c r="M813" s="19">
        <f t="shared" si="60"/>
        <v>308000</v>
      </c>
      <c r="N813" s="9">
        <v>0.1</v>
      </c>
      <c r="O813" s="19">
        <f t="shared" si="61"/>
        <v>30800</v>
      </c>
      <c r="P813" s="19">
        <f t="shared" si="62"/>
        <v>277200</v>
      </c>
      <c r="Q813" s="19">
        <f t="shared" si="63"/>
        <v>252000</v>
      </c>
      <c r="R813" s="19">
        <f t="shared" si="64"/>
        <v>25200</v>
      </c>
    </row>
    <row r="814" spans="1:18" x14ac:dyDescent="0.25">
      <c r="A814" t="str">
        <f>_xlfn.XLOOKUP(C814,Raw_Data_Transaksi!$A$1:$A$1001,Raw_Data_Transaksi!$D$1:$D$1001,,0)</f>
        <v>PRD-115</v>
      </c>
      <c r="B814" t="str">
        <f>_xlfn.XLOOKUP(C814,Raw_Data_Transaksi!$A$1:$A$1001,Raw_Data_Transaksi!$C$1:$C$1001,,0)</f>
        <v>SLS-05</v>
      </c>
      <c r="C814" s="6" t="s">
        <v>898</v>
      </c>
      <c r="D814" s="7">
        <v>46013</v>
      </c>
      <c r="E814" s="10" t="str">
        <f>VLOOKUP(B814,Master_Sales!$A$1:$D$9,2,FALSE)</f>
        <v>Eko Prasetyo</v>
      </c>
      <c r="F814" s="10" t="str">
        <f>INDEX(Master_Sales!$D$1:$D$9,MATCH(Lembar_Kerja_Analisis!B814,Master_Sales!$A$1:$A$9,0))</f>
        <v>Tengah</v>
      </c>
      <c r="G814" s="10" t="str">
        <f>INDEX(Master_Sales!$C$1:$C$9,MATCH(Lembar_Kerja_Analisis!B814,Master_Sales!$A$1:$A$9,0))</f>
        <v>Semarang</v>
      </c>
      <c r="H814" s="10" t="str">
        <f>VLOOKUP(A814,Master_Produk!$A$1:$E$16,2,FALSE)</f>
        <v>Set Pisau Dapur Stainless</v>
      </c>
      <c r="I814" s="10" t="str">
        <f>INDEX(Master_Produk!$C$1:$C$16,MATCH(Lembar_Kerja_Analisis!A814,Master_Produk!$A$1:$A$16,0))</f>
        <v>Peralatan Rumah</v>
      </c>
      <c r="J814" s="19">
        <f>_xlfn.XLOOKUP(A814,Master_Produk!$A$1:$A$16,Master_Produk!$D$1:$D$16,,0)</f>
        <v>165000</v>
      </c>
      <c r="K814" s="19">
        <f>INDEX(Master_Produk!$E$1:$E$16,MATCH(Lembar_Kerja_Analisis!A814,Master_Produk!$A$1:$A$16,0))</f>
        <v>105000</v>
      </c>
      <c r="L814" s="8">
        <v>12</v>
      </c>
      <c r="M814" s="19">
        <f t="shared" si="60"/>
        <v>1980000</v>
      </c>
      <c r="N814" s="9">
        <v>0.2</v>
      </c>
      <c r="O814" s="19">
        <f t="shared" si="61"/>
        <v>396000</v>
      </c>
      <c r="P814" s="19">
        <f t="shared" si="62"/>
        <v>1584000</v>
      </c>
      <c r="Q814" s="19">
        <f t="shared" si="63"/>
        <v>1260000</v>
      </c>
      <c r="R814" s="19">
        <f t="shared" si="64"/>
        <v>324000</v>
      </c>
    </row>
    <row r="815" spans="1:18" x14ac:dyDescent="0.25">
      <c r="A815" t="str">
        <f>_xlfn.XLOOKUP(C815,Raw_Data_Transaksi!$A$1:$A$1001,Raw_Data_Transaksi!$D$1:$D$1001,,0)</f>
        <v>PRD-103</v>
      </c>
      <c r="B815" t="str">
        <f>_xlfn.XLOOKUP(C815,Raw_Data_Transaksi!$A$1:$A$1001,Raw_Data_Transaksi!$C$1:$C$1001,,0)</f>
        <v>SLS-01</v>
      </c>
      <c r="C815" s="6" t="s">
        <v>899</v>
      </c>
      <c r="D815" s="7">
        <v>45954</v>
      </c>
      <c r="E815" s="10" t="str">
        <f>VLOOKUP(B815,Master_Sales!$A$1:$D$9,2,FALSE)</f>
        <v>Andi Pratama</v>
      </c>
      <c r="F815" s="10" t="str">
        <f>INDEX(Master_Sales!$D$1:$D$9,MATCH(Lembar_Kerja_Analisis!B815,Master_Sales!$A$1:$A$9,0))</f>
        <v>Barat</v>
      </c>
      <c r="G815" s="10" t="str">
        <f>INDEX(Master_Sales!$C$1:$C$9,MATCH(Lembar_Kerja_Analisis!B815,Master_Sales!$A$1:$A$9,0))</f>
        <v>Jakarta</v>
      </c>
      <c r="H815" s="10" t="str">
        <f>VLOOKUP(A815,Master_Produk!$A$1:$E$16,2,FALSE)</f>
        <v>Mechanical Keyboard RGB</v>
      </c>
      <c r="I815" s="10" t="str">
        <f>INDEX(Master_Produk!$C$1:$C$16,MATCH(Lembar_Kerja_Analisis!A815,Master_Produk!$A$1:$A$16,0))</f>
        <v>Elektronik</v>
      </c>
      <c r="J815" s="19">
        <f>_xlfn.XLOOKUP(A815,Master_Produk!$A$1:$A$16,Master_Produk!$D$1:$D$16,,0)</f>
        <v>750000</v>
      </c>
      <c r="K815" s="19">
        <f>INDEX(Master_Produk!$E$1:$E$16,MATCH(Lembar_Kerja_Analisis!A815,Master_Produk!$A$1:$A$16,0))</f>
        <v>520000</v>
      </c>
      <c r="L815" s="8">
        <v>11</v>
      </c>
      <c r="M815" s="19">
        <f t="shared" si="60"/>
        <v>8250000</v>
      </c>
      <c r="N815" s="9">
        <v>0.1</v>
      </c>
      <c r="O815" s="19">
        <f t="shared" si="61"/>
        <v>825000</v>
      </c>
      <c r="P815" s="19">
        <f t="shared" si="62"/>
        <v>7425000</v>
      </c>
      <c r="Q815" s="19">
        <f t="shared" si="63"/>
        <v>5720000</v>
      </c>
      <c r="R815" s="19">
        <f t="shared" si="64"/>
        <v>1705000</v>
      </c>
    </row>
    <row r="816" spans="1:18" x14ac:dyDescent="0.25">
      <c r="A816" t="str">
        <f>_xlfn.XLOOKUP(C816,Raw_Data_Transaksi!$A$1:$A$1001,Raw_Data_Transaksi!$D$1:$D$1001,,0)</f>
        <v>PRD-103</v>
      </c>
      <c r="B816" t="str">
        <f>_xlfn.XLOOKUP(C816,Raw_Data_Transaksi!$A$1:$A$1001,Raw_Data_Transaksi!$C$1:$C$1001,,0)</f>
        <v>SLS-02</v>
      </c>
      <c r="C816" s="6" t="s">
        <v>900</v>
      </c>
      <c r="D816" s="7">
        <v>45700</v>
      </c>
      <c r="E816" s="10" t="str">
        <f>VLOOKUP(B816,Master_Sales!$A$1:$D$9,2,FALSE)</f>
        <v>Budi Santoso</v>
      </c>
      <c r="F816" s="10" t="str">
        <f>INDEX(Master_Sales!$D$1:$D$9,MATCH(Lembar_Kerja_Analisis!B816,Master_Sales!$A$1:$A$9,0))</f>
        <v>Timur</v>
      </c>
      <c r="G816" s="10" t="str">
        <f>INDEX(Master_Sales!$C$1:$C$9,MATCH(Lembar_Kerja_Analisis!B816,Master_Sales!$A$1:$A$9,0))</f>
        <v>Surabaya</v>
      </c>
      <c r="H816" s="10" t="str">
        <f>VLOOKUP(A816,Master_Produk!$A$1:$E$16,2,FALSE)</f>
        <v>Mechanical Keyboard RGB</v>
      </c>
      <c r="I816" s="10" t="str">
        <f>INDEX(Master_Produk!$C$1:$C$16,MATCH(Lembar_Kerja_Analisis!A816,Master_Produk!$A$1:$A$16,0))</f>
        <v>Elektronik</v>
      </c>
      <c r="J816" s="19">
        <f>_xlfn.XLOOKUP(A816,Master_Produk!$A$1:$A$16,Master_Produk!$D$1:$D$16,,0)</f>
        <v>750000</v>
      </c>
      <c r="K816" s="19">
        <f>INDEX(Master_Produk!$E$1:$E$16,MATCH(Lembar_Kerja_Analisis!A816,Master_Produk!$A$1:$A$16,0))</f>
        <v>520000</v>
      </c>
      <c r="L816" s="8">
        <v>5</v>
      </c>
      <c r="M816" s="19">
        <f t="shared" si="60"/>
        <v>3750000</v>
      </c>
      <c r="N816" s="9">
        <v>0.1</v>
      </c>
      <c r="O816" s="19">
        <f t="shared" si="61"/>
        <v>375000</v>
      </c>
      <c r="P816" s="19">
        <f t="shared" si="62"/>
        <v>3375000</v>
      </c>
      <c r="Q816" s="19">
        <f t="shared" si="63"/>
        <v>2600000</v>
      </c>
      <c r="R816" s="19">
        <f t="shared" si="64"/>
        <v>775000</v>
      </c>
    </row>
    <row r="817" spans="1:18" x14ac:dyDescent="0.25">
      <c r="A817" t="str">
        <f>_xlfn.XLOOKUP(C817,Raw_Data_Transaksi!$A$1:$A$1001,Raw_Data_Transaksi!$D$1:$D$1001,,0)</f>
        <v>PRD-114</v>
      </c>
      <c r="B817" t="str">
        <f>_xlfn.XLOOKUP(C817,Raw_Data_Transaksi!$A$1:$A$1001,Raw_Data_Transaksi!$C$1:$C$1001,,0)</f>
        <v>SLS-05</v>
      </c>
      <c r="C817" s="6" t="s">
        <v>901</v>
      </c>
      <c r="D817" s="7">
        <v>45798</v>
      </c>
      <c r="E817" s="10" t="str">
        <f>VLOOKUP(B817,Master_Sales!$A$1:$D$9,2,FALSE)</f>
        <v>Eko Prasetyo</v>
      </c>
      <c r="F817" s="10" t="str">
        <f>INDEX(Master_Sales!$D$1:$D$9,MATCH(Lembar_Kerja_Analisis!B817,Master_Sales!$A$1:$A$9,0))</f>
        <v>Tengah</v>
      </c>
      <c r="G817" s="10" t="str">
        <f>INDEX(Master_Sales!$C$1:$C$9,MATCH(Lembar_Kerja_Analisis!B817,Master_Sales!$A$1:$A$9,0))</f>
        <v>Semarang</v>
      </c>
      <c r="H817" s="10" t="str">
        <f>VLOOKUP(A817,Master_Produk!$A$1:$E$16,2,FALSE)</f>
        <v>Blender Multifungsi 2-in-1</v>
      </c>
      <c r="I817" s="10" t="str">
        <f>INDEX(Master_Produk!$C$1:$C$16,MATCH(Lembar_Kerja_Analisis!A817,Master_Produk!$A$1:$A$16,0))</f>
        <v>Peralatan Rumah</v>
      </c>
      <c r="J817" s="19">
        <f>_xlfn.XLOOKUP(A817,Master_Produk!$A$1:$A$16,Master_Produk!$D$1:$D$16,,0)</f>
        <v>340000</v>
      </c>
      <c r="K817" s="19">
        <f>INDEX(Master_Produk!$E$1:$E$16,MATCH(Lembar_Kerja_Analisis!A817,Master_Produk!$A$1:$A$16,0))</f>
        <v>240000</v>
      </c>
      <c r="L817" s="8">
        <v>1</v>
      </c>
      <c r="M817" s="19">
        <f t="shared" si="60"/>
        <v>340000</v>
      </c>
      <c r="N817" s="9">
        <v>0</v>
      </c>
      <c r="O817" s="19">
        <f t="shared" si="61"/>
        <v>0</v>
      </c>
      <c r="P817" s="19">
        <f t="shared" si="62"/>
        <v>340000</v>
      </c>
      <c r="Q817" s="19">
        <f t="shared" si="63"/>
        <v>240000</v>
      </c>
      <c r="R817" s="19">
        <f t="shared" si="64"/>
        <v>100000</v>
      </c>
    </row>
    <row r="818" spans="1:18" x14ac:dyDescent="0.25">
      <c r="A818" t="str">
        <f>_xlfn.XLOOKUP(C818,Raw_Data_Transaksi!$A$1:$A$1001,Raw_Data_Transaksi!$D$1:$D$1001,,0)</f>
        <v>PRD-108</v>
      </c>
      <c r="B818" t="str">
        <f>_xlfn.XLOOKUP(C818,Raw_Data_Transaksi!$A$1:$A$1001,Raw_Data_Transaksi!$C$1:$C$1001,,0)</f>
        <v>SLS-06</v>
      </c>
      <c r="C818" s="6" t="s">
        <v>902</v>
      </c>
      <c r="D818" s="7">
        <v>45995</v>
      </c>
      <c r="E818" s="10" t="str">
        <f>VLOOKUP(B818,Master_Sales!$A$1:$D$9,2,FALSE)</f>
        <v>Fajar Nugraha</v>
      </c>
      <c r="F818" s="10" t="str">
        <f>INDEX(Master_Sales!$D$1:$D$9,MATCH(Lembar_Kerja_Analisis!B818,Master_Sales!$A$1:$A$9,0))</f>
        <v>Timur</v>
      </c>
      <c r="G818" s="10" t="str">
        <f>INDEX(Master_Sales!$C$1:$C$9,MATCH(Lembar_Kerja_Analisis!B818,Master_Sales!$A$1:$A$9,0))</f>
        <v>Makassar</v>
      </c>
      <c r="H818" s="10" t="str">
        <f>VLOOKUP(A818,Master_Produk!$A$1:$E$16,2,FALSE)</f>
        <v>Sepatu Sneakers Pria/Wanita</v>
      </c>
      <c r="I818" s="10" t="str">
        <f>INDEX(Master_Produk!$C$1:$C$16,MATCH(Lembar_Kerja_Analisis!A818,Master_Produk!$A$1:$A$16,0))</f>
        <v>Fashion</v>
      </c>
      <c r="J818" s="19">
        <f>_xlfn.XLOOKUP(A818,Master_Produk!$A$1:$A$16,Master_Produk!$D$1:$D$16,,0)</f>
        <v>450000</v>
      </c>
      <c r="K818" s="19">
        <f>INDEX(Master_Produk!$E$1:$E$16,MATCH(Lembar_Kerja_Analisis!A818,Master_Produk!$A$1:$A$16,0))</f>
        <v>290000</v>
      </c>
      <c r="L818" s="8">
        <v>3</v>
      </c>
      <c r="M818" s="19">
        <f t="shared" si="60"/>
        <v>1350000</v>
      </c>
      <c r="N818" s="9">
        <v>0.1</v>
      </c>
      <c r="O818" s="19">
        <f t="shared" si="61"/>
        <v>135000</v>
      </c>
      <c r="P818" s="19">
        <f t="shared" si="62"/>
        <v>1215000</v>
      </c>
      <c r="Q818" s="19">
        <f t="shared" si="63"/>
        <v>870000</v>
      </c>
      <c r="R818" s="19">
        <f t="shared" si="64"/>
        <v>345000</v>
      </c>
    </row>
    <row r="819" spans="1:18" x14ac:dyDescent="0.25">
      <c r="A819" t="str">
        <f>_xlfn.XLOOKUP(C819,Raw_Data_Transaksi!$A$1:$A$1001,Raw_Data_Transaksi!$D$1:$D$1001,,0)</f>
        <v>PRD-114</v>
      </c>
      <c r="B819" t="str">
        <f>_xlfn.XLOOKUP(C819,Raw_Data_Transaksi!$A$1:$A$1001,Raw_Data_Transaksi!$C$1:$C$1001,,0)</f>
        <v>SLS-01</v>
      </c>
      <c r="C819" s="6" t="s">
        <v>903</v>
      </c>
      <c r="D819" s="7">
        <v>45928</v>
      </c>
      <c r="E819" s="10" t="str">
        <f>VLOOKUP(B819,Master_Sales!$A$1:$D$9,2,FALSE)</f>
        <v>Andi Pratama</v>
      </c>
      <c r="F819" s="10" t="str">
        <f>INDEX(Master_Sales!$D$1:$D$9,MATCH(Lembar_Kerja_Analisis!B819,Master_Sales!$A$1:$A$9,0))</f>
        <v>Barat</v>
      </c>
      <c r="G819" s="10" t="str">
        <f>INDEX(Master_Sales!$C$1:$C$9,MATCH(Lembar_Kerja_Analisis!B819,Master_Sales!$A$1:$A$9,0))</f>
        <v>Jakarta</v>
      </c>
      <c r="H819" s="10" t="str">
        <f>VLOOKUP(A819,Master_Produk!$A$1:$E$16,2,FALSE)</f>
        <v>Blender Multifungsi 2-in-1</v>
      </c>
      <c r="I819" s="10" t="str">
        <f>INDEX(Master_Produk!$C$1:$C$16,MATCH(Lembar_Kerja_Analisis!A819,Master_Produk!$A$1:$A$16,0))</f>
        <v>Peralatan Rumah</v>
      </c>
      <c r="J819" s="19">
        <f>_xlfn.XLOOKUP(A819,Master_Produk!$A$1:$A$16,Master_Produk!$D$1:$D$16,,0)</f>
        <v>340000</v>
      </c>
      <c r="K819" s="19">
        <f>INDEX(Master_Produk!$E$1:$E$16,MATCH(Lembar_Kerja_Analisis!A819,Master_Produk!$A$1:$A$16,0))</f>
        <v>240000</v>
      </c>
      <c r="L819" s="8">
        <v>6</v>
      </c>
      <c r="M819" s="19">
        <f t="shared" si="60"/>
        <v>2040000</v>
      </c>
      <c r="N819" s="9">
        <v>0</v>
      </c>
      <c r="O819" s="19">
        <f t="shared" si="61"/>
        <v>0</v>
      </c>
      <c r="P819" s="19">
        <f t="shared" si="62"/>
        <v>2040000</v>
      </c>
      <c r="Q819" s="19">
        <f t="shared" si="63"/>
        <v>1440000</v>
      </c>
      <c r="R819" s="19">
        <f t="shared" si="64"/>
        <v>600000</v>
      </c>
    </row>
    <row r="820" spans="1:18" x14ac:dyDescent="0.25">
      <c r="A820" t="str">
        <f>_xlfn.XLOOKUP(C820,Raw_Data_Transaksi!$A$1:$A$1001,Raw_Data_Transaksi!$D$1:$D$1001,,0)</f>
        <v>PRD-113</v>
      </c>
      <c r="B820" t="str">
        <f>_xlfn.XLOOKUP(C820,Raw_Data_Transaksi!$A$1:$A$1001,Raw_Data_Transaksi!$C$1:$C$1001,,0)</f>
        <v>SLS-07</v>
      </c>
      <c r="C820" s="6" t="s">
        <v>904</v>
      </c>
      <c r="D820" s="7">
        <v>45911</v>
      </c>
      <c r="E820" s="10" t="str">
        <f>VLOOKUP(B820,Master_Sales!$A$1:$D$9,2,FALSE)</f>
        <v>Gita Permata</v>
      </c>
      <c r="F820" s="10" t="str">
        <f>INDEX(Master_Sales!$D$1:$D$9,MATCH(Lembar_Kerja_Analisis!B820,Master_Sales!$A$1:$A$9,0))</f>
        <v>Tengah</v>
      </c>
      <c r="G820" s="10" t="str">
        <f>INDEX(Master_Sales!$C$1:$C$9,MATCH(Lembar_Kerja_Analisis!B820,Master_Sales!$A$1:$A$9,0))</f>
        <v>Denpasar</v>
      </c>
      <c r="H820" s="10" t="str">
        <f>VLOOKUP(A820,Master_Produk!$A$1:$E$16,2,FALSE)</f>
        <v>Wajan Anti Lengket 28cm</v>
      </c>
      <c r="I820" s="10" t="str">
        <f>INDEX(Master_Produk!$C$1:$C$16,MATCH(Lembar_Kerja_Analisis!A820,Master_Produk!$A$1:$A$16,0))</f>
        <v>Peralatan Rumah</v>
      </c>
      <c r="J820" s="19">
        <f>_xlfn.XLOOKUP(A820,Master_Produk!$A$1:$A$16,Master_Produk!$D$1:$D$16,,0)</f>
        <v>210000</v>
      </c>
      <c r="K820" s="19">
        <f>INDEX(Master_Produk!$E$1:$E$16,MATCH(Lembar_Kerja_Analisis!A820,Master_Produk!$A$1:$A$16,0))</f>
        <v>140000</v>
      </c>
      <c r="L820" s="8">
        <v>7</v>
      </c>
      <c r="M820" s="19">
        <f t="shared" si="60"/>
        <v>1470000</v>
      </c>
      <c r="N820" s="9">
        <v>0.05</v>
      </c>
      <c r="O820" s="19">
        <f t="shared" si="61"/>
        <v>73500</v>
      </c>
      <c r="P820" s="19">
        <f t="shared" si="62"/>
        <v>1396500</v>
      </c>
      <c r="Q820" s="19">
        <f t="shared" si="63"/>
        <v>980000</v>
      </c>
      <c r="R820" s="19">
        <f t="shared" si="64"/>
        <v>416500</v>
      </c>
    </row>
    <row r="821" spans="1:18" x14ac:dyDescent="0.25">
      <c r="A821" t="str">
        <f>_xlfn.XLOOKUP(C821,Raw_Data_Transaksi!$A$1:$A$1001,Raw_Data_Transaksi!$D$1:$D$1001,,0)</f>
        <v>PRD-110</v>
      </c>
      <c r="B821" t="str">
        <f>_xlfn.XLOOKUP(C821,Raw_Data_Transaksi!$A$1:$A$1001,Raw_Data_Transaksi!$C$1:$C$1001,,0)</f>
        <v>SLS-06</v>
      </c>
      <c r="C821" s="6" t="s">
        <v>905</v>
      </c>
      <c r="D821" s="7">
        <v>45765</v>
      </c>
      <c r="E821" s="10" t="str">
        <f>VLOOKUP(B821,Master_Sales!$A$1:$D$9,2,FALSE)</f>
        <v>Fajar Nugraha</v>
      </c>
      <c r="F821" s="10" t="str">
        <f>INDEX(Master_Sales!$D$1:$D$9,MATCH(Lembar_Kerja_Analisis!B821,Master_Sales!$A$1:$A$9,0))</f>
        <v>Timur</v>
      </c>
      <c r="G821" s="10" t="str">
        <f>INDEX(Master_Sales!$C$1:$C$9,MATCH(Lembar_Kerja_Analisis!B821,Master_Sales!$A$1:$A$9,0))</f>
        <v>Makassar</v>
      </c>
      <c r="H821" s="10" t="str">
        <f>VLOOKUP(A821,Master_Produk!$A$1:$E$16,2,FALSE)</f>
        <v>Minyak Goreng Sawit 2L</v>
      </c>
      <c r="I821" s="10" t="str">
        <f>INDEX(Master_Produk!$C$1:$C$16,MATCH(Lembar_Kerja_Analisis!A821,Master_Produk!$A$1:$A$16,0))</f>
        <v>F&amp;B</v>
      </c>
      <c r="J821" s="19">
        <f>_xlfn.XLOOKUP(A821,Master_Produk!$A$1:$A$16,Master_Produk!$D$1:$D$16,,0)</f>
        <v>36000</v>
      </c>
      <c r="K821" s="19">
        <f>INDEX(Master_Produk!$E$1:$E$16,MATCH(Lembar_Kerja_Analisis!A821,Master_Produk!$A$1:$A$16,0))</f>
        <v>31000</v>
      </c>
      <c r="L821" s="8">
        <v>23</v>
      </c>
      <c r="M821" s="19">
        <f t="shared" si="60"/>
        <v>828000</v>
      </c>
      <c r="N821" s="9">
        <v>0.1</v>
      </c>
      <c r="O821" s="19">
        <f t="shared" si="61"/>
        <v>82800</v>
      </c>
      <c r="P821" s="19">
        <f t="shared" si="62"/>
        <v>745200</v>
      </c>
      <c r="Q821" s="19">
        <f t="shared" si="63"/>
        <v>713000</v>
      </c>
      <c r="R821" s="19">
        <f t="shared" si="64"/>
        <v>32200</v>
      </c>
    </row>
    <row r="822" spans="1:18" x14ac:dyDescent="0.25">
      <c r="A822" t="str">
        <f>_xlfn.XLOOKUP(C822,Raw_Data_Transaksi!$A$1:$A$1001,Raw_Data_Transaksi!$D$1:$D$1001,,0)</f>
        <v>PRD-107</v>
      </c>
      <c r="B822" t="str">
        <f>_xlfn.XLOOKUP(C822,Raw_Data_Transaksi!$A$1:$A$1001,Raw_Data_Transaksi!$C$1:$C$1001,,0)</f>
        <v>SLS-08</v>
      </c>
      <c r="C822" s="6" t="s">
        <v>906</v>
      </c>
      <c r="D822" s="7">
        <v>45895</v>
      </c>
      <c r="E822" s="10" t="str">
        <f>VLOOKUP(B822,Master_Sales!$A$1:$D$9,2,FALSE)</f>
        <v>Hendra Wijaya</v>
      </c>
      <c r="F822" s="10" t="str">
        <f>INDEX(Master_Sales!$D$1:$D$9,MATCH(Lembar_Kerja_Analisis!B822,Master_Sales!$A$1:$A$9,0))</f>
        <v>Tengah</v>
      </c>
      <c r="G822" s="10" t="str">
        <f>INDEX(Master_Sales!$C$1:$C$9,MATCH(Lembar_Kerja_Analisis!B822,Master_Sales!$A$1:$A$9,0))</f>
        <v>Yogyakarta</v>
      </c>
      <c r="H822" s="10" t="str">
        <f>VLOOKUP(A822,Master_Produk!$A$1:$E$16,2,FALSE)</f>
        <v>Jaket Hoodie Casual</v>
      </c>
      <c r="I822" s="10" t="str">
        <f>INDEX(Master_Produk!$C$1:$C$16,MATCH(Lembar_Kerja_Analisis!A822,Master_Produk!$A$1:$A$16,0))</f>
        <v>Fashion</v>
      </c>
      <c r="J822" s="19">
        <f>_xlfn.XLOOKUP(A822,Master_Produk!$A$1:$A$16,Master_Produk!$D$1:$D$16,,0)</f>
        <v>350000</v>
      </c>
      <c r="K822" s="19">
        <f>INDEX(Master_Produk!$E$1:$E$16,MATCH(Lembar_Kerja_Analisis!A822,Master_Produk!$A$1:$A$16,0))</f>
        <v>220000</v>
      </c>
      <c r="L822" s="8">
        <v>5</v>
      </c>
      <c r="M822" s="19">
        <f t="shared" si="60"/>
        <v>1750000</v>
      </c>
      <c r="N822" s="9">
        <v>0.15</v>
      </c>
      <c r="O822" s="19">
        <f t="shared" si="61"/>
        <v>262500</v>
      </c>
      <c r="P822" s="19">
        <f t="shared" si="62"/>
        <v>1487500</v>
      </c>
      <c r="Q822" s="19">
        <f t="shared" si="63"/>
        <v>1100000</v>
      </c>
      <c r="R822" s="19">
        <f t="shared" si="64"/>
        <v>387500</v>
      </c>
    </row>
    <row r="823" spans="1:18" x14ac:dyDescent="0.25">
      <c r="A823" t="str">
        <f>_xlfn.XLOOKUP(C823,Raw_Data_Transaksi!$A$1:$A$1001,Raw_Data_Transaksi!$D$1:$D$1001,,0)</f>
        <v>PRD-105</v>
      </c>
      <c r="B823" t="str">
        <f>_xlfn.XLOOKUP(C823,Raw_Data_Transaksi!$A$1:$A$1001,Raw_Data_Transaksi!$C$1:$C$1001,,0)</f>
        <v>SLS-03</v>
      </c>
      <c r="C823" s="6" t="s">
        <v>907</v>
      </c>
      <c r="D823" s="7">
        <v>45900</v>
      </c>
      <c r="E823" s="10" t="str">
        <f>VLOOKUP(B823,Master_Sales!$A$1:$D$9,2,FALSE)</f>
        <v>Citra Lestari</v>
      </c>
      <c r="F823" s="10" t="str">
        <f>INDEX(Master_Sales!$D$1:$D$9,MATCH(Lembar_Kerja_Analisis!B823,Master_Sales!$A$1:$A$9,0))</f>
        <v>Barat</v>
      </c>
      <c r="G823" s="10" t="str">
        <f>INDEX(Master_Sales!$C$1:$C$9,MATCH(Lembar_Kerja_Analisis!B823,Master_Sales!$A$1:$A$9,0))</f>
        <v>Bandung</v>
      </c>
      <c r="H823" s="10" t="str">
        <f>VLOOKUP(A823,Master_Produk!$A$1:$E$16,2,FALSE)</f>
        <v>Kemeja Batik Katun Premium</v>
      </c>
      <c r="I823" s="10" t="str">
        <f>INDEX(Master_Produk!$C$1:$C$16,MATCH(Lembar_Kerja_Analisis!A823,Master_Produk!$A$1:$A$16,0))</f>
        <v>Fashion</v>
      </c>
      <c r="J823" s="19">
        <f>_xlfn.XLOOKUP(A823,Master_Produk!$A$1:$A$16,Master_Produk!$D$1:$D$16,,0)</f>
        <v>320000</v>
      </c>
      <c r="K823" s="19">
        <f>INDEX(Master_Produk!$E$1:$E$16,MATCH(Lembar_Kerja_Analisis!A823,Master_Produk!$A$1:$A$16,0))</f>
        <v>190000</v>
      </c>
      <c r="L823" s="8">
        <v>9</v>
      </c>
      <c r="M823" s="19">
        <f t="shared" si="60"/>
        <v>2880000</v>
      </c>
      <c r="N823" s="9">
        <v>0.15</v>
      </c>
      <c r="O823" s="19">
        <f t="shared" si="61"/>
        <v>432000</v>
      </c>
      <c r="P823" s="19">
        <f t="shared" si="62"/>
        <v>2448000</v>
      </c>
      <c r="Q823" s="19">
        <f t="shared" si="63"/>
        <v>1710000</v>
      </c>
      <c r="R823" s="19">
        <f t="shared" si="64"/>
        <v>738000</v>
      </c>
    </row>
    <row r="824" spans="1:18" x14ac:dyDescent="0.25">
      <c r="A824" t="str">
        <f>_xlfn.XLOOKUP(C824,Raw_Data_Transaksi!$A$1:$A$1001,Raw_Data_Transaksi!$D$1:$D$1001,,0)</f>
        <v>PRD-111</v>
      </c>
      <c r="B824" t="str">
        <f>_xlfn.XLOOKUP(C824,Raw_Data_Transaksi!$A$1:$A$1001,Raw_Data_Transaksi!$C$1:$C$1001,,0)</f>
        <v>SLS-06</v>
      </c>
      <c r="C824" s="6" t="s">
        <v>908</v>
      </c>
      <c r="D824" s="7">
        <v>45853</v>
      </c>
      <c r="E824" s="10" t="str">
        <f>VLOOKUP(B824,Master_Sales!$A$1:$D$9,2,FALSE)</f>
        <v>Fajar Nugraha</v>
      </c>
      <c r="F824" s="10" t="str">
        <f>INDEX(Master_Sales!$D$1:$D$9,MATCH(Lembar_Kerja_Analisis!B824,Master_Sales!$A$1:$A$9,0))</f>
        <v>Timur</v>
      </c>
      <c r="G824" s="10" t="str">
        <f>INDEX(Master_Sales!$C$1:$C$9,MATCH(Lembar_Kerja_Analisis!B824,Master_Sales!$A$1:$A$9,0))</f>
        <v>Makassar</v>
      </c>
      <c r="H824" s="10" t="str">
        <f>VLOOKUP(A824,Master_Produk!$A$1:$E$16,2,FALSE)</f>
        <v>Beras Premium 5kg</v>
      </c>
      <c r="I824" s="10" t="str">
        <f>INDEX(Master_Produk!$C$1:$C$16,MATCH(Lembar_Kerja_Analisis!A824,Master_Produk!$A$1:$A$16,0))</f>
        <v>F&amp;B</v>
      </c>
      <c r="J824" s="19">
        <f>_xlfn.XLOOKUP(A824,Master_Produk!$A$1:$A$16,Master_Produk!$D$1:$D$16,,0)</f>
        <v>74000</v>
      </c>
      <c r="K824" s="19">
        <f>INDEX(Master_Produk!$E$1:$E$16,MATCH(Lembar_Kerja_Analisis!A824,Master_Produk!$A$1:$A$16,0))</f>
        <v>65000</v>
      </c>
      <c r="L824" s="8">
        <v>24</v>
      </c>
      <c r="M824" s="19">
        <f t="shared" si="60"/>
        <v>1776000</v>
      </c>
      <c r="N824" s="9">
        <v>0</v>
      </c>
      <c r="O824" s="19">
        <f t="shared" si="61"/>
        <v>0</v>
      </c>
      <c r="P824" s="19">
        <f t="shared" si="62"/>
        <v>1776000</v>
      </c>
      <c r="Q824" s="19">
        <f t="shared" si="63"/>
        <v>1560000</v>
      </c>
      <c r="R824" s="19">
        <f t="shared" si="64"/>
        <v>216000</v>
      </c>
    </row>
    <row r="825" spans="1:18" x14ac:dyDescent="0.25">
      <c r="A825" t="str">
        <f>_xlfn.XLOOKUP(C825,Raw_Data_Transaksi!$A$1:$A$1001,Raw_Data_Transaksi!$D$1:$D$1001,,0)</f>
        <v>PRD-110</v>
      </c>
      <c r="B825" t="str">
        <f>_xlfn.XLOOKUP(C825,Raw_Data_Transaksi!$A$1:$A$1001,Raw_Data_Transaksi!$C$1:$C$1001,,0)</f>
        <v>SLS-05</v>
      </c>
      <c r="C825" s="6" t="s">
        <v>909</v>
      </c>
      <c r="D825" s="7">
        <v>45879</v>
      </c>
      <c r="E825" s="10" t="str">
        <f>VLOOKUP(B825,Master_Sales!$A$1:$D$9,2,FALSE)</f>
        <v>Eko Prasetyo</v>
      </c>
      <c r="F825" s="10" t="str">
        <f>INDEX(Master_Sales!$D$1:$D$9,MATCH(Lembar_Kerja_Analisis!B825,Master_Sales!$A$1:$A$9,0))</f>
        <v>Tengah</v>
      </c>
      <c r="G825" s="10" t="str">
        <f>INDEX(Master_Sales!$C$1:$C$9,MATCH(Lembar_Kerja_Analisis!B825,Master_Sales!$A$1:$A$9,0))</f>
        <v>Semarang</v>
      </c>
      <c r="H825" s="10" t="str">
        <f>VLOOKUP(A825,Master_Produk!$A$1:$E$16,2,FALSE)</f>
        <v>Minyak Goreng Sawit 2L</v>
      </c>
      <c r="I825" s="10" t="str">
        <f>INDEX(Master_Produk!$C$1:$C$16,MATCH(Lembar_Kerja_Analisis!A825,Master_Produk!$A$1:$A$16,0))</f>
        <v>F&amp;B</v>
      </c>
      <c r="J825" s="19">
        <f>_xlfn.XLOOKUP(A825,Master_Produk!$A$1:$A$16,Master_Produk!$D$1:$D$16,,0)</f>
        <v>36000</v>
      </c>
      <c r="K825" s="19">
        <f>INDEX(Master_Produk!$E$1:$E$16,MATCH(Lembar_Kerja_Analisis!A825,Master_Produk!$A$1:$A$16,0))</f>
        <v>31000</v>
      </c>
      <c r="L825" s="8">
        <v>11</v>
      </c>
      <c r="M825" s="19">
        <f t="shared" si="60"/>
        <v>396000</v>
      </c>
      <c r="N825" s="9">
        <v>0.1</v>
      </c>
      <c r="O825" s="19">
        <f t="shared" si="61"/>
        <v>39600</v>
      </c>
      <c r="P825" s="19">
        <f t="shared" si="62"/>
        <v>356400</v>
      </c>
      <c r="Q825" s="19">
        <f t="shared" si="63"/>
        <v>341000</v>
      </c>
      <c r="R825" s="19">
        <f t="shared" si="64"/>
        <v>15400</v>
      </c>
    </row>
    <row r="826" spans="1:18" x14ac:dyDescent="0.25">
      <c r="A826" t="str">
        <f>_xlfn.XLOOKUP(C826,Raw_Data_Transaksi!$A$1:$A$1001,Raw_Data_Transaksi!$D$1:$D$1001,,0)</f>
        <v>PRD-113</v>
      </c>
      <c r="B826" t="str">
        <f>_xlfn.XLOOKUP(C826,Raw_Data_Transaksi!$A$1:$A$1001,Raw_Data_Transaksi!$C$1:$C$1001,,0)</f>
        <v>SLS-04</v>
      </c>
      <c r="C826" s="6" t="s">
        <v>910</v>
      </c>
      <c r="D826" s="7">
        <v>45894</v>
      </c>
      <c r="E826" s="10" t="str">
        <f>VLOOKUP(B826,Master_Sales!$A$1:$D$9,2,FALSE)</f>
        <v>Dewi Anggraini</v>
      </c>
      <c r="F826" s="10" t="str">
        <f>INDEX(Master_Sales!$D$1:$D$9,MATCH(Lembar_Kerja_Analisis!B826,Master_Sales!$A$1:$A$9,0))</f>
        <v>Barat</v>
      </c>
      <c r="G826" s="10" t="str">
        <f>INDEX(Master_Sales!$C$1:$C$9,MATCH(Lembar_Kerja_Analisis!B826,Master_Sales!$A$1:$A$9,0))</f>
        <v>Medan</v>
      </c>
      <c r="H826" s="10" t="str">
        <f>VLOOKUP(A826,Master_Produk!$A$1:$E$16,2,FALSE)</f>
        <v>Wajan Anti Lengket 28cm</v>
      </c>
      <c r="I826" s="10" t="str">
        <f>INDEX(Master_Produk!$C$1:$C$16,MATCH(Lembar_Kerja_Analisis!A826,Master_Produk!$A$1:$A$16,0))</f>
        <v>Peralatan Rumah</v>
      </c>
      <c r="J826" s="19">
        <f>_xlfn.XLOOKUP(A826,Master_Produk!$A$1:$A$16,Master_Produk!$D$1:$D$16,,0)</f>
        <v>210000</v>
      </c>
      <c r="K826" s="19">
        <f>INDEX(Master_Produk!$E$1:$E$16,MATCH(Lembar_Kerja_Analisis!A826,Master_Produk!$A$1:$A$16,0))</f>
        <v>140000</v>
      </c>
      <c r="L826" s="8">
        <v>12</v>
      </c>
      <c r="M826" s="19">
        <f t="shared" si="60"/>
        <v>2520000</v>
      </c>
      <c r="N826" s="9">
        <v>0.2</v>
      </c>
      <c r="O826" s="19">
        <f t="shared" si="61"/>
        <v>504000</v>
      </c>
      <c r="P826" s="19">
        <f t="shared" si="62"/>
        <v>2016000</v>
      </c>
      <c r="Q826" s="19">
        <f t="shared" si="63"/>
        <v>1680000</v>
      </c>
      <c r="R826" s="19">
        <f t="shared" si="64"/>
        <v>336000</v>
      </c>
    </row>
    <row r="827" spans="1:18" x14ac:dyDescent="0.25">
      <c r="A827" t="str">
        <f>_xlfn.XLOOKUP(C827,Raw_Data_Transaksi!$A$1:$A$1001,Raw_Data_Transaksi!$D$1:$D$1001,,0)</f>
        <v>PRD-112</v>
      </c>
      <c r="B827" t="str">
        <f>_xlfn.XLOOKUP(C827,Raw_Data_Transaksi!$A$1:$A$1001,Raw_Data_Transaksi!$C$1:$C$1001,,0)</f>
        <v>SLS-03</v>
      </c>
      <c r="C827" s="6" t="s">
        <v>911</v>
      </c>
      <c r="D827" s="7">
        <v>46004</v>
      </c>
      <c r="E827" s="10" t="str">
        <f>VLOOKUP(B827,Master_Sales!$A$1:$D$9,2,FALSE)</f>
        <v>Citra Lestari</v>
      </c>
      <c r="F827" s="10" t="str">
        <f>INDEX(Master_Sales!$D$1:$D$9,MATCH(Lembar_Kerja_Analisis!B827,Master_Sales!$A$1:$A$9,0))</f>
        <v>Barat</v>
      </c>
      <c r="G827" s="10" t="str">
        <f>INDEX(Master_Sales!$C$1:$C$9,MATCH(Lembar_Kerja_Analisis!B827,Master_Sales!$A$1:$A$9,0))</f>
        <v>Bandung</v>
      </c>
      <c r="H827" s="10" t="str">
        <f>VLOOKUP(A827,Master_Produk!$A$1:$E$16,2,FALSE)</f>
        <v>Susu UHT Full Cream 1L</v>
      </c>
      <c r="I827" s="10" t="str">
        <f>INDEX(Master_Produk!$C$1:$C$16,MATCH(Lembar_Kerja_Analisis!A827,Master_Produk!$A$1:$A$16,0))</f>
        <v>F&amp;B</v>
      </c>
      <c r="J827" s="19">
        <f>_xlfn.XLOOKUP(A827,Master_Produk!$A$1:$A$16,Master_Produk!$D$1:$D$16,,0)</f>
        <v>22000</v>
      </c>
      <c r="K827" s="19">
        <f>INDEX(Master_Produk!$E$1:$E$16,MATCH(Lembar_Kerja_Analisis!A827,Master_Produk!$A$1:$A$16,0))</f>
        <v>18000</v>
      </c>
      <c r="L827" s="8">
        <v>20</v>
      </c>
      <c r="M827" s="19">
        <f t="shared" si="60"/>
        <v>440000</v>
      </c>
      <c r="N827" s="9">
        <v>0</v>
      </c>
      <c r="O827" s="19">
        <f t="shared" si="61"/>
        <v>0</v>
      </c>
      <c r="P827" s="19">
        <f t="shared" si="62"/>
        <v>440000</v>
      </c>
      <c r="Q827" s="19">
        <f t="shared" si="63"/>
        <v>360000</v>
      </c>
      <c r="R827" s="19">
        <f t="shared" si="64"/>
        <v>80000</v>
      </c>
    </row>
    <row r="828" spans="1:18" x14ac:dyDescent="0.25">
      <c r="A828" t="str">
        <f>_xlfn.XLOOKUP(C828,Raw_Data_Transaksi!$A$1:$A$1001,Raw_Data_Transaksi!$D$1:$D$1001,,0)</f>
        <v>PRD-102</v>
      </c>
      <c r="B828" t="str">
        <f>_xlfn.XLOOKUP(C828,Raw_Data_Transaksi!$A$1:$A$1001,Raw_Data_Transaksi!$C$1:$C$1001,,0)</f>
        <v>SLS-02</v>
      </c>
      <c r="C828" s="6" t="s">
        <v>912</v>
      </c>
      <c r="D828" s="7">
        <v>45868</v>
      </c>
      <c r="E828" s="10" t="str">
        <f>VLOOKUP(B828,Master_Sales!$A$1:$D$9,2,FALSE)</f>
        <v>Budi Santoso</v>
      </c>
      <c r="F828" s="10" t="str">
        <f>INDEX(Master_Sales!$D$1:$D$9,MATCH(Lembar_Kerja_Analisis!B828,Master_Sales!$A$1:$A$9,0))</f>
        <v>Timur</v>
      </c>
      <c r="G828" s="10" t="str">
        <f>INDEX(Master_Sales!$C$1:$C$9,MATCH(Lembar_Kerja_Analisis!B828,Master_Sales!$A$1:$A$9,0))</f>
        <v>Surabaya</v>
      </c>
      <c r="H828" s="10" t="str">
        <f>VLOOKUP(A828,Master_Produk!$A$1:$E$16,2,FALSE)</f>
        <v>Wireless Mouse Ergonomic</v>
      </c>
      <c r="I828" s="10" t="str">
        <f>INDEX(Master_Produk!$C$1:$C$16,MATCH(Lembar_Kerja_Analisis!A828,Master_Produk!$A$1:$A$16,0))</f>
        <v>Elektronik</v>
      </c>
      <c r="J828" s="19">
        <f>_xlfn.XLOOKUP(A828,Master_Produk!$A$1:$A$16,Master_Produk!$D$1:$D$16,,0)</f>
        <v>250000</v>
      </c>
      <c r="K828" s="19">
        <f>INDEX(Master_Produk!$E$1:$E$16,MATCH(Lembar_Kerja_Analisis!A828,Master_Produk!$A$1:$A$16,0))</f>
        <v>160000</v>
      </c>
      <c r="L828" s="8">
        <v>11</v>
      </c>
      <c r="M828" s="19">
        <f t="shared" si="60"/>
        <v>2750000</v>
      </c>
      <c r="N828" s="9">
        <v>0.15</v>
      </c>
      <c r="O828" s="19">
        <f t="shared" si="61"/>
        <v>412500</v>
      </c>
      <c r="P828" s="19">
        <f t="shared" si="62"/>
        <v>2337500</v>
      </c>
      <c r="Q828" s="19">
        <f t="shared" si="63"/>
        <v>1760000</v>
      </c>
      <c r="R828" s="19">
        <f t="shared" si="64"/>
        <v>577500</v>
      </c>
    </row>
    <row r="829" spans="1:18" x14ac:dyDescent="0.25">
      <c r="A829" t="str">
        <f>_xlfn.XLOOKUP(C829,Raw_Data_Transaksi!$A$1:$A$1001,Raw_Data_Transaksi!$D$1:$D$1001,,0)</f>
        <v>PRD-104</v>
      </c>
      <c r="B829" t="str">
        <f>_xlfn.XLOOKUP(C829,Raw_Data_Transaksi!$A$1:$A$1001,Raw_Data_Transaksi!$C$1:$C$1001,,0)</f>
        <v>SLS-01</v>
      </c>
      <c r="C829" s="6" t="s">
        <v>913</v>
      </c>
      <c r="D829" s="7">
        <v>45786</v>
      </c>
      <c r="E829" s="10" t="str">
        <f>VLOOKUP(B829,Master_Sales!$A$1:$D$9,2,FALSE)</f>
        <v>Andi Pratama</v>
      </c>
      <c r="F829" s="10" t="str">
        <f>INDEX(Master_Sales!$D$1:$D$9,MATCH(Lembar_Kerja_Analisis!B829,Master_Sales!$A$1:$A$9,0))</f>
        <v>Barat</v>
      </c>
      <c r="G829" s="10" t="str">
        <f>INDEX(Master_Sales!$C$1:$C$9,MATCH(Lembar_Kerja_Analisis!B829,Master_Sales!$A$1:$A$9,0))</f>
        <v>Jakarta</v>
      </c>
      <c r="H829" s="10" t="str">
        <f>VLOOKUP(A829,Master_Produk!$A$1:$E$16,2,FALSE)</f>
        <v>Monitor 24" FHD 144Hz</v>
      </c>
      <c r="I829" s="10" t="str">
        <f>INDEX(Master_Produk!$C$1:$C$16,MATCH(Lembar_Kerja_Analisis!A829,Master_Produk!$A$1:$A$16,0))</f>
        <v>Elektronik</v>
      </c>
      <c r="J829" s="19">
        <f>_xlfn.XLOOKUP(A829,Master_Produk!$A$1:$A$16,Master_Produk!$D$1:$D$16,,0)</f>
        <v>1950000</v>
      </c>
      <c r="K829" s="19">
        <f>INDEX(Master_Produk!$E$1:$E$16,MATCH(Lembar_Kerja_Analisis!A829,Master_Produk!$A$1:$A$16,0))</f>
        <v>1500000</v>
      </c>
      <c r="L829" s="8">
        <v>1</v>
      </c>
      <c r="M829" s="19">
        <f t="shared" si="60"/>
        <v>1950000</v>
      </c>
      <c r="N829" s="9">
        <v>0.2</v>
      </c>
      <c r="O829" s="19">
        <f t="shared" si="61"/>
        <v>390000</v>
      </c>
      <c r="P829" s="19">
        <f t="shared" si="62"/>
        <v>1560000</v>
      </c>
      <c r="Q829" s="19">
        <f t="shared" si="63"/>
        <v>1500000</v>
      </c>
      <c r="R829" s="19">
        <f t="shared" si="64"/>
        <v>60000</v>
      </c>
    </row>
    <row r="830" spans="1:18" x14ac:dyDescent="0.25">
      <c r="A830" t="str">
        <f>_xlfn.XLOOKUP(C830,Raw_Data_Transaksi!$A$1:$A$1001,Raw_Data_Transaksi!$D$1:$D$1001,,0)</f>
        <v>PRD-111</v>
      </c>
      <c r="B830" t="str">
        <f>_xlfn.XLOOKUP(C830,Raw_Data_Transaksi!$A$1:$A$1001,Raw_Data_Transaksi!$C$1:$C$1001,,0)</f>
        <v>SLS-02</v>
      </c>
      <c r="C830" s="6" t="s">
        <v>914</v>
      </c>
      <c r="D830" s="7">
        <v>45964</v>
      </c>
      <c r="E830" s="10" t="str">
        <f>VLOOKUP(B830,Master_Sales!$A$1:$D$9,2,FALSE)</f>
        <v>Budi Santoso</v>
      </c>
      <c r="F830" s="10" t="str">
        <f>INDEX(Master_Sales!$D$1:$D$9,MATCH(Lembar_Kerja_Analisis!B830,Master_Sales!$A$1:$A$9,0))</f>
        <v>Timur</v>
      </c>
      <c r="G830" s="10" t="str">
        <f>INDEX(Master_Sales!$C$1:$C$9,MATCH(Lembar_Kerja_Analisis!B830,Master_Sales!$A$1:$A$9,0))</f>
        <v>Surabaya</v>
      </c>
      <c r="H830" s="10" t="str">
        <f>VLOOKUP(A830,Master_Produk!$A$1:$E$16,2,FALSE)</f>
        <v>Beras Premium 5kg</v>
      </c>
      <c r="I830" s="10" t="str">
        <f>INDEX(Master_Produk!$C$1:$C$16,MATCH(Lembar_Kerja_Analisis!A830,Master_Produk!$A$1:$A$16,0))</f>
        <v>F&amp;B</v>
      </c>
      <c r="J830" s="19">
        <f>_xlfn.XLOOKUP(A830,Master_Produk!$A$1:$A$16,Master_Produk!$D$1:$D$16,,0)</f>
        <v>74000</v>
      </c>
      <c r="K830" s="19">
        <f>INDEX(Master_Produk!$E$1:$E$16,MATCH(Lembar_Kerja_Analisis!A830,Master_Produk!$A$1:$A$16,0))</f>
        <v>65000</v>
      </c>
      <c r="L830" s="8">
        <v>6</v>
      </c>
      <c r="M830" s="19">
        <f t="shared" si="60"/>
        <v>444000</v>
      </c>
      <c r="N830" s="9">
        <v>0</v>
      </c>
      <c r="O830" s="19">
        <f t="shared" si="61"/>
        <v>0</v>
      </c>
      <c r="P830" s="19">
        <f t="shared" si="62"/>
        <v>444000</v>
      </c>
      <c r="Q830" s="19">
        <f t="shared" si="63"/>
        <v>390000</v>
      </c>
      <c r="R830" s="19">
        <f t="shared" si="64"/>
        <v>54000</v>
      </c>
    </row>
    <row r="831" spans="1:18" x14ac:dyDescent="0.25">
      <c r="A831" t="str">
        <f>_xlfn.XLOOKUP(C831,Raw_Data_Transaksi!$A$1:$A$1001,Raw_Data_Transaksi!$D$1:$D$1001,,0)</f>
        <v>PRD-112</v>
      </c>
      <c r="B831" t="str">
        <f>_xlfn.XLOOKUP(C831,Raw_Data_Transaksi!$A$1:$A$1001,Raw_Data_Transaksi!$C$1:$C$1001,,0)</f>
        <v>SLS-03</v>
      </c>
      <c r="C831" s="6" t="s">
        <v>915</v>
      </c>
      <c r="D831" s="7">
        <v>45714</v>
      </c>
      <c r="E831" s="10" t="str">
        <f>VLOOKUP(B831,Master_Sales!$A$1:$D$9,2,FALSE)</f>
        <v>Citra Lestari</v>
      </c>
      <c r="F831" s="10" t="str">
        <f>INDEX(Master_Sales!$D$1:$D$9,MATCH(Lembar_Kerja_Analisis!B831,Master_Sales!$A$1:$A$9,0))</f>
        <v>Barat</v>
      </c>
      <c r="G831" s="10" t="str">
        <f>INDEX(Master_Sales!$C$1:$C$9,MATCH(Lembar_Kerja_Analisis!B831,Master_Sales!$A$1:$A$9,0))</f>
        <v>Bandung</v>
      </c>
      <c r="H831" s="10" t="str">
        <f>VLOOKUP(A831,Master_Produk!$A$1:$E$16,2,FALSE)</f>
        <v>Susu UHT Full Cream 1L</v>
      </c>
      <c r="I831" s="10" t="str">
        <f>INDEX(Master_Produk!$C$1:$C$16,MATCH(Lembar_Kerja_Analisis!A831,Master_Produk!$A$1:$A$16,0))</f>
        <v>F&amp;B</v>
      </c>
      <c r="J831" s="19">
        <f>_xlfn.XLOOKUP(A831,Master_Produk!$A$1:$A$16,Master_Produk!$D$1:$D$16,,0)</f>
        <v>22000</v>
      </c>
      <c r="K831" s="19">
        <f>INDEX(Master_Produk!$E$1:$E$16,MATCH(Lembar_Kerja_Analisis!A831,Master_Produk!$A$1:$A$16,0))</f>
        <v>18000</v>
      </c>
      <c r="L831" s="8">
        <v>12</v>
      </c>
      <c r="M831" s="19">
        <f t="shared" si="60"/>
        <v>264000</v>
      </c>
      <c r="N831" s="9">
        <v>0.15</v>
      </c>
      <c r="O831" s="19">
        <f t="shared" si="61"/>
        <v>39600</v>
      </c>
      <c r="P831" s="19">
        <f t="shared" si="62"/>
        <v>224400</v>
      </c>
      <c r="Q831" s="19">
        <f t="shared" si="63"/>
        <v>216000</v>
      </c>
      <c r="R831" s="19">
        <f t="shared" si="64"/>
        <v>8400</v>
      </c>
    </row>
    <row r="832" spans="1:18" x14ac:dyDescent="0.25">
      <c r="A832" t="str">
        <f>_xlfn.XLOOKUP(C832,Raw_Data_Transaksi!$A$1:$A$1001,Raw_Data_Transaksi!$D$1:$D$1001,,0)</f>
        <v>PRD-113</v>
      </c>
      <c r="B832" t="str">
        <f>_xlfn.XLOOKUP(C832,Raw_Data_Transaksi!$A$1:$A$1001,Raw_Data_Transaksi!$C$1:$C$1001,,0)</f>
        <v>SLS-07</v>
      </c>
      <c r="C832" s="6" t="s">
        <v>916</v>
      </c>
      <c r="D832" s="7">
        <v>45799</v>
      </c>
      <c r="E832" s="10" t="str">
        <f>VLOOKUP(B832,Master_Sales!$A$1:$D$9,2,FALSE)</f>
        <v>Gita Permata</v>
      </c>
      <c r="F832" s="10" t="str">
        <f>INDEX(Master_Sales!$D$1:$D$9,MATCH(Lembar_Kerja_Analisis!B832,Master_Sales!$A$1:$A$9,0))</f>
        <v>Tengah</v>
      </c>
      <c r="G832" s="10" t="str">
        <f>INDEX(Master_Sales!$C$1:$C$9,MATCH(Lembar_Kerja_Analisis!B832,Master_Sales!$A$1:$A$9,0))</f>
        <v>Denpasar</v>
      </c>
      <c r="H832" s="10" t="str">
        <f>VLOOKUP(A832,Master_Produk!$A$1:$E$16,2,FALSE)</f>
        <v>Wajan Anti Lengket 28cm</v>
      </c>
      <c r="I832" s="10" t="str">
        <f>INDEX(Master_Produk!$C$1:$C$16,MATCH(Lembar_Kerja_Analisis!A832,Master_Produk!$A$1:$A$16,0))</f>
        <v>Peralatan Rumah</v>
      </c>
      <c r="J832" s="19">
        <f>_xlfn.XLOOKUP(A832,Master_Produk!$A$1:$A$16,Master_Produk!$D$1:$D$16,,0)</f>
        <v>210000</v>
      </c>
      <c r="K832" s="19">
        <f>INDEX(Master_Produk!$E$1:$E$16,MATCH(Lembar_Kerja_Analisis!A832,Master_Produk!$A$1:$A$16,0))</f>
        <v>140000</v>
      </c>
      <c r="L832" s="8">
        <v>12</v>
      </c>
      <c r="M832" s="19">
        <f t="shared" si="60"/>
        <v>2520000</v>
      </c>
      <c r="N832" s="9">
        <v>0.1</v>
      </c>
      <c r="O832" s="19">
        <f t="shared" si="61"/>
        <v>252000</v>
      </c>
      <c r="P832" s="19">
        <f t="shared" si="62"/>
        <v>2268000</v>
      </c>
      <c r="Q832" s="19">
        <f t="shared" si="63"/>
        <v>1680000</v>
      </c>
      <c r="R832" s="19">
        <f t="shared" si="64"/>
        <v>588000</v>
      </c>
    </row>
    <row r="833" spans="1:18" x14ac:dyDescent="0.25">
      <c r="A833" t="str">
        <f>_xlfn.XLOOKUP(C833,Raw_Data_Transaksi!$A$1:$A$1001,Raw_Data_Transaksi!$D$1:$D$1001,,0)</f>
        <v>PRD-113</v>
      </c>
      <c r="B833" t="str">
        <f>_xlfn.XLOOKUP(C833,Raw_Data_Transaksi!$A$1:$A$1001,Raw_Data_Transaksi!$C$1:$C$1001,,0)</f>
        <v>SLS-01</v>
      </c>
      <c r="C833" s="6" t="s">
        <v>917</v>
      </c>
      <c r="D833" s="7">
        <v>45799</v>
      </c>
      <c r="E833" s="10" t="str">
        <f>VLOOKUP(B833,Master_Sales!$A$1:$D$9,2,FALSE)</f>
        <v>Andi Pratama</v>
      </c>
      <c r="F833" s="10" t="str">
        <f>INDEX(Master_Sales!$D$1:$D$9,MATCH(Lembar_Kerja_Analisis!B833,Master_Sales!$A$1:$A$9,0))</f>
        <v>Barat</v>
      </c>
      <c r="G833" s="10" t="str">
        <f>INDEX(Master_Sales!$C$1:$C$9,MATCH(Lembar_Kerja_Analisis!B833,Master_Sales!$A$1:$A$9,0))</f>
        <v>Jakarta</v>
      </c>
      <c r="H833" s="10" t="str">
        <f>VLOOKUP(A833,Master_Produk!$A$1:$E$16,2,FALSE)</f>
        <v>Wajan Anti Lengket 28cm</v>
      </c>
      <c r="I833" s="10" t="str">
        <f>INDEX(Master_Produk!$C$1:$C$16,MATCH(Lembar_Kerja_Analisis!A833,Master_Produk!$A$1:$A$16,0))</f>
        <v>Peralatan Rumah</v>
      </c>
      <c r="J833" s="19">
        <f>_xlfn.XLOOKUP(A833,Master_Produk!$A$1:$A$16,Master_Produk!$D$1:$D$16,,0)</f>
        <v>210000</v>
      </c>
      <c r="K833" s="19">
        <f>INDEX(Master_Produk!$E$1:$E$16,MATCH(Lembar_Kerja_Analisis!A833,Master_Produk!$A$1:$A$16,0))</f>
        <v>140000</v>
      </c>
      <c r="L833" s="8">
        <v>7</v>
      </c>
      <c r="M833" s="19">
        <f t="shared" si="60"/>
        <v>1470000</v>
      </c>
      <c r="N833" s="9">
        <v>0.15</v>
      </c>
      <c r="O833" s="19">
        <f t="shared" si="61"/>
        <v>220500</v>
      </c>
      <c r="P833" s="19">
        <f t="shared" si="62"/>
        <v>1249500</v>
      </c>
      <c r="Q833" s="19">
        <f t="shared" si="63"/>
        <v>980000</v>
      </c>
      <c r="R833" s="19">
        <f t="shared" si="64"/>
        <v>269500</v>
      </c>
    </row>
    <row r="834" spans="1:18" x14ac:dyDescent="0.25">
      <c r="A834" t="str">
        <f>_xlfn.XLOOKUP(C834,Raw_Data_Transaksi!$A$1:$A$1001,Raw_Data_Transaksi!$D$1:$D$1001,,0)</f>
        <v>PRD-103</v>
      </c>
      <c r="B834" t="str">
        <f>_xlfn.XLOOKUP(C834,Raw_Data_Transaksi!$A$1:$A$1001,Raw_Data_Transaksi!$C$1:$C$1001,,0)</f>
        <v>SLS-08</v>
      </c>
      <c r="C834" s="6" t="s">
        <v>918</v>
      </c>
      <c r="D834" s="7">
        <v>45793</v>
      </c>
      <c r="E834" s="10" t="str">
        <f>VLOOKUP(B834,Master_Sales!$A$1:$D$9,2,FALSE)</f>
        <v>Hendra Wijaya</v>
      </c>
      <c r="F834" s="10" t="str">
        <f>INDEX(Master_Sales!$D$1:$D$9,MATCH(Lembar_Kerja_Analisis!B834,Master_Sales!$A$1:$A$9,0))</f>
        <v>Tengah</v>
      </c>
      <c r="G834" s="10" t="str">
        <f>INDEX(Master_Sales!$C$1:$C$9,MATCH(Lembar_Kerja_Analisis!B834,Master_Sales!$A$1:$A$9,0))</f>
        <v>Yogyakarta</v>
      </c>
      <c r="H834" s="10" t="str">
        <f>VLOOKUP(A834,Master_Produk!$A$1:$E$16,2,FALSE)</f>
        <v>Mechanical Keyboard RGB</v>
      </c>
      <c r="I834" s="10" t="str">
        <f>INDEX(Master_Produk!$C$1:$C$16,MATCH(Lembar_Kerja_Analisis!A834,Master_Produk!$A$1:$A$16,0))</f>
        <v>Elektronik</v>
      </c>
      <c r="J834" s="19">
        <f>_xlfn.XLOOKUP(A834,Master_Produk!$A$1:$A$16,Master_Produk!$D$1:$D$16,,0)</f>
        <v>750000</v>
      </c>
      <c r="K834" s="19">
        <f>INDEX(Master_Produk!$E$1:$E$16,MATCH(Lembar_Kerja_Analisis!A834,Master_Produk!$A$1:$A$16,0))</f>
        <v>520000</v>
      </c>
      <c r="L834" s="8">
        <v>2</v>
      </c>
      <c r="M834" s="19">
        <f t="shared" si="60"/>
        <v>1500000</v>
      </c>
      <c r="N834" s="9">
        <v>0.15</v>
      </c>
      <c r="O834" s="19">
        <f t="shared" si="61"/>
        <v>225000</v>
      </c>
      <c r="P834" s="19">
        <f t="shared" si="62"/>
        <v>1275000</v>
      </c>
      <c r="Q834" s="19">
        <f t="shared" si="63"/>
        <v>1040000</v>
      </c>
      <c r="R834" s="19">
        <f t="shared" si="64"/>
        <v>235000</v>
      </c>
    </row>
    <row r="835" spans="1:18" x14ac:dyDescent="0.25">
      <c r="A835" t="str">
        <f>_xlfn.XLOOKUP(C835,Raw_Data_Transaksi!$A$1:$A$1001,Raw_Data_Transaksi!$D$1:$D$1001,,0)</f>
        <v>PRD-111</v>
      </c>
      <c r="B835" t="str">
        <f>_xlfn.XLOOKUP(C835,Raw_Data_Transaksi!$A$1:$A$1001,Raw_Data_Transaksi!$C$1:$C$1001,,0)</f>
        <v>SLS-08</v>
      </c>
      <c r="C835" s="6" t="s">
        <v>919</v>
      </c>
      <c r="D835" s="7">
        <v>45749</v>
      </c>
      <c r="E835" s="10" t="str">
        <f>VLOOKUP(B835,Master_Sales!$A$1:$D$9,2,FALSE)</f>
        <v>Hendra Wijaya</v>
      </c>
      <c r="F835" s="10" t="str">
        <f>INDEX(Master_Sales!$D$1:$D$9,MATCH(Lembar_Kerja_Analisis!B835,Master_Sales!$A$1:$A$9,0))</f>
        <v>Tengah</v>
      </c>
      <c r="G835" s="10" t="str">
        <f>INDEX(Master_Sales!$C$1:$C$9,MATCH(Lembar_Kerja_Analisis!B835,Master_Sales!$A$1:$A$9,0))</f>
        <v>Yogyakarta</v>
      </c>
      <c r="H835" s="10" t="str">
        <f>VLOOKUP(A835,Master_Produk!$A$1:$E$16,2,FALSE)</f>
        <v>Beras Premium 5kg</v>
      </c>
      <c r="I835" s="10" t="str">
        <f>INDEX(Master_Produk!$C$1:$C$16,MATCH(Lembar_Kerja_Analisis!A835,Master_Produk!$A$1:$A$16,0))</f>
        <v>F&amp;B</v>
      </c>
      <c r="J835" s="19">
        <f>_xlfn.XLOOKUP(A835,Master_Produk!$A$1:$A$16,Master_Produk!$D$1:$D$16,,0)</f>
        <v>74000</v>
      </c>
      <c r="K835" s="19">
        <f>INDEX(Master_Produk!$E$1:$E$16,MATCH(Lembar_Kerja_Analisis!A835,Master_Produk!$A$1:$A$16,0))</f>
        <v>65000</v>
      </c>
      <c r="L835" s="8">
        <v>7</v>
      </c>
      <c r="M835" s="19">
        <f t="shared" ref="M835:M898" si="65">L835*J835</f>
        <v>518000</v>
      </c>
      <c r="N835" s="9">
        <v>0.2</v>
      </c>
      <c r="O835" s="19">
        <f t="shared" ref="O835:O898" si="66">M835*N835</f>
        <v>103600</v>
      </c>
      <c r="P835" s="19">
        <f t="shared" ref="P835:P898" si="67">M835-O835</f>
        <v>414400</v>
      </c>
      <c r="Q835" s="19">
        <f t="shared" ref="Q835:Q898" si="68">L835*K835</f>
        <v>455000</v>
      </c>
      <c r="R835" s="19">
        <f t="shared" ref="R835:R898" si="69">P835-Q835</f>
        <v>-40600</v>
      </c>
    </row>
    <row r="836" spans="1:18" x14ac:dyDescent="0.25">
      <c r="A836" t="str">
        <f>_xlfn.XLOOKUP(C836,Raw_Data_Transaksi!$A$1:$A$1001,Raw_Data_Transaksi!$D$1:$D$1001,,0)</f>
        <v>PRD-112</v>
      </c>
      <c r="B836" t="str">
        <f>_xlfn.XLOOKUP(C836,Raw_Data_Transaksi!$A$1:$A$1001,Raw_Data_Transaksi!$C$1:$C$1001,,0)</f>
        <v>SLS-05</v>
      </c>
      <c r="C836" s="6" t="s">
        <v>920</v>
      </c>
      <c r="D836" s="7">
        <v>45884</v>
      </c>
      <c r="E836" s="10" t="str">
        <f>VLOOKUP(B836,Master_Sales!$A$1:$D$9,2,FALSE)</f>
        <v>Eko Prasetyo</v>
      </c>
      <c r="F836" s="10" t="str">
        <f>INDEX(Master_Sales!$D$1:$D$9,MATCH(Lembar_Kerja_Analisis!B836,Master_Sales!$A$1:$A$9,0))</f>
        <v>Tengah</v>
      </c>
      <c r="G836" s="10" t="str">
        <f>INDEX(Master_Sales!$C$1:$C$9,MATCH(Lembar_Kerja_Analisis!B836,Master_Sales!$A$1:$A$9,0))</f>
        <v>Semarang</v>
      </c>
      <c r="H836" s="10" t="str">
        <f>VLOOKUP(A836,Master_Produk!$A$1:$E$16,2,FALSE)</f>
        <v>Susu UHT Full Cream 1L</v>
      </c>
      <c r="I836" s="10" t="str">
        <f>INDEX(Master_Produk!$C$1:$C$16,MATCH(Lembar_Kerja_Analisis!A836,Master_Produk!$A$1:$A$16,0))</f>
        <v>F&amp;B</v>
      </c>
      <c r="J836" s="19">
        <f>_xlfn.XLOOKUP(A836,Master_Produk!$A$1:$A$16,Master_Produk!$D$1:$D$16,,0)</f>
        <v>22000</v>
      </c>
      <c r="K836" s="19">
        <f>INDEX(Master_Produk!$E$1:$E$16,MATCH(Lembar_Kerja_Analisis!A836,Master_Produk!$A$1:$A$16,0))</f>
        <v>18000</v>
      </c>
      <c r="L836" s="8">
        <v>4</v>
      </c>
      <c r="M836" s="19">
        <f t="shared" si="65"/>
        <v>88000</v>
      </c>
      <c r="N836" s="9">
        <v>0</v>
      </c>
      <c r="O836" s="19">
        <f t="shared" si="66"/>
        <v>0</v>
      </c>
      <c r="P836" s="19">
        <f t="shared" si="67"/>
        <v>88000</v>
      </c>
      <c r="Q836" s="19">
        <f t="shared" si="68"/>
        <v>72000</v>
      </c>
      <c r="R836" s="19">
        <f t="shared" si="69"/>
        <v>16000</v>
      </c>
    </row>
    <row r="837" spans="1:18" x14ac:dyDescent="0.25">
      <c r="A837" t="str">
        <f>_xlfn.XLOOKUP(C837,Raw_Data_Transaksi!$A$1:$A$1001,Raw_Data_Transaksi!$D$1:$D$1001,,0)</f>
        <v>PRD-101</v>
      </c>
      <c r="B837" t="str">
        <f>_xlfn.XLOOKUP(C837,Raw_Data_Transaksi!$A$1:$A$1001,Raw_Data_Transaksi!$C$1:$C$1001,,0)</f>
        <v>SLS-08</v>
      </c>
      <c r="C837" s="6" t="s">
        <v>921</v>
      </c>
      <c r="D837" s="7">
        <v>45886</v>
      </c>
      <c r="E837" s="10" t="str">
        <f>VLOOKUP(B837,Master_Sales!$A$1:$D$9,2,FALSE)</f>
        <v>Hendra Wijaya</v>
      </c>
      <c r="F837" s="10" t="str">
        <f>INDEX(Master_Sales!$D$1:$D$9,MATCH(Lembar_Kerja_Analisis!B837,Master_Sales!$A$1:$A$9,0))</f>
        <v>Tengah</v>
      </c>
      <c r="G837" s="10" t="str">
        <f>INDEX(Master_Sales!$C$1:$C$9,MATCH(Lembar_Kerja_Analisis!B837,Master_Sales!$A$1:$A$9,0))</f>
        <v>Yogyakarta</v>
      </c>
      <c r="H837" s="10" t="str">
        <f>VLOOKUP(A837,Master_Produk!$A$1:$E$16,2,FALSE)</f>
        <v>Laptop Ultrabook 14"</v>
      </c>
      <c r="I837" s="10" t="str">
        <f>INDEX(Master_Produk!$C$1:$C$16,MATCH(Lembar_Kerja_Analisis!A837,Master_Produk!$A$1:$A$16,0))</f>
        <v>Elektronik</v>
      </c>
      <c r="J837" s="19">
        <f>_xlfn.XLOOKUP(A837,Master_Produk!$A$1:$A$16,Master_Produk!$D$1:$D$16,,0)</f>
        <v>8500000</v>
      </c>
      <c r="K837" s="19">
        <f>INDEX(Master_Produk!$E$1:$E$16,MATCH(Lembar_Kerja_Analisis!A837,Master_Produk!$A$1:$A$16,0))</f>
        <v>7200000</v>
      </c>
      <c r="L837" s="8">
        <v>3</v>
      </c>
      <c r="M837" s="19">
        <f t="shared" si="65"/>
        <v>25500000</v>
      </c>
      <c r="N837" s="9">
        <v>0</v>
      </c>
      <c r="O837" s="19">
        <f t="shared" si="66"/>
        <v>0</v>
      </c>
      <c r="P837" s="19">
        <f t="shared" si="67"/>
        <v>25500000</v>
      </c>
      <c r="Q837" s="19">
        <f t="shared" si="68"/>
        <v>21600000</v>
      </c>
      <c r="R837" s="19">
        <f t="shared" si="69"/>
        <v>3900000</v>
      </c>
    </row>
    <row r="838" spans="1:18" x14ac:dyDescent="0.25">
      <c r="A838" t="str">
        <f>_xlfn.XLOOKUP(C838,Raw_Data_Transaksi!$A$1:$A$1001,Raw_Data_Transaksi!$D$1:$D$1001,,0)</f>
        <v>PRD-103</v>
      </c>
      <c r="B838" t="str">
        <f>_xlfn.XLOOKUP(C838,Raw_Data_Transaksi!$A$1:$A$1001,Raw_Data_Transaksi!$C$1:$C$1001,,0)</f>
        <v>SLS-06</v>
      </c>
      <c r="C838" s="6" t="s">
        <v>922</v>
      </c>
      <c r="D838" s="7">
        <v>45794</v>
      </c>
      <c r="E838" s="10" t="str">
        <f>VLOOKUP(B838,Master_Sales!$A$1:$D$9,2,FALSE)</f>
        <v>Fajar Nugraha</v>
      </c>
      <c r="F838" s="10" t="str">
        <f>INDEX(Master_Sales!$D$1:$D$9,MATCH(Lembar_Kerja_Analisis!B838,Master_Sales!$A$1:$A$9,0))</f>
        <v>Timur</v>
      </c>
      <c r="G838" s="10" t="str">
        <f>INDEX(Master_Sales!$C$1:$C$9,MATCH(Lembar_Kerja_Analisis!B838,Master_Sales!$A$1:$A$9,0))</f>
        <v>Makassar</v>
      </c>
      <c r="H838" s="10" t="str">
        <f>VLOOKUP(A838,Master_Produk!$A$1:$E$16,2,FALSE)</f>
        <v>Mechanical Keyboard RGB</v>
      </c>
      <c r="I838" s="10" t="str">
        <f>INDEX(Master_Produk!$C$1:$C$16,MATCH(Lembar_Kerja_Analisis!A838,Master_Produk!$A$1:$A$16,0))</f>
        <v>Elektronik</v>
      </c>
      <c r="J838" s="19">
        <f>_xlfn.XLOOKUP(A838,Master_Produk!$A$1:$A$16,Master_Produk!$D$1:$D$16,,0)</f>
        <v>750000</v>
      </c>
      <c r="K838" s="19">
        <f>INDEX(Master_Produk!$E$1:$E$16,MATCH(Lembar_Kerja_Analisis!A838,Master_Produk!$A$1:$A$16,0))</f>
        <v>520000</v>
      </c>
      <c r="L838" s="8">
        <v>7</v>
      </c>
      <c r="M838" s="19">
        <f t="shared" si="65"/>
        <v>5250000</v>
      </c>
      <c r="N838" s="9">
        <v>0.2</v>
      </c>
      <c r="O838" s="19">
        <f t="shared" si="66"/>
        <v>1050000</v>
      </c>
      <c r="P838" s="19">
        <f t="shared" si="67"/>
        <v>4200000</v>
      </c>
      <c r="Q838" s="19">
        <f t="shared" si="68"/>
        <v>3640000</v>
      </c>
      <c r="R838" s="19">
        <f t="shared" si="69"/>
        <v>560000</v>
      </c>
    </row>
    <row r="839" spans="1:18" x14ac:dyDescent="0.25">
      <c r="A839" t="str">
        <f>_xlfn.XLOOKUP(C839,Raw_Data_Transaksi!$A$1:$A$1001,Raw_Data_Transaksi!$D$1:$D$1001,,0)</f>
        <v>PRD-107</v>
      </c>
      <c r="B839" t="str">
        <f>_xlfn.XLOOKUP(C839,Raw_Data_Transaksi!$A$1:$A$1001,Raw_Data_Transaksi!$C$1:$C$1001,,0)</f>
        <v>SLS-07</v>
      </c>
      <c r="C839" s="6" t="s">
        <v>923</v>
      </c>
      <c r="D839" s="7">
        <v>45902</v>
      </c>
      <c r="E839" s="10" t="str">
        <f>VLOOKUP(B839,Master_Sales!$A$1:$D$9,2,FALSE)</f>
        <v>Gita Permata</v>
      </c>
      <c r="F839" s="10" t="str">
        <f>INDEX(Master_Sales!$D$1:$D$9,MATCH(Lembar_Kerja_Analisis!B839,Master_Sales!$A$1:$A$9,0))</f>
        <v>Tengah</v>
      </c>
      <c r="G839" s="10" t="str">
        <f>INDEX(Master_Sales!$C$1:$C$9,MATCH(Lembar_Kerja_Analisis!B839,Master_Sales!$A$1:$A$9,0))</f>
        <v>Denpasar</v>
      </c>
      <c r="H839" s="10" t="str">
        <f>VLOOKUP(A839,Master_Produk!$A$1:$E$16,2,FALSE)</f>
        <v>Jaket Hoodie Casual</v>
      </c>
      <c r="I839" s="10" t="str">
        <f>INDEX(Master_Produk!$C$1:$C$16,MATCH(Lembar_Kerja_Analisis!A839,Master_Produk!$A$1:$A$16,0))</f>
        <v>Fashion</v>
      </c>
      <c r="J839" s="19">
        <f>_xlfn.XLOOKUP(A839,Master_Produk!$A$1:$A$16,Master_Produk!$D$1:$D$16,,0)</f>
        <v>350000</v>
      </c>
      <c r="K839" s="19">
        <f>INDEX(Master_Produk!$E$1:$E$16,MATCH(Lembar_Kerja_Analisis!A839,Master_Produk!$A$1:$A$16,0))</f>
        <v>220000</v>
      </c>
      <c r="L839" s="8">
        <v>12</v>
      </c>
      <c r="M839" s="19">
        <f t="shared" si="65"/>
        <v>4200000</v>
      </c>
      <c r="N839" s="9">
        <v>0</v>
      </c>
      <c r="O839" s="19">
        <f t="shared" si="66"/>
        <v>0</v>
      </c>
      <c r="P839" s="19">
        <f t="shared" si="67"/>
        <v>4200000</v>
      </c>
      <c r="Q839" s="19">
        <f t="shared" si="68"/>
        <v>2640000</v>
      </c>
      <c r="R839" s="19">
        <f t="shared" si="69"/>
        <v>1560000</v>
      </c>
    </row>
    <row r="840" spans="1:18" x14ac:dyDescent="0.25">
      <c r="A840" t="str">
        <f>_xlfn.XLOOKUP(C840,Raw_Data_Transaksi!$A$1:$A$1001,Raw_Data_Transaksi!$D$1:$D$1001,,0)</f>
        <v>PRD-114</v>
      </c>
      <c r="B840" t="str">
        <f>_xlfn.XLOOKUP(C840,Raw_Data_Transaksi!$A$1:$A$1001,Raw_Data_Transaksi!$C$1:$C$1001,,0)</f>
        <v>SLS-08</v>
      </c>
      <c r="C840" s="6" t="s">
        <v>924</v>
      </c>
      <c r="D840" s="7">
        <v>46010</v>
      </c>
      <c r="E840" s="10" t="str">
        <f>VLOOKUP(B840,Master_Sales!$A$1:$D$9,2,FALSE)</f>
        <v>Hendra Wijaya</v>
      </c>
      <c r="F840" s="10" t="str">
        <f>INDEX(Master_Sales!$D$1:$D$9,MATCH(Lembar_Kerja_Analisis!B840,Master_Sales!$A$1:$A$9,0))</f>
        <v>Tengah</v>
      </c>
      <c r="G840" s="10" t="str">
        <f>INDEX(Master_Sales!$C$1:$C$9,MATCH(Lembar_Kerja_Analisis!B840,Master_Sales!$A$1:$A$9,0))</f>
        <v>Yogyakarta</v>
      </c>
      <c r="H840" s="10" t="str">
        <f>VLOOKUP(A840,Master_Produk!$A$1:$E$16,2,FALSE)</f>
        <v>Blender Multifungsi 2-in-1</v>
      </c>
      <c r="I840" s="10" t="str">
        <f>INDEX(Master_Produk!$C$1:$C$16,MATCH(Lembar_Kerja_Analisis!A840,Master_Produk!$A$1:$A$16,0))</f>
        <v>Peralatan Rumah</v>
      </c>
      <c r="J840" s="19">
        <f>_xlfn.XLOOKUP(A840,Master_Produk!$A$1:$A$16,Master_Produk!$D$1:$D$16,,0)</f>
        <v>340000</v>
      </c>
      <c r="K840" s="19">
        <f>INDEX(Master_Produk!$E$1:$E$16,MATCH(Lembar_Kerja_Analisis!A840,Master_Produk!$A$1:$A$16,0))</f>
        <v>240000</v>
      </c>
      <c r="L840" s="8">
        <v>2</v>
      </c>
      <c r="M840" s="19">
        <f t="shared" si="65"/>
        <v>680000</v>
      </c>
      <c r="N840" s="9">
        <v>0.2</v>
      </c>
      <c r="O840" s="19">
        <f t="shared" si="66"/>
        <v>136000</v>
      </c>
      <c r="P840" s="19">
        <f t="shared" si="67"/>
        <v>544000</v>
      </c>
      <c r="Q840" s="19">
        <f t="shared" si="68"/>
        <v>480000</v>
      </c>
      <c r="R840" s="19">
        <f t="shared" si="69"/>
        <v>64000</v>
      </c>
    </row>
    <row r="841" spans="1:18" x14ac:dyDescent="0.25">
      <c r="A841" t="str">
        <f>_xlfn.XLOOKUP(C841,Raw_Data_Transaksi!$A$1:$A$1001,Raw_Data_Transaksi!$D$1:$D$1001,,0)</f>
        <v>PRD-101</v>
      </c>
      <c r="B841" t="str">
        <f>_xlfn.XLOOKUP(C841,Raw_Data_Transaksi!$A$1:$A$1001,Raw_Data_Transaksi!$C$1:$C$1001,,0)</f>
        <v>SLS-02</v>
      </c>
      <c r="C841" s="6" t="s">
        <v>925</v>
      </c>
      <c r="D841" s="7">
        <v>45863</v>
      </c>
      <c r="E841" s="10" t="str">
        <f>VLOOKUP(B841,Master_Sales!$A$1:$D$9,2,FALSE)</f>
        <v>Budi Santoso</v>
      </c>
      <c r="F841" s="10" t="str">
        <f>INDEX(Master_Sales!$D$1:$D$9,MATCH(Lembar_Kerja_Analisis!B841,Master_Sales!$A$1:$A$9,0))</f>
        <v>Timur</v>
      </c>
      <c r="G841" s="10" t="str">
        <f>INDEX(Master_Sales!$C$1:$C$9,MATCH(Lembar_Kerja_Analisis!B841,Master_Sales!$A$1:$A$9,0))</f>
        <v>Surabaya</v>
      </c>
      <c r="H841" s="10" t="str">
        <f>VLOOKUP(A841,Master_Produk!$A$1:$E$16,2,FALSE)</f>
        <v>Laptop Ultrabook 14"</v>
      </c>
      <c r="I841" s="10" t="str">
        <f>INDEX(Master_Produk!$C$1:$C$16,MATCH(Lembar_Kerja_Analisis!A841,Master_Produk!$A$1:$A$16,0))</f>
        <v>Elektronik</v>
      </c>
      <c r="J841" s="19">
        <f>_xlfn.XLOOKUP(A841,Master_Produk!$A$1:$A$16,Master_Produk!$D$1:$D$16,,0)</f>
        <v>8500000</v>
      </c>
      <c r="K841" s="19">
        <f>INDEX(Master_Produk!$E$1:$E$16,MATCH(Lembar_Kerja_Analisis!A841,Master_Produk!$A$1:$A$16,0))</f>
        <v>7200000</v>
      </c>
      <c r="L841" s="8">
        <v>6</v>
      </c>
      <c r="M841" s="19">
        <f t="shared" si="65"/>
        <v>51000000</v>
      </c>
      <c r="N841" s="9">
        <v>0.2</v>
      </c>
      <c r="O841" s="19">
        <f t="shared" si="66"/>
        <v>10200000</v>
      </c>
      <c r="P841" s="19">
        <f t="shared" si="67"/>
        <v>40800000</v>
      </c>
      <c r="Q841" s="19">
        <f t="shared" si="68"/>
        <v>43200000</v>
      </c>
      <c r="R841" s="19">
        <f t="shared" si="69"/>
        <v>-2400000</v>
      </c>
    </row>
    <row r="842" spans="1:18" x14ac:dyDescent="0.25">
      <c r="A842" t="str">
        <f>_xlfn.XLOOKUP(C842,Raw_Data_Transaksi!$A$1:$A$1001,Raw_Data_Transaksi!$D$1:$D$1001,,0)</f>
        <v>PRD-111</v>
      </c>
      <c r="B842" t="str">
        <f>_xlfn.XLOOKUP(C842,Raw_Data_Transaksi!$A$1:$A$1001,Raw_Data_Transaksi!$C$1:$C$1001,,0)</f>
        <v>SLS-04</v>
      </c>
      <c r="C842" s="6" t="s">
        <v>926</v>
      </c>
      <c r="D842" s="7">
        <v>45806</v>
      </c>
      <c r="E842" s="10" t="str">
        <f>VLOOKUP(B842,Master_Sales!$A$1:$D$9,2,FALSE)</f>
        <v>Dewi Anggraini</v>
      </c>
      <c r="F842" s="10" t="str">
        <f>INDEX(Master_Sales!$D$1:$D$9,MATCH(Lembar_Kerja_Analisis!B842,Master_Sales!$A$1:$A$9,0))</f>
        <v>Barat</v>
      </c>
      <c r="G842" s="10" t="str">
        <f>INDEX(Master_Sales!$C$1:$C$9,MATCH(Lembar_Kerja_Analisis!B842,Master_Sales!$A$1:$A$9,0))</f>
        <v>Medan</v>
      </c>
      <c r="H842" s="10" t="str">
        <f>VLOOKUP(A842,Master_Produk!$A$1:$E$16,2,FALSE)</f>
        <v>Beras Premium 5kg</v>
      </c>
      <c r="I842" s="10" t="str">
        <f>INDEX(Master_Produk!$C$1:$C$16,MATCH(Lembar_Kerja_Analisis!A842,Master_Produk!$A$1:$A$16,0))</f>
        <v>F&amp;B</v>
      </c>
      <c r="J842" s="19">
        <f>_xlfn.XLOOKUP(A842,Master_Produk!$A$1:$A$16,Master_Produk!$D$1:$D$16,,0)</f>
        <v>74000</v>
      </c>
      <c r="K842" s="19">
        <f>INDEX(Master_Produk!$E$1:$E$16,MATCH(Lembar_Kerja_Analisis!A842,Master_Produk!$A$1:$A$16,0))</f>
        <v>65000</v>
      </c>
      <c r="L842" s="8">
        <v>20</v>
      </c>
      <c r="M842" s="19">
        <f t="shared" si="65"/>
        <v>1480000</v>
      </c>
      <c r="N842" s="9">
        <v>0</v>
      </c>
      <c r="O842" s="19">
        <f t="shared" si="66"/>
        <v>0</v>
      </c>
      <c r="P842" s="19">
        <f t="shared" si="67"/>
        <v>1480000</v>
      </c>
      <c r="Q842" s="19">
        <f t="shared" si="68"/>
        <v>1300000</v>
      </c>
      <c r="R842" s="19">
        <f t="shared" si="69"/>
        <v>180000</v>
      </c>
    </row>
    <row r="843" spans="1:18" x14ac:dyDescent="0.25">
      <c r="A843" t="str">
        <f>_xlfn.XLOOKUP(C843,Raw_Data_Transaksi!$A$1:$A$1001,Raw_Data_Transaksi!$D$1:$D$1001,,0)</f>
        <v>PRD-112</v>
      </c>
      <c r="B843" t="str">
        <f>_xlfn.XLOOKUP(C843,Raw_Data_Transaksi!$A$1:$A$1001,Raw_Data_Transaksi!$C$1:$C$1001,,0)</f>
        <v>SLS-07</v>
      </c>
      <c r="C843" s="6" t="s">
        <v>927</v>
      </c>
      <c r="D843" s="7">
        <v>45811</v>
      </c>
      <c r="E843" s="10" t="str">
        <f>VLOOKUP(B843,Master_Sales!$A$1:$D$9,2,FALSE)</f>
        <v>Gita Permata</v>
      </c>
      <c r="F843" s="10" t="str">
        <f>INDEX(Master_Sales!$D$1:$D$9,MATCH(Lembar_Kerja_Analisis!B843,Master_Sales!$A$1:$A$9,0))</f>
        <v>Tengah</v>
      </c>
      <c r="G843" s="10" t="str">
        <f>INDEX(Master_Sales!$C$1:$C$9,MATCH(Lembar_Kerja_Analisis!B843,Master_Sales!$A$1:$A$9,0))</f>
        <v>Denpasar</v>
      </c>
      <c r="H843" s="10" t="str">
        <f>VLOOKUP(A843,Master_Produk!$A$1:$E$16,2,FALSE)</f>
        <v>Susu UHT Full Cream 1L</v>
      </c>
      <c r="I843" s="10" t="str">
        <f>INDEX(Master_Produk!$C$1:$C$16,MATCH(Lembar_Kerja_Analisis!A843,Master_Produk!$A$1:$A$16,0))</f>
        <v>F&amp;B</v>
      </c>
      <c r="J843" s="19">
        <f>_xlfn.XLOOKUP(A843,Master_Produk!$A$1:$A$16,Master_Produk!$D$1:$D$16,,0)</f>
        <v>22000</v>
      </c>
      <c r="K843" s="19">
        <f>INDEX(Master_Produk!$E$1:$E$16,MATCH(Lembar_Kerja_Analisis!A843,Master_Produk!$A$1:$A$16,0))</f>
        <v>18000</v>
      </c>
      <c r="L843" s="8">
        <v>23</v>
      </c>
      <c r="M843" s="19">
        <f t="shared" si="65"/>
        <v>506000</v>
      </c>
      <c r="N843" s="9">
        <v>0.1</v>
      </c>
      <c r="O843" s="19">
        <f t="shared" si="66"/>
        <v>50600</v>
      </c>
      <c r="P843" s="19">
        <f t="shared" si="67"/>
        <v>455400</v>
      </c>
      <c r="Q843" s="19">
        <f t="shared" si="68"/>
        <v>414000</v>
      </c>
      <c r="R843" s="19">
        <f t="shared" si="69"/>
        <v>41400</v>
      </c>
    </row>
    <row r="844" spans="1:18" x14ac:dyDescent="0.25">
      <c r="A844" t="str">
        <f>_xlfn.XLOOKUP(C844,Raw_Data_Transaksi!$A$1:$A$1001,Raw_Data_Transaksi!$D$1:$D$1001,,0)</f>
        <v>PRD-103</v>
      </c>
      <c r="B844" t="str">
        <f>_xlfn.XLOOKUP(C844,Raw_Data_Transaksi!$A$1:$A$1001,Raw_Data_Transaksi!$C$1:$C$1001,,0)</f>
        <v>SLS-01</v>
      </c>
      <c r="C844" s="6" t="s">
        <v>928</v>
      </c>
      <c r="D844" s="7">
        <v>45755</v>
      </c>
      <c r="E844" s="10" t="str">
        <f>VLOOKUP(B844,Master_Sales!$A$1:$D$9,2,FALSE)</f>
        <v>Andi Pratama</v>
      </c>
      <c r="F844" s="10" t="str">
        <f>INDEX(Master_Sales!$D$1:$D$9,MATCH(Lembar_Kerja_Analisis!B844,Master_Sales!$A$1:$A$9,0))</f>
        <v>Barat</v>
      </c>
      <c r="G844" s="10" t="str">
        <f>INDEX(Master_Sales!$C$1:$C$9,MATCH(Lembar_Kerja_Analisis!B844,Master_Sales!$A$1:$A$9,0))</f>
        <v>Jakarta</v>
      </c>
      <c r="H844" s="10" t="str">
        <f>VLOOKUP(A844,Master_Produk!$A$1:$E$16,2,FALSE)</f>
        <v>Mechanical Keyboard RGB</v>
      </c>
      <c r="I844" s="10" t="str">
        <f>INDEX(Master_Produk!$C$1:$C$16,MATCH(Lembar_Kerja_Analisis!A844,Master_Produk!$A$1:$A$16,0))</f>
        <v>Elektronik</v>
      </c>
      <c r="J844" s="19">
        <f>_xlfn.XLOOKUP(A844,Master_Produk!$A$1:$A$16,Master_Produk!$D$1:$D$16,,0)</f>
        <v>750000</v>
      </c>
      <c r="K844" s="19">
        <f>INDEX(Master_Produk!$E$1:$E$16,MATCH(Lembar_Kerja_Analisis!A844,Master_Produk!$A$1:$A$16,0))</f>
        <v>520000</v>
      </c>
      <c r="L844" s="8">
        <v>4</v>
      </c>
      <c r="M844" s="19">
        <f t="shared" si="65"/>
        <v>3000000</v>
      </c>
      <c r="N844" s="9">
        <v>0</v>
      </c>
      <c r="O844" s="19">
        <f t="shared" si="66"/>
        <v>0</v>
      </c>
      <c r="P844" s="19">
        <f t="shared" si="67"/>
        <v>3000000</v>
      </c>
      <c r="Q844" s="19">
        <f t="shared" si="68"/>
        <v>2080000</v>
      </c>
      <c r="R844" s="19">
        <f t="shared" si="69"/>
        <v>920000</v>
      </c>
    </row>
    <row r="845" spans="1:18" x14ac:dyDescent="0.25">
      <c r="A845" t="str">
        <f>_xlfn.XLOOKUP(C845,Raw_Data_Transaksi!$A$1:$A$1001,Raw_Data_Transaksi!$D$1:$D$1001,,0)</f>
        <v>PRD-113</v>
      </c>
      <c r="B845" t="str">
        <f>_xlfn.XLOOKUP(C845,Raw_Data_Transaksi!$A$1:$A$1001,Raw_Data_Transaksi!$C$1:$C$1001,,0)</f>
        <v>SLS-05</v>
      </c>
      <c r="C845" s="6" t="s">
        <v>929</v>
      </c>
      <c r="D845" s="7">
        <v>45690</v>
      </c>
      <c r="E845" s="10" t="str">
        <f>VLOOKUP(B845,Master_Sales!$A$1:$D$9,2,FALSE)</f>
        <v>Eko Prasetyo</v>
      </c>
      <c r="F845" s="10" t="str">
        <f>INDEX(Master_Sales!$D$1:$D$9,MATCH(Lembar_Kerja_Analisis!B845,Master_Sales!$A$1:$A$9,0))</f>
        <v>Tengah</v>
      </c>
      <c r="G845" s="10" t="str">
        <f>INDEX(Master_Sales!$C$1:$C$9,MATCH(Lembar_Kerja_Analisis!B845,Master_Sales!$A$1:$A$9,0))</f>
        <v>Semarang</v>
      </c>
      <c r="H845" s="10" t="str">
        <f>VLOOKUP(A845,Master_Produk!$A$1:$E$16,2,FALSE)</f>
        <v>Wajan Anti Lengket 28cm</v>
      </c>
      <c r="I845" s="10" t="str">
        <f>INDEX(Master_Produk!$C$1:$C$16,MATCH(Lembar_Kerja_Analisis!A845,Master_Produk!$A$1:$A$16,0))</f>
        <v>Peralatan Rumah</v>
      </c>
      <c r="J845" s="19">
        <f>_xlfn.XLOOKUP(A845,Master_Produk!$A$1:$A$16,Master_Produk!$D$1:$D$16,,0)</f>
        <v>210000</v>
      </c>
      <c r="K845" s="19">
        <f>INDEX(Master_Produk!$E$1:$E$16,MATCH(Lembar_Kerja_Analisis!A845,Master_Produk!$A$1:$A$16,0))</f>
        <v>140000</v>
      </c>
      <c r="L845" s="8">
        <v>8</v>
      </c>
      <c r="M845" s="19">
        <f t="shared" si="65"/>
        <v>1680000</v>
      </c>
      <c r="N845" s="9">
        <v>0.2</v>
      </c>
      <c r="O845" s="19">
        <f t="shared" si="66"/>
        <v>336000</v>
      </c>
      <c r="P845" s="19">
        <f t="shared" si="67"/>
        <v>1344000</v>
      </c>
      <c r="Q845" s="19">
        <f t="shared" si="68"/>
        <v>1120000</v>
      </c>
      <c r="R845" s="19">
        <f t="shared" si="69"/>
        <v>224000</v>
      </c>
    </row>
    <row r="846" spans="1:18" x14ac:dyDescent="0.25">
      <c r="A846" t="str">
        <f>_xlfn.XLOOKUP(C846,Raw_Data_Transaksi!$A$1:$A$1001,Raw_Data_Transaksi!$D$1:$D$1001,,0)</f>
        <v>PRD-101</v>
      </c>
      <c r="B846" t="str">
        <f>_xlfn.XLOOKUP(C846,Raw_Data_Transaksi!$A$1:$A$1001,Raw_Data_Transaksi!$C$1:$C$1001,,0)</f>
        <v>SLS-06</v>
      </c>
      <c r="C846" s="6" t="s">
        <v>930</v>
      </c>
      <c r="D846" s="7">
        <v>45831</v>
      </c>
      <c r="E846" s="10" t="str">
        <f>VLOOKUP(B846,Master_Sales!$A$1:$D$9,2,FALSE)</f>
        <v>Fajar Nugraha</v>
      </c>
      <c r="F846" s="10" t="str">
        <f>INDEX(Master_Sales!$D$1:$D$9,MATCH(Lembar_Kerja_Analisis!B846,Master_Sales!$A$1:$A$9,0))</f>
        <v>Timur</v>
      </c>
      <c r="G846" s="10" t="str">
        <f>INDEX(Master_Sales!$C$1:$C$9,MATCH(Lembar_Kerja_Analisis!B846,Master_Sales!$A$1:$A$9,0))</f>
        <v>Makassar</v>
      </c>
      <c r="H846" s="10" t="str">
        <f>VLOOKUP(A846,Master_Produk!$A$1:$E$16,2,FALSE)</f>
        <v>Laptop Ultrabook 14"</v>
      </c>
      <c r="I846" s="10" t="str">
        <f>INDEX(Master_Produk!$C$1:$C$16,MATCH(Lembar_Kerja_Analisis!A846,Master_Produk!$A$1:$A$16,0))</f>
        <v>Elektronik</v>
      </c>
      <c r="J846" s="19">
        <f>_xlfn.XLOOKUP(A846,Master_Produk!$A$1:$A$16,Master_Produk!$D$1:$D$16,,0)</f>
        <v>8500000</v>
      </c>
      <c r="K846" s="19">
        <f>INDEX(Master_Produk!$E$1:$E$16,MATCH(Lembar_Kerja_Analisis!A846,Master_Produk!$A$1:$A$16,0))</f>
        <v>7200000</v>
      </c>
      <c r="L846" s="8">
        <v>12</v>
      </c>
      <c r="M846" s="19">
        <f t="shared" si="65"/>
        <v>102000000</v>
      </c>
      <c r="N846" s="9">
        <v>0</v>
      </c>
      <c r="O846" s="19">
        <f t="shared" si="66"/>
        <v>0</v>
      </c>
      <c r="P846" s="19">
        <f t="shared" si="67"/>
        <v>102000000</v>
      </c>
      <c r="Q846" s="19">
        <f t="shared" si="68"/>
        <v>86400000</v>
      </c>
      <c r="R846" s="19">
        <f t="shared" si="69"/>
        <v>15600000</v>
      </c>
    </row>
    <row r="847" spans="1:18" x14ac:dyDescent="0.25">
      <c r="A847" t="str">
        <f>_xlfn.XLOOKUP(C847,Raw_Data_Transaksi!$A$1:$A$1001,Raw_Data_Transaksi!$D$1:$D$1001,,0)</f>
        <v>PRD-111</v>
      </c>
      <c r="B847" t="str">
        <f>_xlfn.XLOOKUP(C847,Raw_Data_Transaksi!$A$1:$A$1001,Raw_Data_Transaksi!$C$1:$C$1001,,0)</f>
        <v>SLS-08</v>
      </c>
      <c r="C847" s="6" t="s">
        <v>931</v>
      </c>
      <c r="D847" s="7">
        <v>45992</v>
      </c>
      <c r="E847" s="10" t="str">
        <f>VLOOKUP(B847,Master_Sales!$A$1:$D$9,2,FALSE)</f>
        <v>Hendra Wijaya</v>
      </c>
      <c r="F847" s="10" t="str">
        <f>INDEX(Master_Sales!$D$1:$D$9,MATCH(Lembar_Kerja_Analisis!B847,Master_Sales!$A$1:$A$9,0))</f>
        <v>Tengah</v>
      </c>
      <c r="G847" s="10" t="str">
        <f>INDEX(Master_Sales!$C$1:$C$9,MATCH(Lembar_Kerja_Analisis!B847,Master_Sales!$A$1:$A$9,0))</f>
        <v>Yogyakarta</v>
      </c>
      <c r="H847" s="10" t="str">
        <f>VLOOKUP(A847,Master_Produk!$A$1:$E$16,2,FALSE)</f>
        <v>Beras Premium 5kg</v>
      </c>
      <c r="I847" s="10" t="str">
        <f>INDEX(Master_Produk!$C$1:$C$16,MATCH(Lembar_Kerja_Analisis!A847,Master_Produk!$A$1:$A$16,0))</f>
        <v>F&amp;B</v>
      </c>
      <c r="J847" s="19">
        <f>_xlfn.XLOOKUP(A847,Master_Produk!$A$1:$A$16,Master_Produk!$D$1:$D$16,,0)</f>
        <v>74000</v>
      </c>
      <c r="K847" s="19">
        <f>INDEX(Master_Produk!$E$1:$E$16,MATCH(Lembar_Kerja_Analisis!A847,Master_Produk!$A$1:$A$16,0))</f>
        <v>65000</v>
      </c>
      <c r="L847" s="8">
        <v>30</v>
      </c>
      <c r="M847" s="19">
        <f t="shared" si="65"/>
        <v>2220000</v>
      </c>
      <c r="N847" s="9">
        <v>0.2</v>
      </c>
      <c r="O847" s="19">
        <f t="shared" si="66"/>
        <v>444000</v>
      </c>
      <c r="P847" s="19">
        <f t="shared" si="67"/>
        <v>1776000</v>
      </c>
      <c r="Q847" s="19">
        <f t="shared" si="68"/>
        <v>1950000</v>
      </c>
      <c r="R847" s="19">
        <f t="shared" si="69"/>
        <v>-174000</v>
      </c>
    </row>
    <row r="848" spans="1:18" x14ac:dyDescent="0.25">
      <c r="A848" t="str">
        <f>_xlfn.XLOOKUP(C848,Raw_Data_Transaksi!$A$1:$A$1001,Raw_Data_Transaksi!$D$1:$D$1001,,0)</f>
        <v>PRD-101</v>
      </c>
      <c r="B848" t="str">
        <f>_xlfn.XLOOKUP(C848,Raw_Data_Transaksi!$A$1:$A$1001,Raw_Data_Transaksi!$C$1:$C$1001,,0)</f>
        <v>SLS-03</v>
      </c>
      <c r="C848" s="6" t="s">
        <v>932</v>
      </c>
      <c r="D848" s="7">
        <v>45694</v>
      </c>
      <c r="E848" s="10" t="str">
        <f>VLOOKUP(B848,Master_Sales!$A$1:$D$9,2,FALSE)</f>
        <v>Citra Lestari</v>
      </c>
      <c r="F848" s="10" t="str">
        <f>INDEX(Master_Sales!$D$1:$D$9,MATCH(Lembar_Kerja_Analisis!B848,Master_Sales!$A$1:$A$9,0))</f>
        <v>Barat</v>
      </c>
      <c r="G848" s="10" t="str">
        <f>INDEX(Master_Sales!$C$1:$C$9,MATCH(Lembar_Kerja_Analisis!B848,Master_Sales!$A$1:$A$9,0))</f>
        <v>Bandung</v>
      </c>
      <c r="H848" s="10" t="str">
        <f>VLOOKUP(A848,Master_Produk!$A$1:$E$16,2,FALSE)</f>
        <v>Laptop Ultrabook 14"</v>
      </c>
      <c r="I848" s="10" t="str">
        <f>INDEX(Master_Produk!$C$1:$C$16,MATCH(Lembar_Kerja_Analisis!A848,Master_Produk!$A$1:$A$16,0))</f>
        <v>Elektronik</v>
      </c>
      <c r="J848" s="19">
        <f>_xlfn.XLOOKUP(A848,Master_Produk!$A$1:$A$16,Master_Produk!$D$1:$D$16,,0)</f>
        <v>8500000</v>
      </c>
      <c r="K848" s="19">
        <f>INDEX(Master_Produk!$E$1:$E$16,MATCH(Lembar_Kerja_Analisis!A848,Master_Produk!$A$1:$A$16,0))</f>
        <v>7200000</v>
      </c>
      <c r="L848" s="8">
        <v>8</v>
      </c>
      <c r="M848" s="19">
        <f t="shared" si="65"/>
        <v>68000000</v>
      </c>
      <c r="N848" s="9">
        <v>0</v>
      </c>
      <c r="O848" s="19">
        <f t="shared" si="66"/>
        <v>0</v>
      </c>
      <c r="P848" s="19">
        <f t="shared" si="67"/>
        <v>68000000</v>
      </c>
      <c r="Q848" s="19">
        <f t="shared" si="68"/>
        <v>57600000</v>
      </c>
      <c r="R848" s="19">
        <f t="shared" si="69"/>
        <v>10400000</v>
      </c>
    </row>
    <row r="849" spans="1:18" x14ac:dyDescent="0.25">
      <c r="A849" t="str">
        <f>_xlfn.XLOOKUP(C849,Raw_Data_Transaksi!$A$1:$A$1001,Raw_Data_Transaksi!$D$1:$D$1001,,0)</f>
        <v>PRD-112</v>
      </c>
      <c r="B849" t="str">
        <f>_xlfn.XLOOKUP(C849,Raw_Data_Transaksi!$A$1:$A$1001,Raw_Data_Transaksi!$C$1:$C$1001,,0)</f>
        <v>SLS-03</v>
      </c>
      <c r="C849" s="6" t="s">
        <v>933</v>
      </c>
      <c r="D849" s="7">
        <v>45782</v>
      </c>
      <c r="E849" s="10" t="str">
        <f>VLOOKUP(B849,Master_Sales!$A$1:$D$9,2,FALSE)</f>
        <v>Citra Lestari</v>
      </c>
      <c r="F849" s="10" t="str">
        <f>INDEX(Master_Sales!$D$1:$D$9,MATCH(Lembar_Kerja_Analisis!B849,Master_Sales!$A$1:$A$9,0))</f>
        <v>Barat</v>
      </c>
      <c r="G849" s="10" t="str">
        <f>INDEX(Master_Sales!$C$1:$C$9,MATCH(Lembar_Kerja_Analisis!B849,Master_Sales!$A$1:$A$9,0))</f>
        <v>Bandung</v>
      </c>
      <c r="H849" s="10" t="str">
        <f>VLOOKUP(A849,Master_Produk!$A$1:$E$16,2,FALSE)</f>
        <v>Susu UHT Full Cream 1L</v>
      </c>
      <c r="I849" s="10" t="str">
        <f>INDEX(Master_Produk!$C$1:$C$16,MATCH(Lembar_Kerja_Analisis!A849,Master_Produk!$A$1:$A$16,0))</f>
        <v>F&amp;B</v>
      </c>
      <c r="J849" s="19">
        <f>_xlfn.XLOOKUP(A849,Master_Produk!$A$1:$A$16,Master_Produk!$D$1:$D$16,,0)</f>
        <v>22000</v>
      </c>
      <c r="K849" s="19">
        <f>INDEX(Master_Produk!$E$1:$E$16,MATCH(Lembar_Kerja_Analisis!A849,Master_Produk!$A$1:$A$16,0))</f>
        <v>18000</v>
      </c>
      <c r="L849" s="8">
        <v>8</v>
      </c>
      <c r="M849" s="19">
        <f t="shared" si="65"/>
        <v>176000</v>
      </c>
      <c r="N849" s="9">
        <v>0</v>
      </c>
      <c r="O849" s="19">
        <f t="shared" si="66"/>
        <v>0</v>
      </c>
      <c r="P849" s="19">
        <f t="shared" si="67"/>
        <v>176000</v>
      </c>
      <c r="Q849" s="19">
        <f t="shared" si="68"/>
        <v>144000</v>
      </c>
      <c r="R849" s="19">
        <f t="shared" si="69"/>
        <v>32000</v>
      </c>
    </row>
    <row r="850" spans="1:18" x14ac:dyDescent="0.25">
      <c r="A850" t="str">
        <f>_xlfn.XLOOKUP(C850,Raw_Data_Transaksi!$A$1:$A$1001,Raw_Data_Transaksi!$D$1:$D$1001,,0)</f>
        <v>PRD-103</v>
      </c>
      <c r="B850" t="str">
        <f>_xlfn.XLOOKUP(C850,Raw_Data_Transaksi!$A$1:$A$1001,Raw_Data_Transaksi!$C$1:$C$1001,,0)</f>
        <v>SLS-02</v>
      </c>
      <c r="C850" s="6" t="s">
        <v>934</v>
      </c>
      <c r="D850" s="7">
        <v>45970</v>
      </c>
      <c r="E850" s="10" t="str">
        <f>VLOOKUP(B850,Master_Sales!$A$1:$D$9,2,FALSE)</f>
        <v>Budi Santoso</v>
      </c>
      <c r="F850" s="10" t="str">
        <f>INDEX(Master_Sales!$D$1:$D$9,MATCH(Lembar_Kerja_Analisis!B850,Master_Sales!$A$1:$A$9,0))</f>
        <v>Timur</v>
      </c>
      <c r="G850" s="10" t="str">
        <f>INDEX(Master_Sales!$C$1:$C$9,MATCH(Lembar_Kerja_Analisis!B850,Master_Sales!$A$1:$A$9,0))</f>
        <v>Surabaya</v>
      </c>
      <c r="H850" s="10" t="str">
        <f>VLOOKUP(A850,Master_Produk!$A$1:$E$16,2,FALSE)</f>
        <v>Mechanical Keyboard RGB</v>
      </c>
      <c r="I850" s="10" t="str">
        <f>INDEX(Master_Produk!$C$1:$C$16,MATCH(Lembar_Kerja_Analisis!A850,Master_Produk!$A$1:$A$16,0))</f>
        <v>Elektronik</v>
      </c>
      <c r="J850" s="19">
        <f>_xlfn.XLOOKUP(A850,Master_Produk!$A$1:$A$16,Master_Produk!$D$1:$D$16,,0)</f>
        <v>750000</v>
      </c>
      <c r="K850" s="19">
        <f>INDEX(Master_Produk!$E$1:$E$16,MATCH(Lembar_Kerja_Analisis!A850,Master_Produk!$A$1:$A$16,0))</f>
        <v>520000</v>
      </c>
      <c r="L850" s="8">
        <v>2</v>
      </c>
      <c r="M850" s="19">
        <f t="shared" si="65"/>
        <v>1500000</v>
      </c>
      <c r="N850" s="9">
        <v>0</v>
      </c>
      <c r="O850" s="19">
        <f t="shared" si="66"/>
        <v>0</v>
      </c>
      <c r="P850" s="19">
        <f t="shared" si="67"/>
        <v>1500000</v>
      </c>
      <c r="Q850" s="19">
        <f t="shared" si="68"/>
        <v>1040000</v>
      </c>
      <c r="R850" s="19">
        <f t="shared" si="69"/>
        <v>460000</v>
      </c>
    </row>
    <row r="851" spans="1:18" x14ac:dyDescent="0.25">
      <c r="A851" t="str">
        <f>_xlfn.XLOOKUP(C851,Raw_Data_Transaksi!$A$1:$A$1001,Raw_Data_Transaksi!$D$1:$D$1001,,0)</f>
        <v>PRD-113</v>
      </c>
      <c r="B851" t="str">
        <f>_xlfn.XLOOKUP(C851,Raw_Data_Transaksi!$A$1:$A$1001,Raw_Data_Transaksi!$C$1:$C$1001,,0)</f>
        <v>SLS-04</v>
      </c>
      <c r="C851" s="6" t="s">
        <v>935</v>
      </c>
      <c r="D851" s="7">
        <v>45690</v>
      </c>
      <c r="E851" s="10" t="str">
        <f>VLOOKUP(B851,Master_Sales!$A$1:$D$9,2,FALSE)</f>
        <v>Dewi Anggraini</v>
      </c>
      <c r="F851" s="10" t="str">
        <f>INDEX(Master_Sales!$D$1:$D$9,MATCH(Lembar_Kerja_Analisis!B851,Master_Sales!$A$1:$A$9,0))</f>
        <v>Barat</v>
      </c>
      <c r="G851" s="10" t="str">
        <f>INDEX(Master_Sales!$C$1:$C$9,MATCH(Lembar_Kerja_Analisis!B851,Master_Sales!$A$1:$A$9,0))</f>
        <v>Medan</v>
      </c>
      <c r="H851" s="10" t="str">
        <f>VLOOKUP(A851,Master_Produk!$A$1:$E$16,2,FALSE)</f>
        <v>Wajan Anti Lengket 28cm</v>
      </c>
      <c r="I851" s="10" t="str">
        <f>INDEX(Master_Produk!$C$1:$C$16,MATCH(Lembar_Kerja_Analisis!A851,Master_Produk!$A$1:$A$16,0))</f>
        <v>Peralatan Rumah</v>
      </c>
      <c r="J851" s="19">
        <f>_xlfn.XLOOKUP(A851,Master_Produk!$A$1:$A$16,Master_Produk!$D$1:$D$16,,0)</f>
        <v>210000</v>
      </c>
      <c r="K851" s="19">
        <f>INDEX(Master_Produk!$E$1:$E$16,MATCH(Lembar_Kerja_Analisis!A851,Master_Produk!$A$1:$A$16,0))</f>
        <v>140000</v>
      </c>
      <c r="L851" s="8">
        <v>7</v>
      </c>
      <c r="M851" s="19">
        <f t="shared" si="65"/>
        <v>1470000</v>
      </c>
      <c r="N851" s="9">
        <v>0.1</v>
      </c>
      <c r="O851" s="19">
        <f t="shared" si="66"/>
        <v>147000</v>
      </c>
      <c r="P851" s="19">
        <f t="shared" si="67"/>
        <v>1323000</v>
      </c>
      <c r="Q851" s="19">
        <f t="shared" si="68"/>
        <v>980000</v>
      </c>
      <c r="R851" s="19">
        <f t="shared" si="69"/>
        <v>343000</v>
      </c>
    </row>
    <row r="852" spans="1:18" x14ac:dyDescent="0.25">
      <c r="A852" t="str">
        <f>_xlfn.XLOOKUP(C852,Raw_Data_Transaksi!$A$1:$A$1001,Raw_Data_Transaksi!$D$1:$D$1001,,0)</f>
        <v>PRD-110</v>
      </c>
      <c r="B852" t="str">
        <f>_xlfn.XLOOKUP(C852,Raw_Data_Transaksi!$A$1:$A$1001,Raw_Data_Transaksi!$C$1:$C$1001,,0)</f>
        <v>SLS-03</v>
      </c>
      <c r="C852" s="6" t="s">
        <v>936</v>
      </c>
      <c r="D852" s="7">
        <v>46008</v>
      </c>
      <c r="E852" s="10" t="str">
        <f>VLOOKUP(B852,Master_Sales!$A$1:$D$9,2,FALSE)</f>
        <v>Citra Lestari</v>
      </c>
      <c r="F852" s="10" t="str">
        <f>INDEX(Master_Sales!$D$1:$D$9,MATCH(Lembar_Kerja_Analisis!B852,Master_Sales!$A$1:$A$9,0))</f>
        <v>Barat</v>
      </c>
      <c r="G852" s="10" t="str">
        <f>INDEX(Master_Sales!$C$1:$C$9,MATCH(Lembar_Kerja_Analisis!B852,Master_Sales!$A$1:$A$9,0))</f>
        <v>Bandung</v>
      </c>
      <c r="H852" s="10" t="str">
        <f>VLOOKUP(A852,Master_Produk!$A$1:$E$16,2,FALSE)</f>
        <v>Minyak Goreng Sawit 2L</v>
      </c>
      <c r="I852" s="10" t="str">
        <f>INDEX(Master_Produk!$C$1:$C$16,MATCH(Lembar_Kerja_Analisis!A852,Master_Produk!$A$1:$A$16,0))</f>
        <v>F&amp;B</v>
      </c>
      <c r="J852" s="19">
        <f>_xlfn.XLOOKUP(A852,Master_Produk!$A$1:$A$16,Master_Produk!$D$1:$D$16,,0)</f>
        <v>36000</v>
      </c>
      <c r="K852" s="19">
        <f>INDEX(Master_Produk!$E$1:$E$16,MATCH(Lembar_Kerja_Analisis!A852,Master_Produk!$A$1:$A$16,0))</f>
        <v>31000</v>
      </c>
      <c r="L852" s="8">
        <v>29</v>
      </c>
      <c r="M852" s="19">
        <f t="shared" si="65"/>
        <v>1044000</v>
      </c>
      <c r="N852" s="9">
        <v>0.05</v>
      </c>
      <c r="O852" s="19">
        <f t="shared" si="66"/>
        <v>52200</v>
      </c>
      <c r="P852" s="19">
        <f t="shared" si="67"/>
        <v>991800</v>
      </c>
      <c r="Q852" s="19">
        <f t="shared" si="68"/>
        <v>899000</v>
      </c>
      <c r="R852" s="19">
        <f t="shared" si="69"/>
        <v>92800</v>
      </c>
    </row>
    <row r="853" spans="1:18" x14ac:dyDescent="0.25">
      <c r="A853" t="str">
        <f>_xlfn.XLOOKUP(C853,Raw_Data_Transaksi!$A$1:$A$1001,Raw_Data_Transaksi!$D$1:$D$1001,,0)</f>
        <v>PRD-102</v>
      </c>
      <c r="B853" t="str">
        <f>_xlfn.XLOOKUP(C853,Raw_Data_Transaksi!$A$1:$A$1001,Raw_Data_Transaksi!$C$1:$C$1001,,0)</f>
        <v>SLS-02</v>
      </c>
      <c r="C853" s="6" t="s">
        <v>937</v>
      </c>
      <c r="D853" s="7">
        <v>45829</v>
      </c>
      <c r="E853" s="10" t="str">
        <f>VLOOKUP(B853,Master_Sales!$A$1:$D$9,2,FALSE)</f>
        <v>Budi Santoso</v>
      </c>
      <c r="F853" s="10" t="str">
        <f>INDEX(Master_Sales!$D$1:$D$9,MATCH(Lembar_Kerja_Analisis!B853,Master_Sales!$A$1:$A$9,0))</f>
        <v>Timur</v>
      </c>
      <c r="G853" s="10" t="str">
        <f>INDEX(Master_Sales!$C$1:$C$9,MATCH(Lembar_Kerja_Analisis!B853,Master_Sales!$A$1:$A$9,0))</f>
        <v>Surabaya</v>
      </c>
      <c r="H853" s="10" t="str">
        <f>VLOOKUP(A853,Master_Produk!$A$1:$E$16,2,FALSE)</f>
        <v>Wireless Mouse Ergonomic</v>
      </c>
      <c r="I853" s="10" t="str">
        <f>INDEX(Master_Produk!$C$1:$C$16,MATCH(Lembar_Kerja_Analisis!A853,Master_Produk!$A$1:$A$16,0))</f>
        <v>Elektronik</v>
      </c>
      <c r="J853" s="19">
        <f>_xlfn.XLOOKUP(A853,Master_Produk!$A$1:$A$16,Master_Produk!$D$1:$D$16,,0)</f>
        <v>250000</v>
      </c>
      <c r="K853" s="19">
        <f>INDEX(Master_Produk!$E$1:$E$16,MATCH(Lembar_Kerja_Analisis!A853,Master_Produk!$A$1:$A$16,0))</f>
        <v>160000</v>
      </c>
      <c r="L853" s="8">
        <v>5</v>
      </c>
      <c r="M853" s="19">
        <f t="shared" si="65"/>
        <v>1250000</v>
      </c>
      <c r="N853" s="9">
        <v>0.05</v>
      </c>
      <c r="O853" s="19">
        <f t="shared" si="66"/>
        <v>62500</v>
      </c>
      <c r="P853" s="19">
        <f t="shared" si="67"/>
        <v>1187500</v>
      </c>
      <c r="Q853" s="19">
        <f t="shared" si="68"/>
        <v>800000</v>
      </c>
      <c r="R853" s="19">
        <f t="shared" si="69"/>
        <v>387500</v>
      </c>
    </row>
    <row r="854" spans="1:18" x14ac:dyDescent="0.25">
      <c r="A854" t="str">
        <f>_xlfn.XLOOKUP(C854,Raw_Data_Transaksi!$A$1:$A$1001,Raw_Data_Transaksi!$D$1:$D$1001,,0)</f>
        <v>PRD-103</v>
      </c>
      <c r="B854" t="str">
        <f>_xlfn.XLOOKUP(C854,Raw_Data_Transaksi!$A$1:$A$1001,Raw_Data_Transaksi!$C$1:$C$1001,,0)</f>
        <v>SLS-08</v>
      </c>
      <c r="C854" s="6" t="s">
        <v>938</v>
      </c>
      <c r="D854" s="7">
        <v>45941</v>
      </c>
      <c r="E854" s="10" t="str">
        <f>VLOOKUP(B854,Master_Sales!$A$1:$D$9,2,FALSE)</f>
        <v>Hendra Wijaya</v>
      </c>
      <c r="F854" s="10" t="str">
        <f>INDEX(Master_Sales!$D$1:$D$9,MATCH(Lembar_Kerja_Analisis!B854,Master_Sales!$A$1:$A$9,0))</f>
        <v>Tengah</v>
      </c>
      <c r="G854" s="10" t="str">
        <f>INDEX(Master_Sales!$C$1:$C$9,MATCH(Lembar_Kerja_Analisis!B854,Master_Sales!$A$1:$A$9,0))</f>
        <v>Yogyakarta</v>
      </c>
      <c r="H854" s="10" t="str">
        <f>VLOOKUP(A854,Master_Produk!$A$1:$E$16,2,FALSE)</f>
        <v>Mechanical Keyboard RGB</v>
      </c>
      <c r="I854" s="10" t="str">
        <f>INDEX(Master_Produk!$C$1:$C$16,MATCH(Lembar_Kerja_Analisis!A854,Master_Produk!$A$1:$A$16,0))</f>
        <v>Elektronik</v>
      </c>
      <c r="J854" s="19">
        <f>_xlfn.XLOOKUP(A854,Master_Produk!$A$1:$A$16,Master_Produk!$D$1:$D$16,,0)</f>
        <v>750000</v>
      </c>
      <c r="K854" s="19">
        <f>INDEX(Master_Produk!$E$1:$E$16,MATCH(Lembar_Kerja_Analisis!A854,Master_Produk!$A$1:$A$16,0))</f>
        <v>520000</v>
      </c>
      <c r="L854" s="8">
        <v>4</v>
      </c>
      <c r="M854" s="19">
        <f t="shared" si="65"/>
        <v>3000000</v>
      </c>
      <c r="N854" s="9">
        <v>0.2</v>
      </c>
      <c r="O854" s="19">
        <f t="shared" si="66"/>
        <v>600000</v>
      </c>
      <c r="P854" s="19">
        <f t="shared" si="67"/>
        <v>2400000</v>
      </c>
      <c r="Q854" s="19">
        <f t="shared" si="68"/>
        <v>2080000</v>
      </c>
      <c r="R854" s="19">
        <f t="shared" si="69"/>
        <v>320000</v>
      </c>
    </row>
    <row r="855" spans="1:18" x14ac:dyDescent="0.25">
      <c r="A855" t="str">
        <f>_xlfn.XLOOKUP(C855,Raw_Data_Transaksi!$A$1:$A$1001,Raw_Data_Transaksi!$D$1:$D$1001,,0)</f>
        <v>PRD-110</v>
      </c>
      <c r="B855" t="str">
        <f>_xlfn.XLOOKUP(C855,Raw_Data_Transaksi!$A$1:$A$1001,Raw_Data_Transaksi!$C$1:$C$1001,,0)</f>
        <v>SLS-07</v>
      </c>
      <c r="C855" s="6" t="s">
        <v>939</v>
      </c>
      <c r="D855" s="7">
        <v>45981</v>
      </c>
      <c r="E855" s="10" t="str">
        <f>VLOOKUP(B855,Master_Sales!$A$1:$D$9,2,FALSE)</f>
        <v>Gita Permata</v>
      </c>
      <c r="F855" s="10" t="str">
        <f>INDEX(Master_Sales!$D$1:$D$9,MATCH(Lembar_Kerja_Analisis!B855,Master_Sales!$A$1:$A$9,0))</f>
        <v>Tengah</v>
      </c>
      <c r="G855" s="10" t="str">
        <f>INDEX(Master_Sales!$C$1:$C$9,MATCH(Lembar_Kerja_Analisis!B855,Master_Sales!$A$1:$A$9,0))</f>
        <v>Denpasar</v>
      </c>
      <c r="H855" s="10" t="str">
        <f>VLOOKUP(A855,Master_Produk!$A$1:$E$16,2,FALSE)</f>
        <v>Minyak Goreng Sawit 2L</v>
      </c>
      <c r="I855" s="10" t="str">
        <f>INDEX(Master_Produk!$C$1:$C$16,MATCH(Lembar_Kerja_Analisis!A855,Master_Produk!$A$1:$A$16,0))</f>
        <v>F&amp;B</v>
      </c>
      <c r="J855" s="19">
        <f>_xlfn.XLOOKUP(A855,Master_Produk!$A$1:$A$16,Master_Produk!$D$1:$D$16,,0)</f>
        <v>36000</v>
      </c>
      <c r="K855" s="19">
        <f>INDEX(Master_Produk!$E$1:$E$16,MATCH(Lembar_Kerja_Analisis!A855,Master_Produk!$A$1:$A$16,0))</f>
        <v>31000</v>
      </c>
      <c r="L855" s="8">
        <v>3</v>
      </c>
      <c r="M855" s="19">
        <f t="shared" si="65"/>
        <v>108000</v>
      </c>
      <c r="N855" s="9">
        <v>0.15</v>
      </c>
      <c r="O855" s="19">
        <f t="shared" si="66"/>
        <v>16200</v>
      </c>
      <c r="P855" s="19">
        <f t="shared" si="67"/>
        <v>91800</v>
      </c>
      <c r="Q855" s="19">
        <f t="shared" si="68"/>
        <v>93000</v>
      </c>
      <c r="R855" s="19">
        <f t="shared" si="69"/>
        <v>-1200</v>
      </c>
    </row>
    <row r="856" spans="1:18" x14ac:dyDescent="0.25">
      <c r="A856" t="str">
        <f>_xlfn.XLOOKUP(C856,Raw_Data_Transaksi!$A$1:$A$1001,Raw_Data_Transaksi!$D$1:$D$1001,,0)</f>
        <v>PRD-115</v>
      </c>
      <c r="B856" t="str">
        <f>_xlfn.XLOOKUP(C856,Raw_Data_Transaksi!$A$1:$A$1001,Raw_Data_Transaksi!$C$1:$C$1001,,0)</f>
        <v>SLS-02</v>
      </c>
      <c r="C856" s="6" t="s">
        <v>940</v>
      </c>
      <c r="D856" s="7">
        <v>45749</v>
      </c>
      <c r="E856" s="10" t="str">
        <f>VLOOKUP(B856,Master_Sales!$A$1:$D$9,2,FALSE)</f>
        <v>Budi Santoso</v>
      </c>
      <c r="F856" s="10" t="str">
        <f>INDEX(Master_Sales!$D$1:$D$9,MATCH(Lembar_Kerja_Analisis!B856,Master_Sales!$A$1:$A$9,0))</f>
        <v>Timur</v>
      </c>
      <c r="G856" s="10" t="str">
        <f>INDEX(Master_Sales!$C$1:$C$9,MATCH(Lembar_Kerja_Analisis!B856,Master_Sales!$A$1:$A$9,0))</f>
        <v>Surabaya</v>
      </c>
      <c r="H856" s="10" t="str">
        <f>VLOOKUP(A856,Master_Produk!$A$1:$E$16,2,FALSE)</f>
        <v>Set Pisau Dapur Stainless</v>
      </c>
      <c r="I856" s="10" t="str">
        <f>INDEX(Master_Produk!$C$1:$C$16,MATCH(Lembar_Kerja_Analisis!A856,Master_Produk!$A$1:$A$16,0))</f>
        <v>Peralatan Rumah</v>
      </c>
      <c r="J856" s="19">
        <f>_xlfn.XLOOKUP(A856,Master_Produk!$A$1:$A$16,Master_Produk!$D$1:$D$16,,0)</f>
        <v>165000</v>
      </c>
      <c r="K856" s="19">
        <f>INDEX(Master_Produk!$E$1:$E$16,MATCH(Lembar_Kerja_Analisis!A856,Master_Produk!$A$1:$A$16,0))</f>
        <v>105000</v>
      </c>
      <c r="L856" s="8">
        <v>12</v>
      </c>
      <c r="M856" s="19">
        <f t="shared" si="65"/>
        <v>1980000</v>
      </c>
      <c r="N856" s="9">
        <v>0.2</v>
      </c>
      <c r="O856" s="19">
        <f t="shared" si="66"/>
        <v>396000</v>
      </c>
      <c r="P856" s="19">
        <f t="shared" si="67"/>
        <v>1584000</v>
      </c>
      <c r="Q856" s="19">
        <f t="shared" si="68"/>
        <v>1260000</v>
      </c>
      <c r="R856" s="19">
        <f t="shared" si="69"/>
        <v>324000</v>
      </c>
    </row>
    <row r="857" spans="1:18" x14ac:dyDescent="0.25">
      <c r="A857" t="str">
        <f>_xlfn.XLOOKUP(C857,Raw_Data_Transaksi!$A$1:$A$1001,Raw_Data_Transaksi!$D$1:$D$1001,,0)</f>
        <v>PRD-103</v>
      </c>
      <c r="B857" t="str">
        <f>_xlfn.XLOOKUP(C857,Raw_Data_Transaksi!$A$1:$A$1001,Raw_Data_Transaksi!$C$1:$C$1001,,0)</f>
        <v>SLS-04</v>
      </c>
      <c r="C857" s="6" t="s">
        <v>941</v>
      </c>
      <c r="D857" s="7">
        <v>46012</v>
      </c>
      <c r="E857" s="10" t="str">
        <f>VLOOKUP(B857,Master_Sales!$A$1:$D$9,2,FALSE)</f>
        <v>Dewi Anggraini</v>
      </c>
      <c r="F857" s="10" t="str">
        <f>INDEX(Master_Sales!$D$1:$D$9,MATCH(Lembar_Kerja_Analisis!B857,Master_Sales!$A$1:$A$9,0))</f>
        <v>Barat</v>
      </c>
      <c r="G857" s="10" t="str">
        <f>INDEX(Master_Sales!$C$1:$C$9,MATCH(Lembar_Kerja_Analisis!B857,Master_Sales!$A$1:$A$9,0))</f>
        <v>Medan</v>
      </c>
      <c r="H857" s="10" t="str">
        <f>VLOOKUP(A857,Master_Produk!$A$1:$E$16,2,FALSE)</f>
        <v>Mechanical Keyboard RGB</v>
      </c>
      <c r="I857" s="10" t="str">
        <f>INDEX(Master_Produk!$C$1:$C$16,MATCH(Lembar_Kerja_Analisis!A857,Master_Produk!$A$1:$A$16,0))</f>
        <v>Elektronik</v>
      </c>
      <c r="J857" s="19">
        <f>_xlfn.XLOOKUP(A857,Master_Produk!$A$1:$A$16,Master_Produk!$D$1:$D$16,,0)</f>
        <v>750000</v>
      </c>
      <c r="K857" s="19">
        <f>INDEX(Master_Produk!$E$1:$E$16,MATCH(Lembar_Kerja_Analisis!A857,Master_Produk!$A$1:$A$16,0))</f>
        <v>520000</v>
      </c>
      <c r="L857" s="8">
        <v>3</v>
      </c>
      <c r="M857" s="19">
        <f t="shared" si="65"/>
        <v>2250000</v>
      </c>
      <c r="N857" s="9">
        <v>0.1</v>
      </c>
      <c r="O857" s="19">
        <f t="shared" si="66"/>
        <v>225000</v>
      </c>
      <c r="P857" s="19">
        <f t="shared" si="67"/>
        <v>2025000</v>
      </c>
      <c r="Q857" s="19">
        <f t="shared" si="68"/>
        <v>1560000</v>
      </c>
      <c r="R857" s="19">
        <f t="shared" si="69"/>
        <v>465000</v>
      </c>
    </row>
    <row r="858" spans="1:18" x14ac:dyDescent="0.25">
      <c r="A858" t="str">
        <f>_xlfn.XLOOKUP(C858,Raw_Data_Transaksi!$A$1:$A$1001,Raw_Data_Transaksi!$D$1:$D$1001,,0)</f>
        <v>PRD-110</v>
      </c>
      <c r="B858" t="str">
        <f>_xlfn.XLOOKUP(C858,Raw_Data_Transaksi!$A$1:$A$1001,Raw_Data_Transaksi!$C$1:$C$1001,,0)</f>
        <v>SLS-01</v>
      </c>
      <c r="C858" s="6" t="s">
        <v>942</v>
      </c>
      <c r="D858" s="7">
        <v>45747</v>
      </c>
      <c r="E858" s="10" t="str">
        <f>VLOOKUP(B858,Master_Sales!$A$1:$D$9,2,FALSE)</f>
        <v>Andi Pratama</v>
      </c>
      <c r="F858" s="10" t="str">
        <f>INDEX(Master_Sales!$D$1:$D$9,MATCH(Lembar_Kerja_Analisis!B858,Master_Sales!$A$1:$A$9,0))</f>
        <v>Barat</v>
      </c>
      <c r="G858" s="10" t="str">
        <f>INDEX(Master_Sales!$C$1:$C$9,MATCH(Lembar_Kerja_Analisis!B858,Master_Sales!$A$1:$A$9,0))</f>
        <v>Jakarta</v>
      </c>
      <c r="H858" s="10" t="str">
        <f>VLOOKUP(A858,Master_Produk!$A$1:$E$16,2,FALSE)</f>
        <v>Minyak Goreng Sawit 2L</v>
      </c>
      <c r="I858" s="10" t="str">
        <f>INDEX(Master_Produk!$C$1:$C$16,MATCH(Lembar_Kerja_Analisis!A858,Master_Produk!$A$1:$A$16,0))</f>
        <v>F&amp;B</v>
      </c>
      <c r="J858" s="19">
        <f>_xlfn.XLOOKUP(A858,Master_Produk!$A$1:$A$16,Master_Produk!$D$1:$D$16,,0)</f>
        <v>36000</v>
      </c>
      <c r="K858" s="19">
        <f>INDEX(Master_Produk!$E$1:$E$16,MATCH(Lembar_Kerja_Analisis!A858,Master_Produk!$A$1:$A$16,0))</f>
        <v>31000</v>
      </c>
      <c r="L858" s="8">
        <v>8</v>
      </c>
      <c r="M858" s="19">
        <f t="shared" si="65"/>
        <v>288000</v>
      </c>
      <c r="N858" s="9">
        <v>0.15</v>
      </c>
      <c r="O858" s="19">
        <f t="shared" si="66"/>
        <v>43200</v>
      </c>
      <c r="P858" s="19">
        <f t="shared" si="67"/>
        <v>244800</v>
      </c>
      <c r="Q858" s="19">
        <f t="shared" si="68"/>
        <v>248000</v>
      </c>
      <c r="R858" s="19">
        <f t="shared" si="69"/>
        <v>-3200</v>
      </c>
    </row>
    <row r="859" spans="1:18" x14ac:dyDescent="0.25">
      <c r="A859" t="str">
        <f>_xlfn.XLOOKUP(C859,Raw_Data_Transaksi!$A$1:$A$1001,Raw_Data_Transaksi!$D$1:$D$1001,,0)</f>
        <v>PRD-107</v>
      </c>
      <c r="B859" t="str">
        <f>_xlfn.XLOOKUP(C859,Raw_Data_Transaksi!$A$1:$A$1001,Raw_Data_Transaksi!$C$1:$C$1001,,0)</f>
        <v>SLS-01</v>
      </c>
      <c r="C859" s="6" t="s">
        <v>943</v>
      </c>
      <c r="D859" s="7">
        <v>45836</v>
      </c>
      <c r="E859" s="10" t="str">
        <f>VLOOKUP(B859,Master_Sales!$A$1:$D$9,2,FALSE)</f>
        <v>Andi Pratama</v>
      </c>
      <c r="F859" s="10" t="str">
        <f>INDEX(Master_Sales!$D$1:$D$9,MATCH(Lembar_Kerja_Analisis!B859,Master_Sales!$A$1:$A$9,0))</f>
        <v>Barat</v>
      </c>
      <c r="G859" s="10" t="str">
        <f>INDEX(Master_Sales!$C$1:$C$9,MATCH(Lembar_Kerja_Analisis!B859,Master_Sales!$A$1:$A$9,0))</f>
        <v>Jakarta</v>
      </c>
      <c r="H859" s="10" t="str">
        <f>VLOOKUP(A859,Master_Produk!$A$1:$E$16,2,FALSE)</f>
        <v>Jaket Hoodie Casual</v>
      </c>
      <c r="I859" s="10" t="str">
        <f>INDEX(Master_Produk!$C$1:$C$16,MATCH(Lembar_Kerja_Analisis!A859,Master_Produk!$A$1:$A$16,0))</f>
        <v>Fashion</v>
      </c>
      <c r="J859" s="19">
        <f>_xlfn.XLOOKUP(A859,Master_Produk!$A$1:$A$16,Master_Produk!$D$1:$D$16,,0)</f>
        <v>350000</v>
      </c>
      <c r="K859" s="19">
        <f>INDEX(Master_Produk!$E$1:$E$16,MATCH(Lembar_Kerja_Analisis!A859,Master_Produk!$A$1:$A$16,0))</f>
        <v>220000</v>
      </c>
      <c r="L859" s="8">
        <v>9</v>
      </c>
      <c r="M859" s="19">
        <f t="shared" si="65"/>
        <v>3150000</v>
      </c>
      <c r="N859" s="9">
        <v>0.05</v>
      </c>
      <c r="O859" s="19">
        <f t="shared" si="66"/>
        <v>157500</v>
      </c>
      <c r="P859" s="19">
        <f t="shared" si="67"/>
        <v>2992500</v>
      </c>
      <c r="Q859" s="19">
        <f t="shared" si="68"/>
        <v>1980000</v>
      </c>
      <c r="R859" s="19">
        <f t="shared" si="69"/>
        <v>1012500</v>
      </c>
    </row>
    <row r="860" spans="1:18" x14ac:dyDescent="0.25">
      <c r="A860" t="str">
        <f>_xlfn.XLOOKUP(C860,Raw_Data_Transaksi!$A$1:$A$1001,Raw_Data_Transaksi!$D$1:$D$1001,,0)</f>
        <v>PRD-106</v>
      </c>
      <c r="B860" t="str">
        <f>_xlfn.XLOOKUP(C860,Raw_Data_Transaksi!$A$1:$A$1001,Raw_Data_Transaksi!$C$1:$C$1001,,0)</f>
        <v>SLS-04</v>
      </c>
      <c r="C860" s="6" t="s">
        <v>944</v>
      </c>
      <c r="D860" s="7">
        <v>45974</v>
      </c>
      <c r="E860" s="10" t="str">
        <f>VLOOKUP(B860,Master_Sales!$A$1:$D$9,2,FALSE)</f>
        <v>Dewi Anggraini</v>
      </c>
      <c r="F860" s="10" t="str">
        <f>INDEX(Master_Sales!$D$1:$D$9,MATCH(Lembar_Kerja_Analisis!B860,Master_Sales!$A$1:$A$9,0))</f>
        <v>Barat</v>
      </c>
      <c r="G860" s="10" t="str">
        <f>INDEX(Master_Sales!$C$1:$C$9,MATCH(Lembar_Kerja_Analisis!B860,Master_Sales!$A$1:$A$9,0))</f>
        <v>Medan</v>
      </c>
      <c r="H860" s="10" t="str">
        <f>VLOOKUP(A860,Master_Produk!$A$1:$E$16,2,FALSE)</f>
        <v>Celana Chino Slim Fit</v>
      </c>
      <c r="I860" s="10" t="str">
        <f>INDEX(Master_Produk!$C$1:$C$16,MATCH(Lembar_Kerja_Analisis!A860,Master_Produk!$A$1:$A$16,0))</f>
        <v>Fashion</v>
      </c>
      <c r="J860" s="19">
        <f>_xlfn.XLOOKUP(A860,Master_Produk!$A$1:$A$16,Master_Produk!$D$1:$D$16,,0)</f>
        <v>280000</v>
      </c>
      <c r="K860" s="19">
        <f>INDEX(Master_Produk!$E$1:$E$16,MATCH(Lembar_Kerja_Analisis!A860,Master_Produk!$A$1:$A$16,0))</f>
        <v>175000</v>
      </c>
      <c r="L860" s="8">
        <v>8</v>
      </c>
      <c r="M860" s="19">
        <f t="shared" si="65"/>
        <v>2240000</v>
      </c>
      <c r="N860" s="9">
        <v>0.05</v>
      </c>
      <c r="O860" s="19">
        <f t="shared" si="66"/>
        <v>112000</v>
      </c>
      <c r="P860" s="19">
        <f t="shared" si="67"/>
        <v>2128000</v>
      </c>
      <c r="Q860" s="19">
        <f t="shared" si="68"/>
        <v>1400000</v>
      </c>
      <c r="R860" s="19">
        <f t="shared" si="69"/>
        <v>728000</v>
      </c>
    </row>
    <row r="861" spans="1:18" x14ac:dyDescent="0.25">
      <c r="A861" t="str">
        <f>_xlfn.XLOOKUP(C861,Raw_Data_Transaksi!$A$1:$A$1001,Raw_Data_Transaksi!$D$1:$D$1001,,0)</f>
        <v>PRD-113</v>
      </c>
      <c r="B861" t="str">
        <f>_xlfn.XLOOKUP(C861,Raw_Data_Transaksi!$A$1:$A$1001,Raw_Data_Transaksi!$C$1:$C$1001,,0)</f>
        <v>SLS-03</v>
      </c>
      <c r="C861" s="6" t="s">
        <v>945</v>
      </c>
      <c r="D861" s="7">
        <v>45715</v>
      </c>
      <c r="E861" s="10" t="str">
        <f>VLOOKUP(B861,Master_Sales!$A$1:$D$9,2,FALSE)</f>
        <v>Citra Lestari</v>
      </c>
      <c r="F861" s="10" t="str">
        <f>INDEX(Master_Sales!$D$1:$D$9,MATCH(Lembar_Kerja_Analisis!B861,Master_Sales!$A$1:$A$9,0))</f>
        <v>Barat</v>
      </c>
      <c r="G861" s="10" t="str">
        <f>INDEX(Master_Sales!$C$1:$C$9,MATCH(Lembar_Kerja_Analisis!B861,Master_Sales!$A$1:$A$9,0))</f>
        <v>Bandung</v>
      </c>
      <c r="H861" s="10" t="str">
        <f>VLOOKUP(A861,Master_Produk!$A$1:$E$16,2,FALSE)</f>
        <v>Wajan Anti Lengket 28cm</v>
      </c>
      <c r="I861" s="10" t="str">
        <f>INDEX(Master_Produk!$C$1:$C$16,MATCH(Lembar_Kerja_Analisis!A861,Master_Produk!$A$1:$A$16,0))</f>
        <v>Peralatan Rumah</v>
      </c>
      <c r="J861" s="19">
        <f>_xlfn.XLOOKUP(A861,Master_Produk!$A$1:$A$16,Master_Produk!$D$1:$D$16,,0)</f>
        <v>210000</v>
      </c>
      <c r="K861" s="19">
        <f>INDEX(Master_Produk!$E$1:$E$16,MATCH(Lembar_Kerja_Analisis!A861,Master_Produk!$A$1:$A$16,0))</f>
        <v>140000</v>
      </c>
      <c r="L861" s="8">
        <v>11</v>
      </c>
      <c r="M861" s="19">
        <f t="shared" si="65"/>
        <v>2310000</v>
      </c>
      <c r="N861" s="9">
        <v>0.15</v>
      </c>
      <c r="O861" s="19">
        <f t="shared" si="66"/>
        <v>346500</v>
      </c>
      <c r="P861" s="19">
        <f t="shared" si="67"/>
        <v>1963500</v>
      </c>
      <c r="Q861" s="19">
        <f t="shared" si="68"/>
        <v>1540000</v>
      </c>
      <c r="R861" s="19">
        <f t="shared" si="69"/>
        <v>423500</v>
      </c>
    </row>
    <row r="862" spans="1:18" x14ac:dyDescent="0.25">
      <c r="A862" t="str">
        <f>_xlfn.XLOOKUP(C862,Raw_Data_Transaksi!$A$1:$A$1001,Raw_Data_Transaksi!$D$1:$D$1001,,0)</f>
        <v>PRD-115</v>
      </c>
      <c r="B862" t="str">
        <f>_xlfn.XLOOKUP(C862,Raw_Data_Transaksi!$A$1:$A$1001,Raw_Data_Transaksi!$C$1:$C$1001,,0)</f>
        <v>SLS-01</v>
      </c>
      <c r="C862" s="6" t="s">
        <v>946</v>
      </c>
      <c r="D862" s="7">
        <v>46001</v>
      </c>
      <c r="E862" s="10" t="str">
        <f>VLOOKUP(B862,Master_Sales!$A$1:$D$9,2,FALSE)</f>
        <v>Andi Pratama</v>
      </c>
      <c r="F862" s="10" t="str">
        <f>INDEX(Master_Sales!$D$1:$D$9,MATCH(Lembar_Kerja_Analisis!B862,Master_Sales!$A$1:$A$9,0))</f>
        <v>Barat</v>
      </c>
      <c r="G862" s="10" t="str">
        <f>INDEX(Master_Sales!$C$1:$C$9,MATCH(Lembar_Kerja_Analisis!B862,Master_Sales!$A$1:$A$9,0))</f>
        <v>Jakarta</v>
      </c>
      <c r="H862" s="10" t="str">
        <f>VLOOKUP(A862,Master_Produk!$A$1:$E$16,2,FALSE)</f>
        <v>Set Pisau Dapur Stainless</v>
      </c>
      <c r="I862" s="10" t="str">
        <f>INDEX(Master_Produk!$C$1:$C$16,MATCH(Lembar_Kerja_Analisis!A862,Master_Produk!$A$1:$A$16,0))</f>
        <v>Peralatan Rumah</v>
      </c>
      <c r="J862" s="19">
        <f>_xlfn.XLOOKUP(A862,Master_Produk!$A$1:$A$16,Master_Produk!$D$1:$D$16,,0)</f>
        <v>165000</v>
      </c>
      <c r="K862" s="19">
        <f>INDEX(Master_Produk!$E$1:$E$16,MATCH(Lembar_Kerja_Analisis!A862,Master_Produk!$A$1:$A$16,0))</f>
        <v>105000</v>
      </c>
      <c r="L862" s="8">
        <v>1</v>
      </c>
      <c r="M862" s="19">
        <f t="shared" si="65"/>
        <v>165000</v>
      </c>
      <c r="N862" s="9">
        <v>0.1</v>
      </c>
      <c r="O862" s="19">
        <f t="shared" si="66"/>
        <v>16500</v>
      </c>
      <c r="P862" s="19">
        <f t="shared" si="67"/>
        <v>148500</v>
      </c>
      <c r="Q862" s="19">
        <f t="shared" si="68"/>
        <v>105000</v>
      </c>
      <c r="R862" s="19">
        <f t="shared" si="69"/>
        <v>43500</v>
      </c>
    </row>
    <row r="863" spans="1:18" x14ac:dyDescent="0.25">
      <c r="A863" t="str">
        <f>_xlfn.XLOOKUP(C863,Raw_Data_Transaksi!$A$1:$A$1001,Raw_Data_Transaksi!$D$1:$D$1001,,0)</f>
        <v>PRD-106</v>
      </c>
      <c r="B863" t="str">
        <f>_xlfn.XLOOKUP(C863,Raw_Data_Transaksi!$A$1:$A$1001,Raw_Data_Transaksi!$C$1:$C$1001,,0)</f>
        <v>SLS-08</v>
      </c>
      <c r="C863" s="6" t="s">
        <v>947</v>
      </c>
      <c r="D863" s="7">
        <v>45786</v>
      </c>
      <c r="E863" s="10" t="str">
        <f>VLOOKUP(B863,Master_Sales!$A$1:$D$9,2,FALSE)</f>
        <v>Hendra Wijaya</v>
      </c>
      <c r="F863" s="10" t="str">
        <f>INDEX(Master_Sales!$D$1:$D$9,MATCH(Lembar_Kerja_Analisis!B863,Master_Sales!$A$1:$A$9,0))</f>
        <v>Tengah</v>
      </c>
      <c r="G863" s="10" t="str">
        <f>INDEX(Master_Sales!$C$1:$C$9,MATCH(Lembar_Kerja_Analisis!B863,Master_Sales!$A$1:$A$9,0))</f>
        <v>Yogyakarta</v>
      </c>
      <c r="H863" s="10" t="str">
        <f>VLOOKUP(A863,Master_Produk!$A$1:$E$16,2,FALSE)</f>
        <v>Celana Chino Slim Fit</v>
      </c>
      <c r="I863" s="10" t="str">
        <f>INDEX(Master_Produk!$C$1:$C$16,MATCH(Lembar_Kerja_Analisis!A863,Master_Produk!$A$1:$A$16,0))</f>
        <v>Fashion</v>
      </c>
      <c r="J863" s="19">
        <f>_xlfn.XLOOKUP(A863,Master_Produk!$A$1:$A$16,Master_Produk!$D$1:$D$16,,0)</f>
        <v>280000</v>
      </c>
      <c r="K863" s="19">
        <f>INDEX(Master_Produk!$E$1:$E$16,MATCH(Lembar_Kerja_Analisis!A863,Master_Produk!$A$1:$A$16,0))</f>
        <v>175000</v>
      </c>
      <c r="L863" s="8">
        <v>1</v>
      </c>
      <c r="M863" s="19">
        <f t="shared" si="65"/>
        <v>280000</v>
      </c>
      <c r="N863" s="9">
        <v>0</v>
      </c>
      <c r="O863" s="19">
        <f t="shared" si="66"/>
        <v>0</v>
      </c>
      <c r="P863" s="19">
        <f t="shared" si="67"/>
        <v>280000</v>
      </c>
      <c r="Q863" s="19">
        <f t="shared" si="68"/>
        <v>175000</v>
      </c>
      <c r="R863" s="19">
        <f t="shared" si="69"/>
        <v>105000</v>
      </c>
    </row>
    <row r="864" spans="1:18" x14ac:dyDescent="0.25">
      <c r="A864" t="str">
        <f>_xlfn.XLOOKUP(C864,Raw_Data_Transaksi!$A$1:$A$1001,Raw_Data_Transaksi!$D$1:$D$1001,,0)</f>
        <v>PRD-113</v>
      </c>
      <c r="B864" t="str">
        <f>_xlfn.XLOOKUP(C864,Raw_Data_Transaksi!$A$1:$A$1001,Raw_Data_Transaksi!$C$1:$C$1001,,0)</f>
        <v>SLS-01</v>
      </c>
      <c r="C864" s="6" t="s">
        <v>948</v>
      </c>
      <c r="D864" s="7">
        <v>45738</v>
      </c>
      <c r="E864" s="10" t="str">
        <f>VLOOKUP(B864,Master_Sales!$A$1:$D$9,2,FALSE)</f>
        <v>Andi Pratama</v>
      </c>
      <c r="F864" s="10" t="str">
        <f>INDEX(Master_Sales!$D$1:$D$9,MATCH(Lembar_Kerja_Analisis!B864,Master_Sales!$A$1:$A$9,0))</f>
        <v>Barat</v>
      </c>
      <c r="G864" s="10" t="str">
        <f>INDEX(Master_Sales!$C$1:$C$9,MATCH(Lembar_Kerja_Analisis!B864,Master_Sales!$A$1:$A$9,0))</f>
        <v>Jakarta</v>
      </c>
      <c r="H864" s="10" t="str">
        <f>VLOOKUP(A864,Master_Produk!$A$1:$E$16,2,FALSE)</f>
        <v>Wajan Anti Lengket 28cm</v>
      </c>
      <c r="I864" s="10" t="str">
        <f>INDEX(Master_Produk!$C$1:$C$16,MATCH(Lembar_Kerja_Analisis!A864,Master_Produk!$A$1:$A$16,0))</f>
        <v>Peralatan Rumah</v>
      </c>
      <c r="J864" s="19">
        <f>_xlfn.XLOOKUP(A864,Master_Produk!$A$1:$A$16,Master_Produk!$D$1:$D$16,,0)</f>
        <v>210000</v>
      </c>
      <c r="K864" s="19">
        <f>INDEX(Master_Produk!$E$1:$E$16,MATCH(Lembar_Kerja_Analisis!A864,Master_Produk!$A$1:$A$16,0))</f>
        <v>140000</v>
      </c>
      <c r="L864" s="8">
        <v>8</v>
      </c>
      <c r="M864" s="19">
        <f t="shared" si="65"/>
        <v>1680000</v>
      </c>
      <c r="N864" s="9">
        <v>0.2</v>
      </c>
      <c r="O864" s="19">
        <f t="shared" si="66"/>
        <v>336000</v>
      </c>
      <c r="P864" s="19">
        <f t="shared" si="67"/>
        <v>1344000</v>
      </c>
      <c r="Q864" s="19">
        <f t="shared" si="68"/>
        <v>1120000</v>
      </c>
      <c r="R864" s="19">
        <f t="shared" si="69"/>
        <v>224000</v>
      </c>
    </row>
    <row r="865" spans="1:18" x14ac:dyDescent="0.25">
      <c r="A865" t="str">
        <f>_xlfn.XLOOKUP(C865,Raw_Data_Transaksi!$A$1:$A$1001,Raw_Data_Transaksi!$D$1:$D$1001,,0)</f>
        <v>PRD-110</v>
      </c>
      <c r="B865" t="str">
        <f>_xlfn.XLOOKUP(C865,Raw_Data_Transaksi!$A$1:$A$1001,Raw_Data_Transaksi!$C$1:$C$1001,,0)</f>
        <v>SLS-06</v>
      </c>
      <c r="C865" s="6" t="s">
        <v>949</v>
      </c>
      <c r="D865" s="7">
        <v>45885</v>
      </c>
      <c r="E865" s="10" t="str">
        <f>VLOOKUP(B865,Master_Sales!$A$1:$D$9,2,FALSE)</f>
        <v>Fajar Nugraha</v>
      </c>
      <c r="F865" s="10" t="str">
        <f>INDEX(Master_Sales!$D$1:$D$9,MATCH(Lembar_Kerja_Analisis!B865,Master_Sales!$A$1:$A$9,0))</f>
        <v>Timur</v>
      </c>
      <c r="G865" s="10" t="str">
        <f>INDEX(Master_Sales!$C$1:$C$9,MATCH(Lembar_Kerja_Analisis!B865,Master_Sales!$A$1:$A$9,0))</f>
        <v>Makassar</v>
      </c>
      <c r="H865" s="10" t="str">
        <f>VLOOKUP(A865,Master_Produk!$A$1:$E$16,2,FALSE)</f>
        <v>Minyak Goreng Sawit 2L</v>
      </c>
      <c r="I865" s="10" t="str">
        <f>INDEX(Master_Produk!$C$1:$C$16,MATCH(Lembar_Kerja_Analisis!A865,Master_Produk!$A$1:$A$16,0))</f>
        <v>F&amp;B</v>
      </c>
      <c r="J865" s="19">
        <f>_xlfn.XLOOKUP(A865,Master_Produk!$A$1:$A$16,Master_Produk!$D$1:$D$16,,0)</f>
        <v>36000</v>
      </c>
      <c r="K865" s="19">
        <f>INDEX(Master_Produk!$E$1:$E$16,MATCH(Lembar_Kerja_Analisis!A865,Master_Produk!$A$1:$A$16,0))</f>
        <v>31000</v>
      </c>
      <c r="L865" s="8">
        <v>9</v>
      </c>
      <c r="M865" s="19">
        <f t="shared" si="65"/>
        <v>324000</v>
      </c>
      <c r="N865" s="9">
        <v>0.1</v>
      </c>
      <c r="O865" s="19">
        <f t="shared" si="66"/>
        <v>32400</v>
      </c>
      <c r="P865" s="19">
        <f t="shared" si="67"/>
        <v>291600</v>
      </c>
      <c r="Q865" s="19">
        <f t="shared" si="68"/>
        <v>279000</v>
      </c>
      <c r="R865" s="19">
        <f t="shared" si="69"/>
        <v>12600</v>
      </c>
    </row>
    <row r="866" spans="1:18" x14ac:dyDescent="0.25">
      <c r="A866" t="str">
        <f>_xlfn.XLOOKUP(C866,Raw_Data_Transaksi!$A$1:$A$1001,Raw_Data_Transaksi!$D$1:$D$1001,,0)</f>
        <v>PRD-102</v>
      </c>
      <c r="B866" t="str">
        <f>_xlfn.XLOOKUP(C866,Raw_Data_Transaksi!$A$1:$A$1001,Raw_Data_Transaksi!$C$1:$C$1001,,0)</f>
        <v>SLS-04</v>
      </c>
      <c r="C866" s="6" t="s">
        <v>950</v>
      </c>
      <c r="D866" s="7">
        <v>45774</v>
      </c>
      <c r="E866" s="10" t="str">
        <f>VLOOKUP(B866,Master_Sales!$A$1:$D$9,2,FALSE)</f>
        <v>Dewi Anggraini</v>
      </c>
      <c r="F866" s="10" t="str">
        <f>INDEX(Master_Sales!$D$1:$D$9,MATCH(Lembar_Kerja_Analisis!B866,Master_Sales!$A$1:$A$9,0))</f>
        <v>Barat</v>
      </c>
      <c r="G866" s="10" t="str">
        <f>INDEX(Master_Sales!$C$1:$C$9,MATCH(Lembar_Kerja_Analisis!B866,Master_Sales!$A$1:$A$9,0))</f>
        <v>Medan</v>
      </c>
      <c r="H866" s="10" t="str">
        <f>VLOOKUP(A866,Master_Produk!$A$1:$E$16,2,FALSE)</f>
        <v>Wireless Mouse Ergonomic</v>
      </c>
      <c r="I866" s="10" t="str">
        <f>INDEX(Master_Produk!$C$1:$C$16,MATCH(Lembar_Kerja_Analisis!A866,Master_Produk!$A$1:$A$16,0))</f>
        <v>Elektronik</v>
      </c>
      <c r="J866" s="19">
        <f>_xlfn.XLOOKUP(A866,Master_Produk!$A$1:$A$16,Master_Produk!$D$1:$D$16,,0)</f>
        <v>250000</v>
      </c>
      <c r="K866" s="19">
        <f>INDEX(Master_Produk!$E$1:$E$16,MATCH(Lembar_Kerja_Analisis!A866,Master_Produk!$A$1:$A$16,0))</f>
        <v>160000</v>
      </c>
      <c r="L866" s="8">
        <v>12</v>
      </c>
      <c r="M866" s="19">
        <f t="shared" si="65"/>
        <v>3000000</v>
      </c>
      <c r="N866" s="9">
        <v>0.15</v>
      </c>
      <c r="O866" s="19">
        <f t="shared" si="66"/>
        <v>450000</v>
      </c>
      <c r="P866" s="19">
        <f t="shared" si="67"/>
        <v>2550000</v>
      </c>
      <c r="Q866" s="19">
        <f t="shared" si="68"/>
        <v>1920000</v>
      </c>
      <c r="R866" s="19">
        <f t="shared" si="69"/>
        <v>630000</v>
      </c>
    </row>
    <row r="867" spans="1:18" x14ac:dyDescent="0.25">
      <c r="A867" t="str">
        <f>_xlfn.XLOOKUP(C867,Raw_Data_Transaksi!$A$1:$A$1001,Raw_Data_Transaksi!$D$1:$D$1001,,0)</f>
        <v>PRD-108</v>
      </c>
      <c r="B867" t="str">
        <f>_xlfn.XLOOKUP(C867,Raw_Data_Transaksi!$A$1:$A$1001,Raw_Data_Transaksi!$C$1:$C$1001,,0)</f>
        <v>SLS-08</v>
      </c>
      <c r="C867" s="6" t="s">
        <v>951</v>
      </c>
      <c r="D867" s="7">
        <v>45695</v>
      </c>
      <c r="E867" s="10" t="str">
        <f>VLOOKUP(B867,Master_Sales!$A$1:$D$9,2,FALSE)</f>
        <v>Hendra Wijaya</v>
      </c>
      <c r="F867" s="10" t="str">
        <f>INDEX(Master_Sales!$D$1:$D$9,MATCH(Lembar_Kerja_Analisis!B867,Master_Sales!$A$1:$A$9,0))</f>
        <v>Tengah</v>
      </c>
      <c r="G867" s="10" t="str">
        <f>INDEX(Master_Sales!$C$1:$C$9,MATCH(Lembar_Kerja_Analisis!B867,Master_Sales!$A$1:$A$9,0))</f>
        <v>Yogyakarta</v>
      </c>
      <c r="H867" s="10" t="str">
        <f>VLOOKUP(A867,Master_Produk!$A$1:$E$16,2,FALSE)</f>
        <v>Sepatu Sneakers Pria/Wanita</v>
      </c>
      <c r="I867" s="10" t="str">
        <f>INDEX(Master_Produk!$C$1:$C$16,MATCH(Lembar_Kerja_Analisis!A867,Master_Produk!$A$1:$A$16,0))</f>
        <v>Fashion</v>
      </c>
      <c r="J867" s="19">
        <f>_xlfn.XLOOKUP(A867,Master_Produk!$A$1:$A$16,Master_Produk!$D$1:$D$16,,0)</f>
        <v>450000</v>
      </c>
      <c r="K867" s="19">
        <f>INDEX(Master_Produk!$E$1:$E$16,MATCH(Lembar_Kerja_Analisis!A867,Master_Produk!$A$1:$A$16,0))</f>
        <v>290000</v>
      </c>
      <c r="L867" s="8">
        <v>1</v>
      </c>
      <c r="M867" s="19">
        <f t="shared" si="65"/>
        <v>450000</v>
      </c>
      <c r="N867" s="9">
        <v>0.15</v>
      </c>
      <c r="O867" s="19">
        <f t="shared" si="66"/>
        <v>67500</v>
      </c>
      <c r="P867" s="19">
        <f t="shared" si="67"/>
        <v>382500</v>
      </c>
      <c r="Q867" s="19">
        <f t="shared" si="68"/>
        <v>290000</v>
      </c>
      <c r="R867" s="19">
        <f t="shared" si="69"/>
        <v>92500</v>
      </c>
    </row>
    <row r="868" spans="1:18" x14ac:dyDescent="0.25">
      <c r="A868" t="str">
        <f>_xlfn.XLOOKUP(C868,Raw_Data_Transaksi!$A$1:$A$1001,Raw_Data_Transaksi!$D$1:$D$1001,,0)</f>
        <v>PRD-107</v>
      </c>
      <c r="B868" t="str">
        <f>_xlfn.XLOOKUP(C868,Raw_Data_Transaksi!$A$1:$A$1001,Raw_Data_Transaksi!$C$1:$C$1001,,0)</f>
        <v>SLS-06</v>
      </c>
      <c r="C868" s="6" t="s">
        <v>952</v>
      </c>
      <c r="D868" s="7">
        <v>45749</v>
      </c>
      <c r="E868" s="10" t="str">
        <f>VLOOKUP(B868,Master_Sales!$A$1:$D$9,2,FALSE)</f>
        <v>Fajar Nugraha</v>
      </c>
      <c r="F868" s="10" t="str">
        <f>INDEX(Master_Sales!$D$1:$D$9,MATCH(Lembar_Kerja_Analisis!B868,Master_Sales!$A$1:$A$9,0))</f>
        <v>Timur</v>
      </c>
      <c r="G868" s="10" t="str">
        <f>INDEX(Master_Sales!$C$1:$C$9,MATCH(Lembar_Kerja_Analisis!B868,Master_Sales!$A$1:$A$9,0))</f>
        <v>Makassar</v>
      </c>
      <c r="H868" s="10" t="str">
        <f>VLOOKUP(A868,Master_Produk!$A$1:$E$16,2,FALSE)</f>
        <v>Jaket Hoodie Casual</v>
      </c>
      <c r="I868" s="10" t="str">
        <f>INDEX(Master_Produk!$C$1:$C$16,MATCH(Lembar_Kerja_Analisis!A868,Master_Produk!$A$1:$A$16,0))</f>
        <v>Fashion</v>
      </c>
      <c r="J868" s="19">
        <f>_xlfn.XLOOKUP(A868,Master_Produk!$A$1:$A$16,Master_Produk!$D$1:$D$16,,0)</f>
        <v>350000</v>
      </c>
      <c r="K868" s="19">
        <f>INDEX(Master_Produk!$E$1:$E$16,MATCH(Lembar_Kerja_Analisis!A868,Master_Produk!$A$1:$A$16,0))</f>
        <v>220000</v>
      </c>
      <c r="L868" s="8">
        <v>3</v>
      </c>
      <c r="M868" s="19">
        <f t="shared" si="65"/>
        <v>1050000</v>
      </c>
      <c r="N868" s="9">
        <v>0.15</v>
      </c>
      <c r="O868" s="19">
        <f t="shared" si="66"/>
        <v>157500</v>
      </c>
      <c r="P868" s="19">
        <f t="shared" si="67"/>
        <v>892500</v>
      </c>
      <c r="Q868" s="19">
        <f t="shared" si="68"/>
        <v>660000</v>
      </c>
      <c r="R868" s="19">
        <f t="shared" si="69"/>
        <v>232500</v>
      </c>
    </row>
    <row r="869" spans="1:18" x14ac:dyDescent="0.25">
      <c r="A869" t="str">
        <f>_xlfn.XLOOKUP(C869,Raw_Data_Transaksi!$A$1:$A$1001,Raw_Data_Transaksi!$D$1:$D$1001,,0)</f>
        <v>PRD-104</v>
      </c>
      <c r="B869" t="str">
        <f>_xlfn.XLOOKUP(C869,Raw_Data_Transaksi!$A$1:$A$1001,Raw_Data_Transaksi!$C$1:$C$1001,,0)</f>
        <v>SLS-06</v>
      </c>
      <c r="C869" s="6" t="s">
        <v>953</v>
      </c>
      <c r="D869" s="7">
        <v>45796</v>
      </c>
      <c r="E869" s="10" t="str">
        <f>VLOOKUP(B869,Master_Sales!$A$1:$D$9,2,FALSE)</f>
        <v>Fajar Nugraha</v>
      </c>
      <c r="F869" s="10" t="str">
        <f>INDEX(Master_Sales!$D$1:$D$9,MATCH(Lembar_Kerja_Analisis!B869,Master_Sales!$A$1:$A$9,0))</f>
        <v>Timur</v>
      </c>
      <c r="G869" s="10" t="str">
        <f>INDEX(Master_Sales!$C$1:$C$9,MATCH(Lembar_Kerja_Analisis!B869,Master_Sales!$A$1:$A$9,0))</f>
        <v>Makassar</v>
      </c>
      <c r="H869" s="10" t="str">
        <f>VLOOKUP(A869,Master_Produk!$A$1:$E$16,2,FALSE)</f>
        <v>Monitor 24" FHD 144Hz</v>
      </c>
      <c r="I869" s="10" t="str">
        <f>INDEX(Master_Produk!$C$1:$C$16,MATCH(Lembar_Kerja_Analisis!A869,Master_Produk!$A$1:$A$16,0))</f>
        <v>Elektronik</v>
      </c>
      <c r="J869" s="19">
        <f>_xlfn.XLOOKUP(A869,Master_Produk!$A$1:$A$16,Master_Produk!$D$1:$D$16,,0)</f>
        <v>1950000</v>
      </c>
      <c r="K869" s="19">
        <f>INDEX(Master_Produk!$E$1:$E$16,MATCH(Lembar_Kerja_Analisis!A869,Master_Produk!$A$1:$A$16,0))</f>
        <v>1500000</v>
      </c>
      <c r="L869" s="8">
        <v>3</v>
      </c>
      <c r="M869" s="19">
        <f t="shared" si="65"/>
        <v>5850000</v>
      </c>
      <c r="N869" s="9">
        <v>0</v>
      </c>
      <c r="O869" s="19">
        <f t="shared" si="66"/>
        <v>0</v>
      </c>
      <c r="P869" s="19">
        <f t="shared" si="67"/>
        <v>5850000</v>
      </c>
      <c r="Q869" s="19">
        <f t="shared" si="68"/>
        <v>4500000</v>
      </c>
      <c r="R869" s="19">
        <f t="shared" si="69"/>
        <v>1350000</v>
      </c>
    </row>
    <row r="870" spans="1:18" x14ac:dyDescent="0.25">
      <c r="A870" t="str">
        <f>_xlfn.XLOOKUP(C870,Raw_Data_Transaksi!$A$1:$A$1001,Raw_Data_Transaksi!$D$1:$D$1001,,0)</f>
        <v>PRD-114</v>
      </c>
      <c r="B870" t="str">
        <f>_xlfn.XLOOKUP(C870,Raw_Data_Transaksi!$A$1:$A$1001,Raw_Data_Transaksi!$C$1:$C$1001,,0)</f>
        <v>SLS-08</v>
      </c>
      <c r="C870" s="6" t="s">
        <v>954</v>
      </c>
      <c r="D870" s="7">
        <v>45714</v>
      </c>
      <c r="E870" s="10" t="str">
        <f>VLOOKUP(B870,Master_Sales!$A$1:$D$9,2,FALSE)</f>
        <v>Hendra Wijaya</v>
      </c>
      <c r="F870" s="10" t="str">
        <f>INDEX(Master_Sales!$D$1:$D$9,MATCH(Lembar_Kerja_Analisis!B870,Master_Sales!$A$1:$A$9,0))</f>
        <v>Tengah</v>
      </c>
      <c r="G870" s="10" t="str">
        <f>INDEX(Master_Sales!$C$1:$C$9,MATCH(Lembar_Kerja_Analisis!B870,Master_Sales!$A$1:$A$9,0))</f>
        <v>Yogyakarta</v>
      </c>
      <c r="H870" s="10" t="str">
        <f>VLOOKUP(A870,Master_Produk!$A$1:$E$16,2,FALSE)</f>
        <v>Blender Multifungsi 2-in-1</v>
      </c>
      <c r="I870" s="10" t="str">
        <f>INDEX(Master_Produk!$C$1:$C$16,MATCH(Lembar_Kerja_Analisis!A870,Master_Produk!$A$1:$A$16,0))</f>
        <v>Peralatan Rumah</v>
      </c>
      <c r="J870" s="19">
        <f>_xlfn.XLOOKUP(A870,Master_Produk!$A$1:$A$16,Master_Produk!$D$1:$D$16,,0)</f>
        <v>340000</v>
      </c>
      <c r="K870" s="19">
        <f>INDEX(Master_Produk!$E$1:$E$16,MATCH(Lembar_Kerja_Analisis!A870,Master_Produk!$A$1:$A$16,0))</f>
        <v>240000</v>
      </c>
      <c r="L870" s="8">
        <v>8</v>
      </c>
      <c r="M870" s="19">
        <f t="shared" si="65"/>
        <v>2720000</v>
      </c>
      <c r="N870" s="9">
        <v>0.15</v>
      </c>
      <c r="O870" s="19">
        <f t="shared" si="66"/>
        <v>408000</v>
      </c>
      <c r="P870" s="19">
        <f t="shared" si="67"/>
        <v>2312000</v>
      </c>
      <c r="Q870" s="19">
        <f t="shared" si="68"/>
        <v>1920000</v>
      </c>
      <c r="R870" s="19">
        <f t="shared" si="69"/>
        <v>392000</v>
      </c>
    </row>
    <row r="871" spans="1:18" x14ac:dyDescent="0.25">
      <c r="A871" t="str">
        <f>_xlfn.XLOOKUP(C871,Raw_Data_Transaksi!$A$1:$A$1001,Raw_Data_Transaksi!$D$1:$D$1001,,0)</f>
        <v>PRD-110</v>
      </c>
      <c r="B871" t="str">
        <f>_xlfn.XLOOKUP(C871,Raw_Data_Transaksi!$A$1:$A$1001,Raw_Data_Transaksi!$C$1:$C$1001,,0)</f>
        <v>SLS-03</v>
      </c>
      <c r="C871" s="6" t="s">
        <v>955</v>
      </c>
      <c r="D871" s="7">
        <v>45809</v>
      </c>
      <c r="E871" s="10" t="str">
        <f>VLOOKUP(B871,Master_Sales!$A$1:$D$9,2,FALSE)</f>
        <v>Citra Lestari</v>
      </c>
      <c r="F871" s="10" t="str">
        <f>INDEX(Master_Sales!$D$1:$D$9,MATCH(Lembar_Kerja_Analisis!B871,Master_Sales!$A$1:$A$9,0))</f>
        <v>Barat</v>
      </c>
      <c r="G871" s="10" t="str">
        <f>INDEX(Master_Sales!$C$1:$C$9,MATCH(Lembar_Kerja_Analisis!B871,Master_Sales!$A$1:$A$9,0))</f>
        <v>Bandung</v>
      </c>
      <c r="H871" s="10" t="str">
        <f>VLOOKUP(A871,Master_Produk!$A$1:$E$16,2,FALSE)</f>
        <v>Minyak Goreng Sawit 2L</v>
      </c>
      <c r="I871" s="10" t="str">
        <f>INDEX(Master_Produk!$C$1:$C$16,MATCH(Lembar_Kerja_Analisis!A871,Master_Produk!$A$1:$A$16,0))</f>
        <v>F&amp;B</v>
      </c>
      <c r="J871" s="19">
        <f>_xlfn.XLOOKUP(A871,Master_Produk!$A$1:$A$16,Master_Produk!$D$1:$D$16,,0)</f>
        <v>36000</v>
      </c>
      <c r="K871" s="19">
        <f>INDEX(Master_Produk!$E$1:$E$16,MATCH(Lembar_Kerja_Analisis!A871,Master_Produk!$A$1:$A$16,0))</f>
        <v>31000</v>
      </c>
      <c r="L871" s="8">
        <v>22</v>
      </c>
      <c r="M871" s="19">
        <f t="shared" si="65"/>
        <v>792000</v>
      </c>
      <c r="N871" s="9">
        <v>0.05</v>
      </c>
      <c r="O871" s="19">
        <f t="shared" si="66"/>
        <v>39600</v>
      </c>
      <c r="P871" s="19">
        <f t="shared" si="67"/>
        <v>752400</v>
      </c>
      <c r="Q871" s="19">
        <f t="shared" si="68"/>
        <v>682000</v>
      </c>
      <c r="R871" s="19">
        <f t="shared" si="69"/>
        <v>70400</v>
      </c>
    </row>
    <row r="872" spans="1:18" x14ac:dyDescent="0.25">
      <c r="A872" t="str">
        <f>_xlfn.XLOOKUP(C872,Raw_Data_Transaksi!$A$1:$A$1001,Raw_Data_Transaksi!$D$1:$D$1001,,0)</f>
        <v>PRD-108</v>
      </c>
      <c r="B872" t="str">
        <f>_xlfn.XLOOKUP(C872,Raw_Data_Transaksi!$A$1:$A$1001,Raw_Data_Transaksi!$C$1:$C$1001,,0)</f>
        <v>SLS-04</v>
      </c>
      <c r="C872" s="6" t="s">
        <v>956</v>
      </c>
      <c r="D872" s="7">
        <v>45925</v>
      </c>
      <c r="E872" s="10" t="str">
        <f>VLOOKUP(B872,Master_Sales!$A$1:$D$9,2,FALSE)</f>
        <v>Dewi Anggraini</v>
      </c>
      <c r="F872" s="10" t="str">
        <f>INDEX(Master_Sales!$D$1:$D$9,MATCH(Lembar_Kerja_Analisis!B872,Master_Sales!$A$1:$A$9,0))</f>
        <v>Barat</v>
      </c>
      <c r="G872" s="10" t="str">
        <f>INDEX(Master_Sales!$C$1:$C$9,MATCH(Lembar_Kerja_Analisis!B872,Master_Sales!$A$1:$A$9,0))</f>
        <v>Medan</v>
      </c>
      <c r="H872" s="10" t="str">
        <f>VLOOKUP(A872,Master_Produk!$A$1:$E$16,2,FALSE)</f>
        <v>Sepatu Sneakers Pria/Wanita</v>
      </c>
      <c r="I872" s="10" t="str">
        <f>INDEX(Master_Produk!$C$1:$C$16,MATCH(Lembar_Kerja_Analisis!A872,Master_Produk!$A$1:$A$16,0))</f>
        <v>Fashion</v>
      </c>
      <c r="J872" s="19">
        <f>_xlfn.XLOOKUP(A872,Master_Produk!$A$1:$A$16,Master_Produk!$D$1:$D$16,,0)</f>
        <v>450000</v>
      </c>
      <c r="K872" s="19">
        <f>INDEX(Master_Produk!$E$1:$E$16,MATCH(Lembar_Kerja_Analisis!A872,Master_Produk!$A$1:$A$16,0))</f>
        <v>290000</v>
      </c>
      <c r="L872" s="8">
        <v>10</v>
      </c>
      <c r="M872" s="19">
        <f t="shared" si="65"/>
        <v>4500000</v>
      </c>
      <c r="N872" s="9">
        <v>0.15</v>
      </c>
      <c r="O872" s="19">
        <f t="shared" si="66"/>
        <v>675000</v>
      </c>
      <c r="P872" s="19">
        <f t="shared" si="67"/>
        <v>3825000</v>
      </c>
      <c r="Q872" s="19">
        <f t="shared" si="68"/>
        <v>2900000</v>
      </c>
      <c r="R872" s="19">
        <f t="shared" si="69"/>
        <v>925000</v>
      </c>
    </row>
    <row r="873" spans="1:18" x14ac:dyDescent="0.25">
      <c r="A873" t="str">
        <f>_xlfn.XLOOKUP(C873,Raw_Data_Transaksi!$A$1:$A$1001,Raw_Data_Transaksi!$D$1:$D$1001,,0)</f>
        <v>PRD-112</v>
      </c>
      <c r="B873" t="str">
        <f>_xlfn.XLOOKUP(C873,Raw_Data_Transaksi!$A$1:$A$1001,Raw_Data_Transaksi!$C$1:$C$1001,,0)</f>
        <v>SLS-04</v>
      </c>
      <c r="C873" s="6" t="s">
        <v>957</v>
      </c>
      <c r="D873" s="7">
        <v>45877</v>
      </c>
      <c r="E873" s="10" t="str">
        <f>VLOOKUP(B873,Master_Sales!$A$1:$D$9,2,FALSE)</f>
        <v>Dewi Anggraini</v>
      </c>
      <c r="F873" s="10" t="str">
        <f>INDEX(Master_Sales!$D$1:$D$9,MATCH(Lembar_Kerja_Analisis!B873,Master_Sales!$A$1:$A$9,0))</f>
        <v>Barat</v>
      </c>
      <c r="G873" s="10" t="str">
        <f>INDEX(Master_Sales!$C$1:$C$9,MATCH(Lembar_Kerja_Analisis!B873,Master_Sales!$A$1:$A$9,0))</f>
        <v>Medan</v>
      </c>
      <c r="H873" s="10" t="str">
        <f>VLOOKUP(A873,Master_Produk!$A$1:$E$16,2,FALSE)</f>
        <v>Susu UHT Full Cream 1L</v>
      </c>
      <c r="I873" s="10" t="str">
        <f>INDEX(Master_Produk!$C$1:$C$16,MATCH(Lembar_Kerja_Analisis!A873,Master_Produk!$A$1:$A$16,0))</f>
        <v>F&amp;B</v>
      </c>
      <c r="J873" s="19">
        <f>_xlfn.XLOOKUP(A873,Master_Produk!$A$1:$A$16,Master_Produk!$D$1:$D$16,,0)</f>
        <v>22000</v>
      </c>
      <c r="K873" s="19">
        <f>INDEX(Master_Produk!$E$1:$E$16,MATCH(Lembar_Kerja_Analisis!A873,Master_Produk!$A$1:$A$16,0))</f>
        <v>18000</v>
      </c>
      <c r="L873" s="8">
        <v>13</v>
      </c>
      <c r="M873" s="19">
        <f t="shared" si="65"/>
        <v>286000</v>
      </c>
      <c r="N873" s="9">
        <v>0.15</v>
      </c>
      <c r="O873" s="19">
        <f t="shared" si="66"/>
        <v>42900</v>
      </c>
      <c r="P873" s="19">
        <f t="shared" si="67"/>
        <v>243100</v>
      </c>
      <c r="Q873" s="19">
        <f t="shared" si="68"/>
        <v>234000</v>
      </c>
      <c r="R873" s="19">
        <f t="shared" si="69"/>
        <v>9100</v>
      </c>
    </row>
    <row r="874" spans="1:18" x14ac:dyDescent="0.25">
      <c r="A874" t="str">
        <f>_xlfn.XLOOKUP(C874,Raw_Data_Transaksi!$A$1:$A$1001,Raw_Data_Transaksi!$D$1:$D$1001,,0)</f>
        <v>PRD-115</v>
      </c>
      <c r="B874" t="str">
        <f>_xlfn.XLOOKUP(C874,Raw_Data_Transaksi!$A$1:$A$1001,Raw_Data_Transaksi!$C$1:$C$1001,,0)</f>
        <v>SLS-01</v>
      </c>
      <c r="C874" s="6" t="s">
        <v>958</v>
      </c>
      <c r="D874" s="7">
        <v>45951</v>
      </c>
      <c r="E874" s="10" t="str">
        <f>VLOOKUP(B874,Master_Sales!$A$1:$D$9,2,FALSE)</f>
        <v>Andi Pratama</v>
      </c>
      <c r="F874" s="10" t="str">
        <f>INDEX(Master_Sales!$D$1:$D$9,MATCH(Lembar_Kerja_Analisis!B874,Master_Sales!$A$1:$A$9,0))</f>
        <v>Barat</v>
      </c>
      <c r="G874" s="10" t="str">
        <f>INDEX(Master_Sales!$C$1:$C$9,MATCH(Lembar_Kerja_Analisis!B874,Master_Sales!$A$1:$A$9,0))</f>
        <v>Jakarta</v>
      </c>
      <c r="H874" s="10" t="str">
        <f>VLOOKUP(A874,Master_Produk!$A$1:$E$16,2,FALSE)</f>
        <v>Set Pisau Dapur Stainless</v>
      </c>
      <c r="I874" s="10" t="str">
        <f>INDEX(Master_Produk!$C$1:$C$16,MATCH(Lembar_Kerja_Analisis!A874,Master_Produk!$A$1:$A$16,0))</f>
        <v>Peralatan Rumah</v>
      </c>
      <c r="J874" s="19">
        <f>_xlfn.XLOOKUP(A874,Master_Produk!$A$1:$A$16,Master_Produk!$D$1:$D$16,,0)</f>
        <v>165000</v>
      </c>
      <c r="K874" s="19">
        <f>INDEX(Master_Produk!$E$1:$E$16,MATCH(Lembar_Kerja_Analisis!A874,Master_Produk!$A$1:$A$16,0))</f>
        <v>105000</v>
      </c>
      <c r="L874" s="8">
        <v>7</v>
      </c>
      <c r="M874" s="19">
        <f t="shared" si="65"/>
        <v>1155000</v>
      </c>
      <c r="N874" s="9">
        <v>0</v>
      </c>
      <c r="O874" s="19">
        <f t="shared" si="66"/>
        <v>0</v>
      </c>
      <c r="P874" s="19">
        <f t="shared" si="67"/>
        <v>1155000</v>
      </c>
      <c r="Q874" s="19">
        <f t="shared" si="68"/>
        <v>735000</v>
      </c>
      <c r="R874" s="19">
        <f t="shared" si="69"/>
        <v>420000</v>
      </c>
    </row>
    <row r="875" spans="1:18" x14ac:dyDescent="0.25">
      <c r="A875" t="str">
        <f>_xlfn.XLOOKUP(C875,Raw_Data_Transaksi!$A$1:$A$1001,Raw_Data_Transaksi!$D$1:$D$1001,,0)</f>
        <v>PRD-109</v>
      </c>
      <c r="B875" t="str">
        <f>_xlfn.XLOOKUP(C875,Raw_Data_Transaksi!$A$1:$A$1001,Raw_Data_Transaksi!$C$1:$C$1001,,0)</f>
        <v>SLS-07</v>
      </c>
      <c r="C875" s="6" t="s">
        <v>959</v>
      </c>
      <c r="D875" s="7">
        <v>45875</v>
      </c>
      <c r="E875" s="10" t="str">
        <f>VLOOKUP(B875,Master_Sales!$A$1:$D$9,2,FALSE)</f>
        <v>Gita Permata</v>
      </c>
      <c r="F875" s="10" t="str">
        <f>INDEX(Master_Sales!$D$1:$D$9,MATCH(Lembar_Kerja_Analisis!B875,Master_Sales!$A$1:$A$9,0))</f>
        <v>Tengah</v>
      </c>
      <c r="G875" s="10" t="str">
        <f>INDEX(Master_Sales!$C$1:$C$9,MATCH(Lembar_Kerja_Analisis!B875,Master_Sales!$A$1:$A$9,0))</f>
        <v>Denpasar</v>
      </c>
      <c r="H875" s="10" t="str">
        <f>VLOOKUP(A875,Master_Produk!$A$1:$E$16,2,FALSE)</f>
        <v>Kopi Arabika Gayo 250g</v>
      </c>
      <c r="I875" s="10" t="str">
        <f>INDEX(Master_Produk!$C$1:$C$16,MATCH(Lembar_Kerja_Analisis!A875,Master_Produk!$A$1:$A$16,0))</f>
        <v>F&amp;B</v>
      </c>
      <c r="J875" s="19">
        <f>_xlfn.XLOOKUP(A875,Master_Produk!$A$1:$A$16,Master_Produk!$D$1:$D$16,,0)</f>
        <v>85000</v>
      </c>
      <c r="K875" s="19">
        <f>INDEX(Master_Produk!$E$1:$E$16,MATCH(Lembar_Kerja_Analisis!A875,Master_Produk!$A$1:$A$16,0))</f>
        <v>55000</v>
      </c>
      <c r="L875" s="8">
        <v>28</v>
      </c>
      <c r="M875" s="19">
        <f t="shared" si="65"/>
        <v>2380000</v>
      </c>
      <c r="N875" s="9">
        <v>0</v>
      </c>
      <c r="O875" s="19">
        <f t="shared" si="66"/>
        <v>0</v>
      </c>
      <c r="P875" s="19">
        <f t="shared" si="67"/>
        <v>2380000</v>
      </c>
      <c r="Q875" s="19">
        <f t="shared" si="68"/>
        <v>1540000</v>
      </c>
      <c r="R875" s="19">
        <f t="shared" si="69"/>
        <v>840000</v>
      </c>
    </row>
    <row r="876" spans="1:18" x14ac:dyDescent="0.25">
      <c r="A876" t="str">
        <f>_xlfn.XLOOKUP(C876,Raw_Data_Transaksi!$A$1:$A$1001,Raw_Data_Transaksi!$D$1:$D$1001,,0)</f>
        <v>PRD-109</v>
      </c>
      <c r="B876" t="str">
        <f>_xlfn.XLOOKUP(C876,Raw_Data_Transaksi!$A$1:$A$1001,Raw_Data_Transaksi!$C$1:$C$1001,,0)</f>
        <v>SLS-01</v>
      </c>
      <c r="C876" s="6" t="s">
        <v>960</v>
      </c>
      <c r="D876" s="7">
        <v>45700</v>
      </c>
      <c r="E876" s="10" t="str">
        <f>VLOOKUP(B876,Master_Sales!$A$1:$D$9,2,FALSE)</f>
        <v>Andi Pratama</v>
      </c>
      <c r="F876" s="10" t="str">
        <f>INDEX(Master_Sales!$D$1:$D$9,MATCH(Lembar_Kerja_Analisis!B876,Master_Sales!$A$1:$A$9,0))</f>
        <v>Barat</v>
      </c>
      <c r="G876" s="10" t="str">
        <f>INDEX(Master_Sales!$C$1:$C$9,MATCH(Lembar_Kerja_Analisis!B876,Master_Sales!$A$1:$A$9,0))</f>
        <v>Jakarta</v>
      </c>
      <c r="H876" s="10" t="str">
        <f>VLOOKUP(A876,Master_Produk!$A$1:$E$16,2,FALSE)</f>
        <v>Kopi Arabika Gayo 250g</v>
      </c>
      <c r="I876" s="10" t="str">
        <f>INDEX(Master_Produk!$C$1:$C$16,MATCH(Lembar_Kerja_Analisis!A876,Master_Produk!$A$1:$A$16,0))</f>
        <v>F&amp;B</v>
      </c>
      <c r="J876" s="19">
        <f>_xlfn.XLOOKUP(A876,Master_Produk!$A$1:$A$16,Master_Produk!$D$1:$D$16,,0)</f>
        <v>85000</v>
      </c>
      <c r="K876" s="19">
        <f>INDEX(Master_Produk!$E$1:$E$16,MATCH(Lembar_Kerja_Analisis!A876,Master_Produk!$A$1:$A$16,0))</f>
        <v>55000</v>
      </c>
      <c r="L876" s="8">
        <v>26</v>
      </c>
      <c r="M876" s="19">
        <f t="shared" si="65"/>
        <v>2210000</v>
      </c>
      <c r="N876" s="9">
        <v>0.15</v>
      </c>
      <c r="O876" s="19">
        <f t="shared" si="66"/>
        <v>331500</v>
      </c>
      <c r="P876" s="19">
        <f t="shared" si="67"/>
        <v>1878500</v>
      </c>
      <c r="Q876" s="19">
        <f t="shared" si="68"/>
        <v>1430000</v>
      </c>
      <c r="R876" s="19">
        <f t="shared" si="69"/>
        <v>448500</v>
      </c>
    </row>
    <row r="877" spans="1:18" x14ac:dyDescent="0.25">
      <c r="A877" t="str">
        <f>_xlfn.XLOOKUP(C877,Raw_Data_Transaksi!$A$1:$A$1001,Raw_Data_Transaksi!$D$1:$D$1001,,0)</f>
        <v>PRD-104</v>
      </c>
      <c r="B877" t="str">
        <f>_xlfn.XLOOKUP(C877,Raw_Data_Transaksi!$A$1:$A$1001,Raw_Data_Transaksi!$C$1:$C$1001,,0)</f>
        <v>SLS-02</v>
      </c>
      <c r="C877" s="6" t="s">
        <v>961</v>
      </c>
      <c r="D877" s="7">
        <v>45809</v>
      </c>
      <c r="E877" s="10" t="str">
        <f>VLOOKUP(B877,Master_Sales!$A$1:$D$9,2,FALSE)</f>
        <v>Budi Santoso</v>
      </c>
      <c r="F877" s="10" t="str">
        <f>INDEX(Master_Sales!$D$1:$D$9,MATCH(Lembar_Kerja_Analisis!B877,Master_Sales!$A$1:$A$9,0))</f>
        <v>Timur</v>
      </c>
      <c r="G877" s="10" t="str">
        <f>INDEX(Master_Sales!$C$1:$C$9,MATCH(Lembar_Kerja_Analisis!B877,Master_Sales!$A$1:$A$9,0))</f>
        <v>Surabaya</v>
      </c>
      <c r="H877" s="10" t="str">
        <f>VLOOKUP(A877,Master_Produk!$A$1:$E$16,2,FALSE)</f>
        <v>Monitor 24" FHD 144Hz</v>
      </c>
      <c r="I877" s="10" t="str">
        <f>INDEX(Master_Produk!$C$1:$C$16,MATCH(Lembar_Kerja_Analisis!A877,Master_Produk!$A$1:$A$16,0))</f>
        <v>Elektronik</v>
      </c>
      <c r="J877" s="19">
        <f>_xlfn.XLOOKUP(A877,Master_Produk!$A$1:$A$16,Master_Produk!$D$1:$D$16,,0)</f>
        <v>1950000</v>
      </c>
      <c r="K877" s="19">
        <f>INDEX(Master_Produk!$E$1:$E$16,MATCH(Lembar_Kerja_Analisis!A877,Master_Produk!$A$1:$A$16,0))</f>
        <v>1500000</v>
      </c>
      <c r="L877" s="8">
        <v>1</v>
      </c>
      <c r="M877" s="19">
        <f t="shared" si="65"/>
        <v>1950000</v>
      </c>
      <c r="N877" s="9">
        <v>0.15</v>
      </c>
      <c r="O877" s="19">
        <f t="shared" si="66"/>
        <v>292500</v>
      </c>
      <c r="P877" s="19">
        <f t="shared" si="67"/>
        <v>1657500</v>
      </c>
      <c r="Q877" s="19">
        <f t="shared" si="68"/>
        <v>1500000</v>
      </c>
      <c r="R877" s="19">
        <f t="shared" si="69"/>
        <v>157500</v>
      </c>
    </row>
    <row r="878" spans="1:18" x14ac:dyDescent="0.25">
      <c r="A878" t="str">
        <f>_xlfn.XLOOKUP(C878,Raw_Data_Transaksi!$A$1:$A$1001,Raw_Data_Transaksi!$D$1:$D$1001,,0)</f>
        <v>PRD-112</v>
      </c>
      <c r="B878" t="str">
        <f>_xlfn.XLOOKUP(C878,Raw_Data_Transaksi!$A$1:$A$1001,Raw_Data_Transaksi!$C$1:$C$1001,,0)</f>
        <v>SLS-01</v>
      </c>
      <c r="C878" s="6" t="s">
        <v>962</v>
      </c>
      <c r="D878" s="7">
        <v>45950</v>
      </c>
      <c r="E878" s="10" t="str">
        <f>VLOOKUP(B878,Master_Sales!$A$1:$D$9,2,FALSE)</f>
        <v>Andi Pratama</v>
      </c>
      <c r="F878" s="10" t="str">
        <f>INDEX(Master_Sales!$D$1:$D$9,MATCH(Lembar_Kerja_Analisis!B878,Master_Sales!$A$1:$A$9,0))</f>
        <v>Barat</v>
      </c>
      <c r="G878" s="10" t="str">
        <f>INDEX(Master_Sales!$C$1:$C$9,MATCH(Lembar_Kerja_Analisis!B878,Master_Sales!$A$1:$A$9,0))</f>
        <v>Jakarta</v>
      </c>
      <c r="H878" s="10" t="str">
        <f>VLOOKUP(A878,Master_Produk!$A$1:$E$16,2,FALSE)</f>
        <v>Susu UHT Full Cream 1L</v>
      </c>
      <c r="I878" s="10" t="str">
        <f>INDEX(Master_Produk!$C$1:$C$16,MATCH(Lembar_Kerja_Analisis!A878,Master_Produk!$A$1:$A$16,0))</f>
        <v>F&amp;B</v>
      </c>
      <c r="J878" s="19">
        <f>_xlfn.XLOOKUP(A878,Master_Produk!$A$1:$A$16,Master_Produk!$D$1:$D$16,,0)</f>
        <v>22000</v>
      </c>
      <c r="K878" s="19">
        <f>INDEX(Master_Produk!$E$1:$E$16,MATCH(Lembar_Kerja_Analisis!A878,Master_Produk!$A$1:$A$16,0))</f>
        <v>18000</v>
      </c>
      <c r="L878" s="8">
        <v>17</v>
      </c>
      <c r="M878" s="19">
        <f t="shared" si="65"/>
        <v>374000</v>
      </c>
      <c r="N878" s="9">
        <v>0.05</v>
      </c>
      <c r="O878" s="19">
        <f t="shared" si="66"/>
        <v>18700</v>
      </c>
      <c r="P878" s="19">
        <f t="shared" si="67"/>
        <v>355300</v>
      </c>
      <c r="Q878" s="19">
        <f t="shared" si="68"/>
        <v>306000</v>
      </c>
      <c r="R878" s="19">
        <f t="shared" si="69"/>
        <v>49300</v>
      </c>
    </row>
    <row r="879" spans="1:18" x14ac:dyDescent="0.25">
      <c r="A879" t="str">
        <f>_xlfn.XLOOKUP(C879,Raw_Data_Transaksi!$A$1:$A$1001,Raw_Data_Transaksi!$D$1:$D$1001,,0)</f>
        <v>PRD-108</v>
      </c>
      <c r="B879" t="str">
        <f>_xlfn.XLOOKUP(C879,Raw_Data_Transaksi!$A$1:$A$1001,Raw_Data_Transaksi!$C$1:$C$1001,,0)</f>
        <v>SLS-01</v>
      </c>
      <c r="C879" s="6" t="s">
        <v>963</v>
      </c>
      <c r="D879" s="7">
        <v>45978</v>
      </c>
      <c r="E879" s="10" t="str">
        <f>VLOOKUP(B879,Master_Sales!$A$1:$D$9,2,FALSE)</f>
        <v>Andi Pratama</v>
      </c>
      <c r="F879" s="10" t="str">
        <f>INDEX(Master_Sales!$D$1:$D$9,MATCH(Lembar_Kerja_Analisis!B879,Master_Sales!$A$1:$A$9,0))</f>
        <v>Barat</v>
      </c>
      <c r="G879" s="10" t="str">
        <f>INDEX(Master_Sales!$C$1:$C$9,MATCH(Lembar_Kerja_Analisis!B879,Master_Sales!$A$1:$A$9,0))</f>
        <v>Jakarta</v>
      </c>
      <c r="H879" s="10" t="str">
        <f>VLOOKUP(A879,Master_Produk!$A$1:$E$16,2,FALSE)</f>
        <v>Sepatu Sneakers Pria/Wanita</v>
      </c>
      <c r="I879" s="10" t="str">
        <f>INDEX(Master_Produk!$C$1:$C$16,MATCH(Lembar_Kerja_Analisis!A879,Master_Produk!$A$1:$A$16,0))</f>
        <v>Fashion</v>
      </c>
      <c r="J879" s="19">
        <f>_xlfn.XLOOKUP(A879,Master_Produk!$A$1:$A$16,Master_Produk!$D$1:$D$16,,0)</f>
        <v>450000</v>
      </c>
      <c r="K879" s="19">
        <f>INDEX(Master_Produk!$E$1:$E$16,MATCH(Lembar_Kerja_Analisis!A879,Master_Produk!$A$1:$A$16,0))</f>
        <v>290000</v>
      </c>
      <c r="L879" s="8">
        <v>11</v>
      </c>
      <c r="M879" s="19">
        <f t="shared" si="65"/>
        <v>4950000</v>
      </c>
      <c r="N879" s="9">
        <v>0</v>
      </c>
      <c r="O879" s="19">
        <f t="shared" si="66"/>
        <v>0</v>
      </c>
      <c r="P879" s="19">
        <f t="shared" si="67"/>
        <v>4950000</v>
      </c>
      <c r="Q879" s="19">
        <f t="shared" si="68"/>
        <v>3190000</v>
      </c>
      <c r="R879" s="19">
        <f t="shared" si="69"/>
        <v>1760000</v>
      </c>
    </row>
    <row r="880" spans="1:18" x14ac:dyDescent="0.25">
      <c r="A880" t="str">
        <f>_xlfn.XLOOKUP(C880,Raw_Data_Transaksi!$A$1:$A$1001,Raw_Data_Transaksi!$D$1:$D$1001,,0)</f>
        <v>PRD-101</v>
      </c>
      <c r="B880" t="str">
        <f>_xlfn.XLOOKUP(C880,Raw_Data_Transaksi!$A$1:$A$1001,Raw_Data_Transaksi!$C$1:$C$1001,,0)</f>
        <v>SLS-05</v>
      </c>
      <c r="C880" s="6" t="s">
        <v>964</v>
      </c>
      <c r="D880" s="7">
        <v>45929</v>
      </c>
      <c r="E880" s="10" t="str">
        <f>VLOOKUP(B880,Master_Sales!$A$1:$D$9,2,FALSE)</f>
        <v>Eko Prasetyo</v>
      </c>
      <c r="F880" s="10" t="str">
        <f>INDEX(Master_Sales!$D$1:$D$9,MATCH(Lembar_Kerja_Analisis!B880,Master_Sales!$A$1:$A$9,0))</f>
        <v>Tengah</v>
      </c>
      <c r="G880" s="10" t="str">
        <f>INDEX(Master_Sales!$C$1:$C$9,MATCH(Lembar_Kerja_Analisis!B880,Master_Sales!$A$1:$A$9,0))</f>
        <v>Semarang</v>
      </c>
      <c r="H880" s="10" t="str">
        <f>VLOOKUP(A880,Master_Produk!$A$1:$E$16,2,FALSE)</f>
        <v>Laptop Ultrabook 14"</v>
      </c>
      <c r="I880" s="10" t="str">
        <f>INDEX(Master_Produk!$C$1:$C$16,MATCH(Lembar_Kerja_Analisis!A880,Master_Produk!$A$1:$A$16,0))</f>
        <v>Elektronik</v>
      </c>
      <c r="J880" s="19">
        <f>_xlfn.XLOOKUP(A880,Master_Produk!$A$1:$A$16,Master_Produk!$D$1:$D$16,,0)</f>
        <v>8500000</v>
      </c>
      <c r="K880" s="19">
        <f>INDEX(Master_Produk!$E$1:$E$16,MATCH(Lembar_Kerja_Analisis!A880,Master_Produk!$A$1:$A$16,0))</f>
        <v>7200000</v>
      </c>
      <c r="L880" s="8">
        <v>7</v>
      </c>
      <c r="M880" s="19">
        <f t="shared" si="65"/>
        <v>59500000</v>
      </c>
      <c r="N880" s="9">
        <v>0.1</v>
      </c>
      <c r="O880" s="19">
        <f t="shared" si="66"/>
        <v>5950000</v>
      </c>
      <c r="P880" s="19">
        <f t="shared" si="67"/>
        <v>53550000</v>
      </c>
      <c r="Q880" s="19">
        <f t="shared" si="68"/>
        <v>50400000</v>
      </c>
      <c r="R880" s="19">
        <f t="shared" si="69"/>
        <v>3150000</v>
      </c>
    </row>
    <row r="881" spans="1:18" x14ac:dyDescent="0.25">
      <c r="A881" t="str">
        <f>_xlfn.XLOOKUP(C881,Raw_Data_Transaksi!$A$1:$A$1001,Raw_Data_Transaksi!$D$1:$D$1001,,0)</f>
        <v>PRD-115</v>
      </c>
      <c r="B881" t="str">
        <f>_xlfn.XLOOKUP(C881,Raw_Data_Transaksi!$A$1:$A$1001,Raw_Data_Transaksi!$C$1:$C$1001,,0)</f>
        <v>SLS-06</v>
      </c>
      <c r="C881" s="6" t="s">
        <v>965</v>
      </c>
      <c r="D881" s="7">
        <v>45975</v>
      </c>
      <c r="E881" s="10" t="str">
        <f>VLOOKUP(B881,Master_Sales!$A$1:$D$9,2,FALSE)</f>
        <v>Fajar Nugraha</v>
      </c>
      <c r="F881" s="10" t="str">
        <f>INDEX(Master_Sales!$D$1:$D$9,MATCH(Lembar_Kerja_Analisis!B881,Master_Sales!$A$1:$A$9,0))</f>
        <v>Timur</v>
      </c>
      <c r="G881" s="10" t="str">
        <f>INDEX(Master_Sales!$C$1:$C$9,MATCH(Lembar_Kerja_Analisis!B881,Master_Sales!$A$1:$A$9,0))</f>
        <v>Makassar</v>
      </c>
      <c r="H881" s="10" t="str">
        <f>VLOOKUP(A881,Master_Produk!$A$1:$E$16,2,FALSE)</f>
        <v>Set Pisau Dapur Stainless</v>
      </c>
      <c r="I881" s="10" t="str">
        <f>INDEX(Master_Produk!$C$1:$C$16,MATCH(Lembar_Kerja_Analisis!A881,Master_Produk!$A$1:$A$16,0))</f>
        <v>Peralatan Rumah</v>
      </c>
      <c r="J881" s="19">
        <f>_xlfn.XLOOKUP(A881,Master_Produk!$A$1:$A$16,Master_Produk!$D$1:$D$16,,0)</f>
        <v>165000</v>
      </c>
      <c r="K881" s="19">
        <f>INDEX(Master_Produk!$E$1:$E$16,MATCH(Lembar_Kerja_Analisis!A881,Master_Produk!$A$1:$A$16,0))</f>
        <v>105000</v>
      </c>
      <c r="L881" s="8">
        <v>12</v>
      </c>
      <c r="M881" s="19">
        <f t="shared" si="65"/>
        <v>1980000</v>
      </c>
      <c r="N881" s="9">
        <v>0</v>
      </c>
      <c r="O881" s="19">
        <f t="shared" si="66"/>
        <v>0</v>
      </c>
      <c r="P881" s="19">
        <f t="shared" si="67"/>
        <v>1980000</v>
      </c>
      <c r="Q881" s="19">
        <f t="shared" si="68"/>
        <v>1260000</v>
      </c>
      <c r="R881" s="19">
        <f t="shared" si="69"/>
        <v>720000</v>
      </c>
    </row>
    <row r="882" spans="1:18" x14ac:dyDescent="0.25">
      <c r="A882" t="str">
        <f>_xlfn.XLOOKUP(C882,Raw_Data_Transaksi!$A$1:$A$1001,Raw_Data_Transaksi!$D$1:$D$1001,,0)</f>
        <v>PRD-106</v>
      </c>
      <c r="B882" t="str">
        <f>_xlfn.XLOOKUP(C882,Raw_Data_Transaksi!$A$1:$A$1001,Raw_Data_Transaksi!$C$1:$C$1001,,0)</f>
        <v>SLS-08</v>
      </c>
      <c r="C882" s="6" t="s">
        <v>966</v>
      </c>
      <c r="D882" s="7">
        <v>45854</v>
      </c>
      <c r="E882" s="10" t="str">
        <f>VLOOKUP(B882,Master_Sales!$A$1:$D$9,2,FALSE)</f>
        <v>Hendra Wijaya</v>
      </c>
      <c r="F882" s="10" t="str">
        <f>INDEX(Master_Sales!$D$1:$D$9,MATCH(Lembar_Kerja_Analisis!B882,Master_Sales!$A$1:$A$9,0))</f>
        <v>Tengah</v>
      </c>
      <c r="G882" s="10" t="str">
        <f>INDEX(Master_Sales!$C$1:$C$9,MATCH(Lembar_Kerja_Analisis!B882,Master_Sales!$A$1:$A$9,0))</f>
        <v>Yogyakarta</v>
      </c>
      <c r="H882" s="10" t="str">
        <f>VLOOKUP(A882,Master_Produk!$A$1:$E$16,2,FALSE)</f>
        <v>Celana Chino Slim Fit</v>
      </c>
      <c r="I882" s="10" t="str">
        <f>INDEX(Master_Produk!$C$1:$C$16,MATCH(Lembar_Kerja_Analisis!A882,Master_Produk!$A$1:$A$16,0))</f>
        <v>Fashion</v>
      </c>
      <c r="J882" s="19">
        <f>_xlfn.XLOOKUP(A882,Master_Produk!$A$1:$A$16,Master_Produk!$D$1:$D$16,,0)</f>
        <v>280000</v>
      </c>
      <c r="K882" s="19">
        <f>INDEX(Master_Produk!$E$1:$E$16,MATCH(Lembar_Kerja_Analisis!A882,Master_Produk!$A$1:$A$16,0))</f>
        <v>175000</v>
      </c>
      <c r="L882" s="8">
        <v>10</v>
      </c>
      <c r="M882" s="19">
        <f t="shared" si="65"/>
        <v>2800000</v>
      </c>
      <c r="N882" s="9">
        <v>0</v>
      </c>
      <c r="O882" s="19">
        <f t="shared" si="66"/>
        <v>0</v>
      </c>
      <c r="P882" s="19">
        <f t="shared" si="67"/>
        <v>2800000</v>
      </c>
      <c r="Q882" s="19">
        <f t="shared" si="68"/>
        <v>1750000</v>
      </c>
      <c r="R882" s="19">
        <f t="shared" si="69"/>
        <v>1050000</v>
      </c>
    </row>
    <row r="883" spans="1:18" x14ac:dyDescent="0.25">
      <c r="A883" t="str">
        <f>_xlfn.XLOOKUP(C883,Raw_Data_Transaksi!$A$1:$A$1001,Raw_Data_Transaksi!$D$1:$D$1001,,0)</f>
        <v>PRD-109</v>
      </c>
      <c r="B883" t="str">
        <f>_xlfn.XLOOKUP(C883,Raw_Data_Transaksi!$A$1:$A$1001,Raw_Data_Transaksi!$C$1:$C$1001,,0)</f>
        <v>SLS-02</v>
      </c>
      <c r="C883" s="6" t="s">
        <v>967</v>
      </c>
      <c r="D883" s="7">
        <v>45989</v>
      </c>
      <c r="E883" s="10" t="str">
        <f>VLOOKUP(B883,Master_Sales!$A$1:$D$9,2,FALSE)</f>
        <v>Budi Santoso</v>
      </c>
      <c r="F883" s="10" t="str">
        <f>INDEX(Master_Sales!$D$1:$D$9,MATCH(Lembar_Kerja_Analisis!B883,Master_Sales!$A$1:$A$9,0))</f>
        <v>Timur</v>
      </c>
      <c r="G883" s="10" t="str">
        <f>INDEX(Master_Sales!$C$1:$C$9,MATCH(Lembar_Kerja_Analisis!B883,Master_Sales!$A$1:$A$9,0))</f>
        <v>Surabaya</v>
      </c>
      <c r="H883" s="10" t="str">
        <f>VLOOKUP(A883,Master_Produk!$A$1:$E$16,2,FALSE)</f>
        <v>Kopi Arabika Gayo 250g</v>
      </c>
      <c r="I883" s="10" t="str">
        <f>INDEX(Master_Produk!$C$1:$C$16,MATCH(Lembar_Kerja_Analisis!A883,Master_Produk!$A$1:$A$16,0))</f>
        <v>F&amp;B</v>
      </c>
      <c r="J883" s="19">
        <f>_xlfn.XLOOKUP(A883,Master_Produk!$A$1:$A$16,Master_Produk!$D$1:$D$16,,0)</f>
        <v>85000</v>
      </c>
      <c r="K883" s="19">
        <f>INDEX(Master_Produk!$E$1:$E$16,MATCH(Lembar_Kerja_Analisis!A883,Master_Produk!$A$1:$A$16,0))</f>
        <v>55000</v>
      </c>
      <c r="L883" s="8">
        <v>25</v>
      </c>
      <c r="M883" s="19">
        <f t="shared" si="65"/>
        <v>2125000</v>
      </c>
      <c r="N883" s="9">
        <v>0.05</v>
      </c>
      <c r="O883" s="19">
        <f t="shared" si="66"/>
        <v>106250</v>
      </c>
      <c r="P883" s="19">
        <f t="shared" si="67"/>
        <v>2018750</v>
      </c>
      <c r="Q883" s="19">
        <f t="shared" si="68"/>
        <v>1375000</v>
      </c>
      <c r="R883" s="19">
        <f t="shared" si="69"/>
        <v>643750</v>
      </c>
    </row>
    <row r="884" spans="1:18" x14ac:dyDescent="0.25">
      <c r="A884" t="str">
        <f>_xlfn.XLOOKUP(C884,Raw_Data_Transaksi!$A$1:$A$1001,Raw_Data_Transaksi!$D$1:$D$1001,,0)</f>
        <v>PRD-102</v>
      </c>
      <c r="B884" t="str">
        <f>_xlfn.XLOOKUP(C884,Raw_Data_Transaksi!$A$1:$A$1001,Raw_Data_Transaksi!$C$1:$C$1001,,0)</f>
        <v>SLS-08</v>
      </c>
      <c r="C884" s="6" t="s">
        <v>968</v>
      </c>
      <c r="D884" s="7">
        <v>45934</v>
      </c>
      <c r="E884" s="10" t="str">
        <f>VLOOKUP(B884,Master_Sales!$A$1:$D$9,2,FALSE)</f>
        <v>Hendra Wijaya</v>
      </c>
      <c r="F884" s="10" t="str">
        <f>INDEX(Master_Sales!$D$1:$D$9,MATCH(Lembar_Kerja_Analisis!B884,Master_Sales!$A$1:$A$9,0))</f>
        <v>Tengah</v>
      </c>
      <c r="G884" s="10" t="str">
        <f>INDEX(Master_Sales!$C$1:$C$9,MATCH(Lembar_Kerja_Analisis!B884,Master_Sales!$A$1:$A$9,0))</f>
        <v>Yogyakarta</v>
      </c>
      <c r="H884" s="10" t="str">
        <f>VLOOKUP(A884,Master_Produk!$A$1:$E$16,2,FALSE)</f>
        <v>Wireless Mouse Ergonomic</v>
      </c>
      <c r="I884" s="10" t="str">
        <f>INDEX(Master_Produk!$C$1:$C$16,MATCH(Lembar_Kerja_Analisis!A884,Master_Produk!$A$1:$A$16,0))</f>
        <v>Elektronik</v>
      </c>
      <c r="J884" s="19">
        <f>_xlfn.XLOOKUP(A884,Master_Produk!$A$1:$A$16,Master_Produk!$D$1:$D$16,,0)</f>
        <v>250000</v>
      </c>
      <c r="K884" s="19">
        <f>INDEX(Master_Produk!$E$1:$E$16,MATCH(Lembar_Kerja_Analisis!A884,Master_Produk!$A$1:$A$16,0))</f>
        <v>160000</v>
      </c>
      <c r="L884" s="8">
        <v>12</v>
      </c>
      <c r="M884" s="19">
        <f t="shared" si="65"/>
        <v>3000000</v>
      </c>
      <c r="N884" s="9">
        <v>0.2</v>
      </c>
      <c r="O884" s="19">
        <f t="shared" si="66"/>
        <v>600000</v>
      </c>
      <c r="P884" s="19">
        <f t="shared" si="67"/>
        <v>2400000</v>
      </c>
      <c r="Q884" s="19">
        <f t="shared" si="68"/>
        <v>1920000</v>
      </c>
      <c r="R884" s="19">
        <f t="shared" si="69"/>
        <v>480000</v>
      </c>
    </row>
    <row r="885" spans="1:18" x14ac:dyDescent="0.25">
      <c r="A885" t="str">
        <f>_xlfn.XLOOKUP(C885,Raw_Data_Transaksi!$A$1:$A$1001,Raw_Data_Transaksi!$D$1:$D$1001,,0)</f>
        <v>PRD-106</v>
      </c>
      <c r="B885" t="str">
        <f>_xlfn.XLOOKUP(C885,Raw_Data_Transaksi!$A$1:$A$1001,Raw_Data_Transaksi!$C$1:$C$1001,,0)</f>
        <v>SLS-05</v>
      </c>
      <c r="C885" s="6" t="s">
        <v>969</v>
      </c>
      <c r="D885" s="7">
        <v>45822</v>
      </c>
      <c r="E885" s="10" t="str">
        <f>VLOOKUP(B885,Master_Sales!$A$1:$D$9,2,FALSE)</f>
        <v>Eko Prasetyo</v>
      </c>
      <c r="F885" s="10" t="str">
        <f>INDEX(Master_Sales!$D$1:$D$9,MATCH(Lembar_Kerja_Analisis!B885,Master_Sales!$A$1:$A$9,0))</f>
        <v>Tengah</v>
      </c>
      <c r="G885" s="10" t="str">
        <f>INDEX(Master_Sales!$C$1:$C$9,MATCH(Lembar_Kerja_Analisis!B885,Master_Sales!$A$1:$A$9,0))</f>
        <v>Semarang</v>
      </c>
      <c r="H885" s="10" t="str">
        <f>VLOOKUP(A885,Master_Produk!$A$1:$E$16,2,FALSE)</f>
        <v>Celana Chino Slim Fit</v>
      </c>
      <c r="I885" s="10" t="str">
        <f>INDEX(Master_Produk!$C$1:$C$16,MATCH(Lembar_Kerja_Analisis!A885,Master_Produk!$A$1:$A$16,0))</f>
        <v>Fashion</v>
      </c>
      <c r="J885" s="19">
        <f>_xlfn.XLOOKUP(A885,Master_Produk!$A$1:$A$16,Master_Produk!$D$1:$D$16,,0)</f>
        <v>280000</v>
      </c>
      <c r="K885" s="19">
        <f>INDEX(Master_Produk!$E$1:$E$16,MATCH(Lembar_Kerja_Analisis!A885,Master_Produk!$A$1:$A$16,0))</f>
        <v>175000</v>
      </c>
      <c r="L885" s="8">
        <v>9</v>
      </c>
      <c r="M885" s="19">
        <f t="shared" si="65"/>
        <v>2520000</v>
      </c>
      <c r="N885" s="9">
        <v>0.15</v>
      </c>
      <c r="O885" s="19">
        <f t="shared" si="66"/>
        <v>378000</v>
      </c>
      <c r="P885" s="19">
        <f t="shared" si="67"/>
        <v>2142000</v>
      </c>
      <c r="Q885" s="19">
        <f t="shared" si="68"/>
        <v>1575000</v>
      </c>
      <c r="R885" s="19">
        <f t="shared" si="69"/>
        <v>567000</v>
      </c>
    </row>
    <row r="886" spans="1:18" x14ac:dyDescent="0.25">
      <c r="A886" t="str">
        <f>_xlfn.XLOOKUP(C886,Raw_Data_Transaksi!$A$1:$A$1001,Raw_Data_Transaksi!$D$1:$D$1001,,0)</f>
        <v>PRD-106</v>
      </c>
      <c r="B886" t="str">
        <f>_xlfn.XLOOKUP(C886,Raw_Data_Transaksi!$A$1:$A$1001,Raw_Data_Transaksi!$C$1:$C$1001,,0)</f>
        <v>SLS-08</v>
      </c>
      <c r="C886" s="6" t="s">
        <v>970</v>
      </c>
      <c r="D886" s="7">
        <v>45848</v>
      </c>
      <c r="E886" s="10" t="str">
        <f>VLOOKUP(B886,Master_Sales!$A$1:$D$9,2,FALSE)</f>
        <v>Hendra Wijaya</v>
      </c>
      <c r="F886" s="10" t="str">
        <f>INDEX(Master_Sales!$D$1:$D$9,MATCH(Lembar_Kerja_Analisis!B886,Master_Sales!$A$1:$A$9,0))</f>
        <v>Tengah</v>
      </c>
      <c r="G886" s="10" t="str">
        <f>INDEX(Master_Sales!$C$1:$C$9,MATCH(Lembar_Kerja_Analisis!B886,Master_Sales!$A$1:$A$9,0))</f>
        <v>Yogyakarta</v>
      </c>
      <c r="H886" s="10" t="str">
        <f>VLOOKUP(A886,Master_Produk!$A$1:$E$16,2,FALSE)</f>
        <v>Celana Chino Slim Fit</v>
      </c>
      <c r="I886" s="10" t="str">
        <f>INDEX(Master_Produk!$C$1:$C$16,MATCH(Lembar_Kerja_Analisis!A886,Master_Produk!$A$1:$A$16,0))</f>
        <v>Fashion</v>
      </c>
      <c r="J886" s="19">
        <f>_xlfn.XLOOKUP(A886,Master_Produk!$A$1:$A$16,Master_Produk!$D$1:$D$16,,0)</f>
        <v>280000</v>
      </c>
      <c r="K886" s="19">
        <f>INDEX(Master_Produk!$E$1:$E$16,MATCH(Lembar_Kerja_Analisis!A886,Master_Produk!$A$1:$A$16,0))</f>
        <v>175000</v>
      </c>
      <c r="L886" s="8">
        <v>8</v>
      </c>
      <c r="M886" s="19">
        <f t="shared" si="65"/>
        <v>2240000</v>
      </c>
      <c r="N886" s="9">
        <v>0.2</v>
      </c>
      <c r="O886" s="19">
        <f t="shared" si="66"/>
        <v>448000</v>
      </c>
      <c r="P886" s="19">
        <f t="shared" si="67"/>
        <v>1792000</v>
      </c>
      <c r="Q886" s="19">
        <f t="shared" si="68"/>
        <v>1400000</v>
      </c>
      <c r="R886" s="19">
        <f t="shared" si="69"/>
        <v>392000</v>
      </c>
    </row>
    <row r="887" spans="1:18" x14ac:dyDescent="0.25">
      <c r="A887" t="str">
        <f>_xlfn.XLOOKUP(C887,Raw_Data_Transaksi!$A$1:$A$1001,Raw_Data_Transaksi!$D$1:$D$1001,,0)</f>
        <v>PRD-110</v>
      </c>
      <c r="B887" t="str">
        <f>_xlfn.XLOOKUP(C887,Raw_Data_Transaksi!$A$1:$A$1001,Raw_Data_Transaksi!$C$1:$C$1001,,0)</f>
        <v>SLS-06</v>
      </c>
      <c r="C887" s="6" t="s">
        <v>971</v>
      </c>
      <c r="D887" s="7">
        <v>45889</v>
      </c>
      <c r="E887" s="10" t="str">
        <f>VLOOKUP(B887,Master_Sales!$A$1:$D$9,2,FALSE)</f>
        <v>Fajar Nugraha</v>
      </c>
      <c r="F887" s="10" t="str">
        <f>INDEX(Master_Sales!$D$1:$D$9,MATCH(Lembar_Kerja_Analisis!B887,Master_Sales!$A$1:$A$9,0))</f>
        <v>Timur</v>
      </c>
      <c r="G887" s="10" t="str">
        <f>INDEX(Master_Sales!$C$1:$C$9,MATCH(Lembar_Kerja_Analisis!B887,Master_Sales!$A$1:$A$9,0))</f>
        <v>Makassar</v>
      </c>
      <c r="H887" s="10" t="str">
        <f>VLOOKUP(A887,Master_Produk!$A$1:$E$16,2,FALSE)</f>
        <v>Minyak Goreng Sawit 2L</v>
      </c>
      <c r="I887" s="10" t="str">
        <f>INDEX(Master_Produk!$C$1:$C$16,MATCH(Lembar_Kerja_Analisis!A887,Master_Produk!$A$1:$A$16,0))</f>
        <v>F&amp;B</v>
      </c>
      <c r="J887" s="19">
        <f>_xlfn.XLOOKUP(A887,Master_Produk!$A$1:$A$16,Master_Produk!$D$1:$D$16,,0)</f>
        <v>36000</v>
      </c>
      <c r="K887" s="19">
        <f>INDEX(Master_Produk!$E$1:$E$16,MATCH(Lembar_Kerja_Analisis!A887,Master_Produk!$A$1:$A$16,0))</f>
        <v>31000</v>
      </c>
      <c r="L887" s="8">
        <v>25</v>
      </c>
      <c r="M887" s="19">
        <f t="shared" si="65"/>
        <v>900000</v>
      </c>
      <c r="N887" s="9">
        <v>0</v>
      </c>
      <c r="O887" s="19">
        <f t="shared" si="66"/>
        <v>0</v>
      </c>
      <c r="P887" s="19">
        <f t="shared" si="67"/>
        <v>900000</v>
      </c>
      <c r="Q887" s="19">
        <f t="shared" si="68"/>
        <v>775000</v>
      </c>
      <c r="R887" s="19">
        <f t="shared" si="69"/>
        <v>125000</v>
      </c>
    </row>
    <row r="888" spans="1:18" x14ac:dyDescent="0.25">
      <c r="A888" t="str">
        <f>_xlfn.XLOOKUP(C888,Raw_Data_Transaksi!$A$1:$A$1001,Raw_Data_Transaksi!$D$1:$D$1001,,0)</f>
        <v>PRD-107</v>
      </c>
      <c r="B888" t="str">
        <f>_xlfn.XLOOKUP(C888,Raw_Data_Transaksi!$A$1:$A$1001,Raw_Data_Transaksi!$C$1:$C$1001,,0)</f>
        <v>SLS-03</v>
      </c>
      <c r="C888" s="6" t="s">
        <v>972</v>
      </c>
      <c r="D888" s="7">
        <v>45699</v>
      </c>
      <c r="E888" s="10" t="str">
        <f>VLOOKUP(B888,Master_Sales!$A$1:$D$9,2,FALSE)</f>
        <v>Citra Lestari</v>
      </c>
      <c r="F888" s="10" t="str">
        <f>INDEX(Master_Sales!$D$1:$D$9,MATCH(Lembar_Kerja_Analisis!B888,Master_Sales!$A$1:$A$9,0))</f>
        <v>Barat</v>
      </c>
      <c r="G888" s="10" t="str">
        <f>INDEX(Master_Sales!$C$1:$C$9,MATCH(Lembar_Kerja_Analisis!B888,Master_Sales!$A$1:$A$9,0))</f>
        <v>Bandung</v>
      </c>
      <c r="H888" s="10" t="str">
        <f>VLOOKUP(A888,Master_Produk!$A$1:$E$16,2,FALSE)</f>
        <v>Jaket Hoodie Casual</v>
      </c>
      <c r="I888" s="10" t="str">
        <f>INDEX(Master_Produk!$C$1:$C$16,MATCH(Lembar_Kerja_Analisis!A888,Master_Produk!$A$1:$A$16,0))</f>
        <v>Fashion</v>
      </c>
      <c r="J888" s="19">
        <f>_xlfn.XLOOKUP(A888,Master_Produk!$A$1:$A$16,Master_Produk!$D$1:$D$16,,0)</f>
        <v>350000</v>
      </c>
      <c r="K888" s="19">
        <f>INDEX(Master_Produk!$E$1:$E$16,MATCH(Lembar_Kerja_Analisis!A888,Master_Produk!$A$1:$A$16,0))</f>
        <v>220000</v>
      </c>
      <c r="L888" s="8">
        <v>5</v>
      </c>
      <c r="M888" s="19">
        <f t="shared" si="65"/>
        <v>1750000</v>
      </c>
      <c r="N888" s="9">
        <v>0</v>
      </c>
      <c r="O888" s="19">
        <f t="shared" si="66"/>
        <v>0</v>
      </c>
      <c r="P888" s="19">
        <f t="shared" si="67"/>
        <v>1750000</v>
      </c>
      <c r="Q888" s="19">
        <f t="shared" si="68"/>
        <v>1100000</v>
      </c>
      <c r="R888" s="19">
        <f t="shared" si="69"/>
        <v>650000</v>
      </c>
    </row>
    <row r="889" spans="1:18" x14ac:dyDescent="0.25">
      <c r="A889" t="str">
        <f>_xlfn.XLOOKUP(C889,Raw_Data_Transaksi!$A$1:$A$1001,Raw_Data_Transaksi!$D$1:$D$1001,,0)</f>
        <v>PRD-112</v>
      </c>
      <c r="B889" t="str">
        <f>_xlfn.XLOOKUP(C889,Raw_Data_Transaksi!$A$1:$A$1001,Raw_Data_Transaksi!$C$1:$C$1001,,0)</f>
        <v>SLS-03</v>
      </c>
      <c r="C889" s="6" t="s">
        <v>973</v>
      </c>
      <c r="D889" s="7">
        <v>45715</v>
      </c>
      <c r="E889" s="10" t="str">
        <f>VLOOKUP(B889,Master_Sales!$A$1:$D$9,2,FALSE)</f>
        <v>Citra Lestari</v>
      </c>
      <c r="F889" s="10" t="str">
        <f>INDEX(Master_Sales!$D$1:$D$9,MATCH(Lembar_Kerja_Analisis!B889,Master_Sales!$A$1:$A$9,0))</f>
        <v>Barat</v>
      </c>
      <c r="G889" s="10" t="str">
        <f>INDEX(Master_Sales!$C$1:$C$9,MATCH(Lembar_Kerja_Analisis!B889,Master_Sales!$A$1:$A$9,0))</f>
        <v>Bandung</v>
      </c>
      <c r="H889" s="10" t="str">
        <f>VLOOKUP(A889,Master_Produk!$A$1:$E$16,2,FALSE)</f>
        <v>Susu UHT Full Cream 1L</v>
      </c>
      <c r="I889" s="10" t="str">
        <f>INDEX(Master_Produk!$C$1:$C$16,MATCH(Lembar_Kerja_Analisis!A889,Master_Produk!$A$1:$A$16,0))</f>
        <v>F&amp;B</v>
      </c>
      <c r="J889" s="19">
        <f>_xlfn.XLOOKUP(A889,Master_Produk!$A$1:$A$16,Master_Produk!$D$1:$D$16,,0)</f>
        <v>22000</v>
      </c>
      <c r="K889" s="19">
        <f>INDEX(Master_Produk!$E$1:$E$16,MATCH(Lembar_Kerja_Analisis!A889,Master_Produk!$A$1:$A$16,0))</f>
        <v>18000</v>
      </c>
      <c r="L889" s="8">
        <v>7</v>
      </c>
      <c r="M889" s="19">
        <f t="shared" si="65"/>
        <v>154000</v>
      </c>
      <c r="N889" s="9">
        <v>0.05</v>
      </c>
      <c r="O889" s="19">
        <f t="shared" si="66"/>
        <v>7700</v>
      </c>
      <c r="P889" s="19">
        <f t="shared" si="67"/>
        <v>146300</v>
      </c>
      <c r="Q889" s="19">
        <f t="shared" si="68"/>
        <v>126000</v>
      </c>
      <c r="R889" s="19">
        <f t="shared" si="69"/>
        <v>20300</v>
      </c>
    </row>
    <row r="890" spans="1:18" x14ac:dyDescent="0.25">
      <c r="A890" t="str">
        <f>_xlfn.XLOOKUP(C890,Raw_Data_Transaksi!$A$1:$A$1001,Raw_Data_Transaksi!$D$1:$D$1001,,0)</f>
        <v>PRD-109</v>
      </c>
      <c r="B890" t="str">
        <f>_xlfn.XLOOKUP(C890,Raw_Data_Transaksi!$A$1:$A$1001,Raw_Data_Transaksi!$C$1:$C$1001,,0)</f>
        <v>SLS-03</v>
      </c>
      <c r="C890" s="6" t="s">
        <v>974</v>
      </c>
      <c r="D890" s="7">
        <v>46007</v>
      </c>
      <c r="E890" s="10" t="str">
        <f>VLOOKUP(B890,Master_Sales!$A$1:$D$9,2,FALSE)</f>
        <v>Citra Lestari</v>
      </c>
      <c r="F890" s="10" t="str">
        <f>INDEX(Master_Sales!$D$1:$D$9,MATCH(Lembar_Kerja_Analisis!B890,Master_Sales!$A$1:$A$9,0))</f>
        <v>Barat</v>
      </c>
      <c r="G890" s="10" t="str">
        <f>INDEX(Master_Sales!$C$1:$C$9,MATCH(Lembar_Kerja_Analisis!B890,Master_Sales!$A$1:$A$9,0))</f>
        <v>Bandung</v>
      </c>
      <c r="H890" s="10" t="str">
        <f>VLOOKUP(A890,Master_Produk!$A$1:$E$16,2,FALSE)</f>
        <v>Kopi Arabika Gayo 250g</v>
      </c>
      <c r="I890" s="10" t="str">
        <f>INDEX(Master_Produk!$C$1:$C$16,MATCH(Lembar_Kerja_Analisis!A890,Master_Produk!$A$1:$A$16,0))</f>
        <v>F&amp;B</v>
      </c>
      <c r="J890" s="19">
        <f>_xlfn.XLOOKUP(A890,Master_Produk!$A$1:$A$16,Master_Produk!$D$1:$D$16,,0)</f>
        <v>85000</v>
      </c>
      <c r="K890" s="19">
        <f>INDEX(Master_Produk!$E$1:$E$16,MATCH(Lembar_Kerja_Analisis!A890,Master_Produk!$A$1:$A$16,0))</f>
        <v>55000</v>
      </c>
      <c r="L890" s="8">
        <v>14</v>
      </c>
      <c r="M890" s="19">
        <f t="shared" si="65"/>
        <v>1190000</v>
      </c>
      <c r="N890" s="9">
        <v>0.15</v>
      </c>
      <c r="O890" s="19">
        <f t="shared" si="66"/>
        <v>178500</v>
      </c>
      <c r="P890" s="19">
        <f t="shared" si="67"/>
        <v>1011500</v>
      </c>
      <c r="Q890" s="19">
        <f t="shared" si="68"/>
        <v>770000</v>
      </c>
      <c r="R890" s="19">
        <f t="shared" si="69"/>
        <v>241500</v>
      </c>
    </row>
    <row r="891" spans="1:18" x14ac:dyDescent="0.25">
      <c r="A891" t="str">
        <f>_xlfn.XLOOKUP(C891,Raw_Data_Transaksi!$A$1:$A$1001,Raw_Data_Transaksi!$D$1:$D$1001,,0)</f>
        <v>PRD-104</v>
      </c>
      <c r="B891" t="str">
        <f>_xlfn.XLOOKUP(C891,Raw_Data_Transaksi!$A$1:$A$1001,Raw_Data_Transaksi!$C$1:$C$1001,,0)</f>
        <v>SLS-02</v>
      </c>
      <c r="C891" s="6" t="s">
        <v>975</v>
      </c>
      <c r="D891" s="7">
        <v>45807</v>
      </c>
      <c r="E891" s="10" t="str">
        <f>VLOOKUP(B891,Master_Sales!$A$1:$D$9,2,FALSE)</f>
        <v>Budi Santoso</v>
      </c>
      <c r="F891" s="10" t="str">
        <f>INDEX(Master_Sales!$D$1:$D$9,MATCH(Lembar_Kerja_Analisis!B891,Master_Sales!$A$1:$A$9,0))</f>
        <v>Timur</v>
      </c>
      <c r="G891" s="10" t="str">
        <f>INDEX(Master_Sales!$C$1:$C$9,MATCH(Lembar_Kerja_Analisis!B891,Master_Sales!$A$1:$A$9,0))</f>
        <v>Surabaya</v>
      </c>
      <c r="H891" s="10" t="str">
        <f>VLOOKUP(A891,Master_Produk!$A$1:$E$16,2,FALSE)</f>
        <v>Monitor 24" FHD 144Hz</v>
      </c>
      <c r="I891" s="10" t="str">
        <f>INDEX(Master_Produk!$C$1:$C$16,MATCH(Lembar_Kerja_Analisis!A891,Master_Produk!$A$1:$A$16,0))</f>
        <v>Elektronik</v>
      </c>
      <c r="J891" s="19">
        <f>_xlfn.XLOOKUP(A891,Master_Produk!$A$1:$A$16,Master_Produk!$D$1:$D$16,,0)</f>
        <v>1950000</v>
      </c>
      <c r="K891" s="19">
        <f>INDEX(Master_Produk!$E$1:$E$16,MATCH(Lembar_Kerja_Analisis!A891,Master_Produk!$A$1:$A$16,0))</f>
        <v>1500000</v>
      </c>
      <c r="L891" s="8">
        <v>1</v>
      </c>
      <c r="M891" s="19">
        <f t="shared" si="65"/>
        <v>1950000</v>
      </c>
      <c r="N891" s="9">
        <v>0.05</v>
      </c>
      <c r="O891" s="19">
        <f t="shared" si="66"/>
        <v>97500</v>
      </c>
      <c r="P891" s="19">
        <f t="shared" si="67"/>
        <v>1852500</v>
      </c>
      <c r="Q891" s="19">
        <f t="shared" si="68"/>
        <v>1500000</v>
      </c>
      <c r="R891" s="19">
        <f t="shared" si="69"/>
        <v>352500</v>
      </c>
    </row>
    <row r="892" spans="1:18" x14ac:dyDescent="0.25">
      <c r="A892" t="str">
        <f>_xlfn.XLOOKUP(C892,Raw_Data_Transaksi!$A$1:$A$1001,Raw_Data_Transaksi!$D$1:$D$1001,,0)</f>
        <v>PRD-111</v>
      </c>
      <c r="B892" t="str">
        <f>_xlfn.XLOOKUP(C892,Raw_Data_Transaksi!$A$1:$A$1001,Raw_Data_Transaksi!$C$1:$C$1001,,0)</f>
        <v>SLS-06</v>
      </c>
      <c r="C892" s="6" t="s">
        <v>976</v>
      </c>
      <c r="D892" s="7">
        <v>45993</v>
      </c>
      <c r="E892" s="10" t="str">
        <f>VLOOKUP(B892,Master_Sales!$A$1:$D$9,2,FALSE)</f>
        <v>Fajar Nugraha</v>
      </c>
      <c r="F892" s="10" t="str">
        <f>INDEX(Master_Sales!$D$1:$D$9,MATCH(Lembar_Kerja_Analisis!B892,Master_Sales!$A$1:$A$9,0))</f>
        <v>Timur</v>
      </c>
      <c r="G892" s="10" t="str">
        <f>INDEX(Master_Sales!$C$1:$C$9,MATCH(Lembar_Kerja_Analisis!B892,Master_Sales!$A$1:$A$9,0))</f>
        <v>Makassar</v>
      </c>
      <c r="H892" s="10" t="str">
        <f>VLOOKUP(A892,Master_Produk!$A$1:$E$16,2,FALSE)</f>
        <v>Beras Premium 5kg</v>
      </c>
      <c r="I892" s="10" t="str">
        <f>INDEX(Master_Produk!$C$1:$C$16,MATCH(Lembar_Kerja_Analisis!A892,Master_Produk!$A$1:$A$16,0))</f>
        <v>F&amp;B</v>
      </c>
      <c r="J892" s="19">
        <f>_xlfn.XLOOKUP(A892,Master_Produk!$A$1:$A$16,Master_Produk!$D$1:$D$16,,0)</f>
        <v>74000</v>
      </c>
      <c r="K892" s="19">
        <f>INDEX(Master_Produk!$E$1:$E$16,MATCH(Lembar_Kerja_Analisis!A892,Master_Produk!$A$1:$A$16,0))</f>
        <v>65000</v>
      </c>
      <c r="L892" s="8">
        <v>21</v>
      </c>
      <c r="M892" s="19">
        <f t="shared" si="65"/>
        <v>1554000</v>
      </c>
      <c r="N892" s="9">
        <v>0.2</v>
      </c>
      <c r="O892" s="19">
        <f t="shared" si="66"/>
        <v>310800</v>
      </c>
      <c r="P892" s="19">
        <f t="shared" si="67"/>
        <v>1243200</v>
      </c>
      <c r="Q892" s="19">
        <f t="shared" si="68"/>
        <v>1365000</v>
      </c>
      <c r="R892" s="19">
        <f t="shared" si="69"/>
        <v>-121800</v>
      </c>
    </row>
    <row r="893" spans="1:18" x14ac:dyDescent="0.25">
      <c r="A893" t="str">
        <f>_xlfn.XLOOKUP(C893,Raw_Data_Transaksi!$A$1:$A$1001,Raw_Data_Transaksi!$D$1:$D$1001,,0)</f>
        <v>PRD-103</v>
      </c>
      <c r="B893" t="str">
        <f>_xlfn.XLOOKUP(C893,Raw_Data_Transaksi!$A$1:$A$1001,Raw_Data_Transaksi!$C$1:$C$1001,,0)</f>
        <v>SLS-05</v>
      </c>
      <c r="C893" s="6" t="s">
        <v>977</v>
      </c>
      <c r="D893" s="7">
        <v>45948</v>
      </c>
      <c r="E893" s="10" t="str">
        <f>VLOOKUP(B893,Master_Sales!$A$1:$D$9,2,FALSE)</f>
        <v>Eko Prasetyo</v>
      </c>
      <c r="F893" s="10" t="str">
        <f>INDEX(Master_Sales!$D$1:$D$9,MATCH(Lembar_Kerja_Analisis!B893,Master_Sales!$A$1:$A$9,0))</f>
        <v>Tengah</v>
      </c>
      <c r="G893" s="10" t="str">
        <f>INDEX(Master_Sales!$C$1:$C$9,MATCH(Lembar_Kerja_Analisis!B893,Master_Sales!$A$1:$A$9,0))</f>
        <v>Semarang</v>
      </c>
      <c r="H893" s="10" t="str">
        <f>VLOOKUP(A893,Master_Produk!$A$1:$E$16,2,FALSE)</f>
        <v>Mechanical Keyboard RGB</v>
      </c>
      <c r="I893" s="10" t="str">
        <f>INDEX(Master_Produk!$C$1:$C$16,MATCH(Lembar_Kerja_Analisis!A893,Master_Produk!$A$1:$A$16,0))</f>
        <v>Elektronik</v>
      </c>
      <c r="J893" s="19">
        <f>_xlfn.XLOOKUP(A893,Master_Produk!$A$1:$A$16,Master_Produk!$D$1:$D$16,,0)</f>
        <v>750000</v>
      </c>
      <c r="K893" s="19">
        <f>INDEX(Master_Produk!$E$1:$E$16,MATCH(Lembar_Kerja_Analisis!A893,Master_Produk!$A$1:$A$16,0))</f>
        <v>520000</v>
      </c>
      <c r="L893" s="8">
        <v>3</v>
      </c>
      <c r="M893" s="19">
        <f t="shared" si="65"/>
        <v>2250000</v>
      </c>
      <c r="N893" s="9">
        <v>0.1</v>
      </c>
      <c r="O893" s="19">
        <f t="shared" si="66"/>
        <v>225000</v>
      </c>
      <c r="P893" s="19">
        <f t="shared" si="67"/>
        <v>2025000</v>
      </c>
      <c r="Q893" s="19">
        <f t="shared" si="68"/>
        <v>1560000</v>
      </c>
      <c r="R893" s="19">
        <f t="shared" si="69"/>
        <v>465000</v>
      </c>
    </row>
    <row r="894" spans="1:18" x14ac:dyDescent="0.25">
      <c r="A894" t="str">
        <f>_xlfn.XLOOKUP(C894,Raw_Data_Transaksi!$A$1:$A$1001,Raw_Data_Transaksi!$D$1:$D$1001,,0)</f>
        <v>PRD-113</v>
      </c>
      <c r="B894" t="str">
        <f>_xlfn.XLOOKUP(C894,Raw_Data_Transaksi!$A$1:$A$1001,Raw_Data_Transaksi!$C$1:$C$1001,,0)</f>
        <v>SLS-01</v>
      </c>
      <c r="C894" s="6" t="s">
        <v>978</v>
      </c>
      <c r="D894" s="7">
        <v>45805</v>
      </c>
      <c r="E894" s="10" t="str">
        <f>VLOOKUP(B894,Master_Sales!$A$1:$D$9,2,FALSE)</f>
        <v>Andi Pratama</v>
      </c>
      <c r="F894" s="10" t="str">
        <f>INDEX(Master_Sales!$D$1:$D$9,MATCH(Lembar_Kerja_Analisis!B894,Master_Sales!$A$1:$A$9,0))</f>
        <v>Barat</v>
      </c>
      <c r="G894" s="10" t="str">
        <f>INDEX(Master_Sales!$C$1:$C$9,MATCH(Lembar_Kerja_Analisis!B894,Master_Sales!$A$1:$A$9,0))</f>
        <v>Jakarta</v>
      </c>
      <c r="H894" s="10" t="str">
        <f>VLOOKUP(A894,Master_Produk!$A$1:$E$16,2,FALSE)</f>
        <v>Wajan Anti Lengket 28cm</v>
      </c>
      <c r="I894" s="10" t="str">
        <f>INDEX(Master_Produk!$C$1:$C$16,MATCH(Lembar_Kerja_Analisis!A894,Master_Produk!$A$1:$A$16,0))</f>
        <v>Peralatan Rumah</v>
      </c>
      <c r="J894" s="19">
        <f>_xlfn.XLOOKUP(A894,Master_Produk!$A$1:$A$16,Master_Produk!$D$1:$D$16,,0)</f>
        <v>210000</v>
      </c>
      <c r="K894" s="19">
        <f>INDEX(Master_Produk!$E$1:$E$16,MATCH(Lembar_Kerja_Analisis!A894,Master_Produk!$A$1:$A$16,0))</f>
        <v>140000</v>
      </c>
      <c r="L894" s="8">
        <v>3</v>
      </c>
      <c r="M894" s="19">
        <f t="shared" si="65"/>
        <v>630000</v>
      </c>
      <c r="N894" s="9">
        <v>0.1</v>
      </c>
      <c r="O894" s="19">
        <f t="shared" si="66"/>
        <v>63000</v>
      </c>
      <c r="P894" s="19">
        <f t="shared" si="67"/>
        <v>567000</v>
      </c>
      <c r="Q894" s="19">
        <f t="shared" si="68"/>
        <v>420000</v>
      </c>
      <c r="R894" s="19">
        <f t="shared" si="69"/>
        <v>147000</v>
      </c>
    </row>
    <row r="895" spans="1:18" x14ac:dyDescent="0.25">
      <c r="A895" t="str">
        <f>_xlfn.XLOOKUP(C895,Raw_Data_Transaksi!$A$1:$A$1001,Raw_Data_Transaksi!$D$1:$D$1001,,0)</f>
        <v>PRD-115</v>
      </c>
      <c r="B895" t="str">
        <f>_xlfn.XLOOKUP(C895,Raw_Data_Transaksi!$A$1:$A$1001,Raw_Data_Transaksi!$C$1:$C$1001,,0)</f>
        <v>SLS-03</v>
      </c>
      <c r="C895" s="6" t="s">
        <v>979</v>
      </c>
      <c r="D895" s="7">
        <v>45974</v>
      </c>
      <c r="E895" s="10" t="str">
        <f>VLOOKUP(B895,Master_Sales!$A$1:$D$9,2,FALSE)</f>
        <v>Citra Lestari</v>
      </c>
      <c r="F895" s="10" t="str">
        <f>INDEX(Master_Sales!$D$1:$D$9,MATCH(Lembar_Kerja_Analisis!B895,Master_Sales!$A$1:$A$9,0))</f>
        <v>Barat</v>
      </c>
      <c r="G895" s="10" t="str">
        <f>INDEX(Master_Sales!$C$1:$C$9,MATCH(Lembar_Kerja_Analisis!B895,Master_Sales!$A$1:$A$9,0))</f>
        <v>Bandung</v>
      </c>
      <c r="H895" s="10" t="str">
        <f>VLOOKUP(A895,Master_Produk!$A$1:$E$16,2,FALSE)</f>
        <v>Set Pisau Dapur Stainless</v>
      </c>
      <c r="I895" s="10" t="str">
        <f>INDEX(Master_Produk!$C$1:$C$16,MATCH(Lembar_Kerja_Analisis!A895,Master_Produk!$A$1:$A$16,0))</f>
        <v>Peralatan Rumah</v>
      </c>
      <c r="J895" s="19">
        <f>_xlfn.XLOOKUP(A895,Master_Produk!$A$1:$A$16,Master_Produk!$D$1:$D$16,,0)</f>
        <v>165000</v>
      </c>
      <c r="K895" s="19">
        <f>INDEX(Master_Produk!$E$1:$E$16,MATCH(Lembar_Kerja_Analisis!A895,Master_Produk!$A$1:$A$16,0))</f>
        <v>105000</v>
      </c>
      <c r="L895" s="8">
        <v>12</v>
      </c>
      <c r="M895" s="19">
        <f t="shared" si="65"/>
        <v>1980000</v>
      </c>
      <c r="N895" s="9">
        <v>0.2</v>
      </c>
      <c r="O895" s="19">
        <f t="shared" si="66"/>
        <v>396000</v>
      </c>
      <c r="P895" s="19">
        <f t="shared" si="67"/>
        <v>1584000</v>
      </c>
      <c r="Q895" s="19">
        <f t="shared" si="68"/>
        <v>1260000</v>
      </c>
      <c r="R895" s="19">
        <f t="shared" si="69"/>
        <v>324000</v>
      </c>
    </row>
    <row r="896" spans="1:18" x14ac:dyDescent="0.25">
      <c r="A896" t="str">
        <f>_xlfn.XLOOKUP(C896,Raw_Data_Transaksi!$A$1:$A$1001,Raw_Data_Transaksi!$D$1:$D$1001,,0)</f>
        <v>PRD-112</v>
      </c>
      <c r="B896" t="str">
        <f>_xlfn.XLOOKUP(C896,Raw_Data_Transaksi!$A$1:$A$1001,Raw_Data_Transaksi!$C$1:$C$1001,,0)</f>
        <v>SLS-03</v>
      </c>
      <c r="C896" s="6" t="s">
        <v>980</v>
      </c>
      <c r="D896" s="7">
        <v>46020</v>
      </c>
      <c r="E896" s="10" t="str">
        <f>VLOOKUP(B896,Master_Sales!$A$1:$D$9,2,FALSE)</f>
        <v>Citra Lestari</v>
      </c>
      <c r="F896" s="10" t="str">
        <f>INDEX(Master_Sales!$D$1:$D$9,MATCH(Lembar_Kerja_Analisis!B896,Master_Sales!$A$1:$A$9,0))</f>
        <v>Barat</v>
      </c>
      <c r="G896" s="10" t="str">
        <f>INDEX(Master_Sales!$C$1:$C$9,MATCH(Lembar_Kerja_Analisis!B896,Master_Sales!$A$1:$A$9,0))</f>
        <v>Bandung</v>
      </c>
      <c r="H896" s="10" t="str">
        <f>VLOOKUP(A896,Master_Produk!$A$1:$E$16,2,FALSE)</f>
        <v>Susu UHT Full Cream 1L</v>
      </c>
      <c r="I896" s="10" t="str">
        <f>INDEX(Master_Produk!$C$1:$C$16,MATCH(Lembar_Kerja_Analisis!A896,Master_Produk!$A$1:$A$16,0))</f>
        <v>F&amp;B</v>
      </c>
      <c r="J896" s="19">
        <f>_xlfn.XLOOKUP(A896,Master_Produk!$A$1:$A$16,Master_Produk!$D$1:$D$16,,0)</f>
        <v>22000</v>
      </c>
      <c r="K896" s="19">
        <f>INDEX(Master_Produk!$E$1:$E$16,MATCH(Lembar_Kerja_Analisis!A896,Master_Produk!$A$1:$A$16,0))</f>
        <v>18000</v>
      </c>
      <c r="L896" s="8">
        <v>10</v>
      </c>
      <c r="M896" s="19">
        <f t="shared" si="65"/>
        <v>220000</v>
      </c>
      <c r="N896" s="9">
        <v>0</v>
      </c>
      <c r="O896" s="19">
        <f t="shared" si="66"/>
        <v>0</v>
      </c>
      <c r="P896" s="19">
        <f t="shared" si="67"/>
        <v>220000</v>
      </c>
      <c r="Q896" s="19">
        <f t="shared" si="68"/>
        <v>180000</v>
      </c>
      <c r="R896" s="19">
        <f t="shared" si="69"/>
        <v>40000</v>
      </c>
    </row>
    <row r="897" spans="1:18" x14ac:dyDescent="0.25">
      <c r="A897" t="str">
        <f>_xlfn.XLOOKUP(C897,Raw_Data_Transaksi!$A$1:$A$1001,Raw_Data_Transaksi!$D$1:$D$1001,,0)</f>
        <v>PRD-105</v>
      </c>
      <c r="B897" t="str">
        <f>_xlfn.XLOOKUP(C897,Raw_Data_Transaksi!$A$1:$A$1001,Raw_Data_Transaksi!$C$1:$C$1001,,0)</f>
        <v>SLS-06</v>
      </c>
      <c r="C897" s="6" t="s">
        <v>981</v>
      </c>
      <c r="D897" s="7">
        <v>45883</v>
      </c>
      <c r="E897" s="10" t="str">
        <f>VLOOKUP(B897,Master_Sales!$A$1:$D$9,2,FALSE)</f>
        <v>Fajar Nugraha</v>
      </c>
      <c r="F897" s="10" t="str">
        <f>INDEX(Master_Sales!$D$1:$D$9,MATCH(Lembar_Kerja_Analisis!B897,Master_Sales!$A$1:$A$9,0))</f>
        <v>Timur</v>
      </c>
      <c r="G897" s="10" t="str">
        <f>INDEX(Master_Sales!$C$1:$C$9,MATCH(Lembar_Kerja_Analisis!B897,Master_Sales!$A$1:$A$9,0))</f>
        <v>Makassar</v>
      </c>
      <c r="H897" s="10" t="str">
        <f>VLOOKUP(A897,Master_Produk!$A$1:$E$16,2,FALSE)</f>
        <v>Kemeja Batik Katun Premium</v>
      </c>
      <c r="I897" s="10" t="str">
        <f>INDEX(Master_Produk!$C$1:$C$16,MATCH(Lembar_Kerja_Analisis!A897,Master_Produk!$A$1:$A$16,0))</f>
        <v>Fashion</v>
      </c>
      <c r="J897" s="19">
        <f>_xlfn.XLOOKUP(A897,Master_Produk!$A$1:$A$16,Master_Produk!$D$1:$D$16,,0)</f>
        <v>320000</v>
      </c>
      <c r="K897" s="19">
        <f>INDEX(Master_Produk!$E$1:$E$16,MATCH(Lembar_Kerja_Analisis!A897,Master_Produk!$A$1:$A$16,0))</f>
        <v>190000</v>
      </c>
      <c r="L897" s="8">
        <v>3</v>
      </c>
      <c r="M897" s="19">
        <f t="shared" si="65"/>
        <v>960000</v>
      </c>
      <c r="N897" s="9">
        <v>0.05</v>
      </c>
      <c r="O897" s="19">
        <f t="shared" si="66"/>
        <v>48000</v>
      </c>
      <c r="P897" s="19">
        <f t="shared" si="67"/>
        <v>912000</v>
      </c>
      <c r="Q897" s="19">
        <f t="shared" si="68"/>
        <v>570000</v>
      </c>
      <c r="R897" s="19">
        <f t="shared" si="69"/>
        <v>342000</v>
      </c>
    </row>
    <row r="898" spans="1:18" x14ac:dyDescent="0.25">
      <c r="A898" t="str">
        <f>_xlfn.XLOOKUP(C898,Raw_Data_Transaksi!$A$1:$A$1001,Raw_Data_Transaksi!$D$1:$D$1001,,0)</f>
        <v>PRD-103</v>
      </c>
      <c r="B898" t="str">
        <f>_xlfn.XLOOKUP(C898,Raw_Data_Transaksi!$A$1:$A$1001,Raw_Data_Transaksi!$C$1:$C$1001,,0)</f>
        <v>SLS-06</v>
      </c>
      <c r="C898" s="6" t="s">
        <v>982</v>
      </c>
      <c r="D898" s="7">
        <v>45834</v>
      </c>
      <c r="E898" s="10" t="str">
        <f>VLOOKUP(B898,Master_Sales!$A$1:$D$9,2,FALSE)</f>
        <v>Fajar Nugraha</v>
      </c>
      <c r="F898" s="10" t="str">
        <f>INDEX(Master_Sales!$D$1:$D$9,MATCH(Lembar_Kerja_Analisis!B898,Master_Sales!$A$1:$A$9,0))</f>
        <v>Timur</v>
      </c>
      <c r="G898" s="10" t="str">
        <f>INDEX(Master_Sales!$C$1:$C$9,MATCH(Lembar_Kerja_Analisis!B898,Master_Sales!$A$1:$A$9,0))</f>
        <v>Makassar</v>
      </c>
      <c r="H898" s="10" t="str">
        <f>VLOOKUP(A898,Master_Produk!$A$1:$E$16,2,FALSE)</f>
        <v>Mechanical Keyboard RGB</v>
      </c>
      <c r="I898" s="10" t="str">
        <f>INDEX(Master_Produk!$C$1:$C$16,MATCH(Lembar_Kerja_Analisis!A898,Master_Produk!$A$1:$A$16,0))</f>
        <v>Elektronik</v>
      </c>
      <c r="J898" s="19">
        <f>_xlfn.XLOOKUP(A898,Master_Produk!$A$1:$A$16,Master_Produk!$D$1:$D$16,,0)</f>
        <v>750000</v>
      </c>
      <c r="K898" s="19">
        <f>INDEX(Master_Produk!$E$1:$E$16,MATCH(Lembar_Kerja_Analisis!A898,Master_Produk!$A$1:$A$16,0))</f>
        <v>520000</v>
      </c>
      <c r="L898" s="8">
        <v>8</v>
      </c>
      <c r="M898" s="19">
        <f t="shared" si="65"/>
        <v>6000000</v>
      </c>
      <c r="N898" s="9">
        <v>0.2</v>
      </c>
      <c r="O898" s="19">
        <f t="shared" si="66"/>
        <v>1200000</v>
      </c>
      <c r="P898" s="19">
        <f t="shared" si="67"/>
        <v>4800000</v>
      </c>
      <c r="Q898" s="19">
        <f t="shared" si="68"/>
        <v>4160000</v>
      </c>
      <c r="R898" s="19">
        <f t="shared" si="69"/>
        <v>640000</v>
      </c>
    </row>
    <row r="899" spans="1:18" x14ac:dyDescent="0.25">
      <c r="A899" t="str">
        <f>_xlfn.XLOOKUP(C899,Raw_Data_Transaksi!$A$1:$A$1001,Raw_Data_Transaksi!$D$1:$D$1001,,0)</f>
        <v>PRD-115</v>
      </c>
      <c r="B899" t="str">
        <f>_xlfn.XLOOKUP(C899,Raw_Data_Transaksi!$A$1:$A$1001,Raw_Data_Transaksi!$C$1:$C$1001,,0)</f>
        <v>SLS-01</v>
      </c>
      <c r="C899" s="6" t="s">
        <v>983</v>
      </c>
      <c r="D899" s="7">
        <v>45720</v>
      </c>
      <c r="E899" s="10" t="str">
        <f>VLOOKUP(B899,Master_Sales!$A$1:$D$9,2,FALSE)</f>
        <v>Andi Pratama</v>
      </c>
      <c r="F899" s="10" t="str">
        <f>INDEX(Master_Sales!$D$1:$D$9,MATCH(Lembar_Kerja_Analisis!B899,Master_Sales!$A$1:$A$9,0))</f>
        <v>Barat</v>
      </c>
      <c r="G899" s="10" t="str">
        <f>INDEX(Master_Sales!$C$1:$C$9,MATCH(Lembar_Kerja_Analisis!B899,Master_Sales!$A$1:$A$9,0))</f>
        <v>Jakarta</v>
      </c>
      <c r="H899" s="10" t="str">
        <f>VLOOKUP(A899,Master_Produk!$A$1:$E$16,2,FALSE)</f>
        <v>Set Pisau Dapur Stainless</v>
      </c>
      <c r="I899" s="10" t="str">
        <f>INDEX(Master_Produk!$C$1:$C$16,MATCH(Lembar_Kerja_Analisis!A899,Master_Produk!$A$1:$A$16,0))</f>
        <v>Peralatan Rumah</v>
      </c>
      <c r="J899" s="19">
        <f>_xlfn.XLOOKUP(A899,Master_Produk!$A$1:$A$16,Master_Produk!$D$1:$D$16,,0)</f>
        <v>165000</v>
      </c>
      <c r="K899" s="19">
        <f>INDEX(Master_Produk!$E$1:$E$16,MATCH(Lembar_Kerja_Analisis!A899,Master_Produk!$A$1:$A$16,0))</f>
        <v>105000</v>
      </c>
      <c r="L899" s="8">
        <v>7</v>
      </c>
      <c r="M899" s="19">
        <f t="shared" ref="M899:M962" si="70">L899*J899</f>
        <v>1155000</v>
      </c>
      <c r="N899" s="9">
        <v>0.15</v>
      </c>
      <c r="O899" s="19">
        <f t="shared" ref="O899:O962" si="71">M899*N899</f>
        <v>173250</v>
      </c>
      <c r="P899" s="19">
        <f t="shared" ref="P899:P962" si="72">M899-O899</f>
        <v>981750</v>
      </c>
      <c r="Q899" s="19">
        <f t="shared" ref="Q899:Q962" si="73">L899*K899</f>
        <v>735000</v>
      </c>
      <c r="R899" s="19">
        <f t="shared" ref="R899:R962" si="74">P899-Q899</f>
        <v>246750</v>
      </c>
    </row>
    <row r="900" spans="1:18" x14ac:dyDescent="0.25">
      <c r="A900" t="str">
        <f>_xlfn.XLOOKUP(C900,Raw_Data_Transaksi!$A$1:$A$1001,Raw_Data_Transaksi!$D$1:$D$1001,,0)</f>
        <v>PRD-101</v>
      </c>
      <c r="B900" t="str">
        <f>_xlfn.XLOOKUP(C900,Raw_Data_Transaksi!$A$1:$A$1001,Raw_Data_Transaksi!$C$1:$C$1001,,0)</f>
        <v>SLS-06</v>
      </c>
      <c r="C900" s="6" t="s">
        <v>984</v>
      </c>
      <c r="D900" s="7">
        <v>45737</v>
      </c>
      <c r="E900" s="10" t="str">
        <f>VLOOKUP(B900,Master_Sales!$A$1:$D$9,2,FALSE)</f>
        <v>Fajar Nugraha</v>
      </c>
      <c r="F900" s="10" t="str">
        <f>INDEX(Master_Sales!$D$1:$D$9,MATCH(Lembar_Kerja_Analisis!B900,Master_Sales!$A$1:$A$9,0))</f>
        <v>Timur</v>
      </c>
      <c r="G900" s="10" t="str">
        <f>INDEX(Master_Sales!$C$1:$C$9,MATCH(Lembar_Kerja_Analisis!B900,Master_Sales!$A$1:$A$9,0))</f>
        <v>Makassar</v>
      </c>
      <c r="H900" s="10" t="str">
        <f>VLOOKUP(A900,Master_Produk!$A$1:$E$16,2,FALSE)</f>
        <v>Laptop Ultrabook 14"</v>
      </c>
      <c r="I900" s="10" t="str">
        <f>INDEX(Master_Produk!$C$1:$C$16,MATCH(Lembar_Kerja_Analisis!A900,Master_Produk!$A$1:$A$16,0))</f>
        <v>Elektronik</v>
      </c>
      <c r="J900" s="19">
        <f>_xlfn.XLOOKUP(A900,Master_Produk!$A$1:$A$16,Master_Produk!$D$1:$D$16,,0)</f>
        <v>8500000</v>
      </c>
      <c r="K900" s="19">
        <f>INDEX(Master_Produk!$E$1:$E$16,MATCH(Lembar_Kerja_Analisis!A900,Master_Produk!$A$1:$A$16,0))</f>
        <v>7200000</v>
      </c>
      <c r="L900" s="8">
        <v>11</v>
      </c>
      <c r="M900" s="19">
        <f t="shared" si="70"/>
        <v>93500000</v>
      </c>
      <c r="N900" s="9">
        <v>0.1</v>
      </c>
      <c r="O900" s="19">
        <f t="shared" si="71"/>
        <v>9350000</v>
      </c>
      <c r="P900" s="19">
        <f t="shared" si="72"/>
        <v>84150000</v>
      </c>
      <c r="Q900" s="19">
        <f t="shared" si="73"/>
        <v>79200000</v>
      </c>
      <c r="R900" s="19">
        <f t="shared" si="74"/>
        <v>4950000</v>
      </c>
    </row>
    <row r="901" spans="1:18" x14ac:dyDescent="0.25">
      <c r="A901" t="str">
        <f>_xlfn.XLOOKUP(C901,Raw_Data_Transaksi!$A$1:$A$1001,Raw_Data_Transaksi!$D$1:$D$1001,,0)</f>
        <v>PRD-112</v>
      </c>
      <c r="B901" t="str">
        <f>_xlfn.XLOOKUP(C901,Raw_Data_Transaksi!$A$1:$A$1001,Raw_Data_Transaksi!$C$1:$C$1001,,0)</f>
        <v>SLS-08</v>
      </c>
      <c r="C901" s="6" t="s">
        <v>985</v>
      </c>
      <c r="D901" s="7">
        <v>45947</v>
      </c>
      <c r="E901" s="10" t="str">
        <f>VLOOKUP(B901,Master_Sales!$A$1:$D$9,2,FALSE)</f>
        <v>Hendra Wijaya</v>
      </c>
      <c r="F901" s="10" t="str">
        <f>INDEX(Master_Sales!$D$1:$D$9,MATCH(Lembar_Kerja_Analisis!B901,Master_Sales!$A$1:$A$9,0))</f>
        <v>Tengah</v>
      </c>
      <c r="G901" s="10" t="str">
        <f>INDEX(Master_Sales!$C$1:$C$9,MATCH(Lembar_Kerja_Analisis!B901,Master_Sales!$A$1:$A$9,0))</f>
        <v>Yogyakarta</v>
      </c>
      <c r="H901" s="10" t="str">
        <f>VLOOKUP(A901,Master_Produk!$A$1:$E$16,2,FALSE)</f>
        <v>Susu UHT Full Cream 1L</v>
      </c>
      <c r="I901" s="10" t="str">
        <f>INDEX(Master_Produk!$C$1:$C$16,MATCH(Lembar_Kerja_Analisis!A901,Master_Produk!$A$1:$A$16,0))</f>
        <v>F&amp;B</v>
      </c>
      <c r="J901" s="19">
        <f>_xlfn.XLOOKUP(A901,Master_Produk!$A$1:$A$16,Master_Produk!$D$1:$D$16,,0)</f>
        <v>22000</v>
      </c>
      <c r="K901" s="19">
        <f>INDEX(Master_Produk!$E$1:$E$16,MATCH(Lembar_Kerja_Analisis!A901,Master_Produk!$A$1:$A$16,0))</f>
        <v>18000</v>
      </c>
      <c r="L901" s="8">
        <v>25</v>
      </c>
      <c r="M901" s="19">
        <f t="shared" si="70"/>
        <v>550000</v>
      </c>
      <c r="N901" s="9">
        <v>0</v>
      </c>
      <c r="O901" s="19">
        <f t="shared" si="71"/>
        <v>0</v>
      </c>
      <c r="P901" s="19">
        <f t="shared" si="72"/>
        <v>550000</v>
      </c>
      <c r="Q901" s="19">
        <f t="shared" si="73"/>
        <v>450000</v>
      </c>
      <c r="R901" s="19">
        <f t="shared" si="74"/>
        <v>100000</v>
      </c>
    </row>
    <row r="902" spans="1:18" x14ac:dyDescent="0.25">
      <c r="A902" t="str">
        <f>_xlfn.XLOOKUP(C902,Raw_Data_Transaksi!$A$1:$A$1001,Raw_Data_Transaksi!$D$1:$D$1001,,0)</f>
        <v>PRD-109</v>
      </c>
      <c r="B902" t="str">
        <f>_xlfn.XLOOKUP(C902,Raw_Data_Transaksi!$A$1:$A$1001,Raw_Data_Transaksi!$C$1:$C$1001,,0)</f>
        <v>SLS-02</v>
      </c>
      <c r="C902" s="6" t="s">
        <v>986</v>
      </c>
      <c r="D902" s="7">
        <v>46005</v>
      </c>
      <c r="E902" s="10" t="str">
        <f>VLOOKUP(B902,Master_Sales!$A$1:$D$9,2,FALSE)</f>
        <v>Budi Santoso</v>
      </c>
      <c r="F902" s="10" t="str">
        <f>INDEX(Master_Sales!$D$1:$D$9,MATCH(Lembar_Kerja_Analisis!B902,Master_Sales!$A$1:$A$9,0))</f>
        <v>Timur</v>
      </c>
      <c r="G902" s="10" t="str">
        <f>INDEX(Master_Sales!$C$1:$C$9,MATCH(Lembar_Kerja_Analisis!B902,Master_Sales!$A$1:$A$9,0))</f>
        <v>Surabaya</v>
      </c>
      <c r="H902" s="10" t="str">
        <f>VLOOKUP(A902,Master_Produk!$A$1:$E$16,2,FALSE)</f>
        <v>Kopi Arabika Gayo 250g</v>
      </c>
      <c r="I902" s="10" t="str">
        <f>INDEX(Master_Produk!$C$1:$C$16,MATCH(Lembar_Kerja_Analisis!A902,Master_Produk!$A$1:$A$16,0))</f>
        <v>F&amp;B</v>
      </c>
      <c r="J902" s="19">
        <f>_xlfn.XLOOKUP(A902,Master_Produk!$A$1:$A$16,Master_Produk!$D$1:$D$16,,0)</f>
        <v>85000</v>
      </c>
      <c r="K902" s="19">
        <f>INDEX(Master_Produk!$E$1:$E$16,MATCH(Lembar_Kerja_Analisis!A902,Master_Produk!$A$1:$A$16,0))</f>
        <v>55000</v>
      </c>
      <c r="L902" s="8">
        <v>3</v>
      </c>
      <c r="M902" s="19">
        <f t="shared" si="70"/>
        <v>255000</v>
      </c>
      <c r="N902" s="9">
        <v>0.15</v>
      </c>
      <c r="O902" s="19">
        <f t="shared" si="71"/>
        <v>38250</v>
      </c>
      <c r="P902" s="19">
        <f t="shared" si="72"/>
        <v>216750</v>
      </c>
      <c r="Q902" s="19">
        <f t="shared" si="73"/>
        <v>165000</v>
      </c>
      <c r="R902" s="19">
        <f t="shared" si="74"/>
        <v>51750</v>
      </c>
    </row>
    <row r="903" spans="1:18" x14ac:dyDescent="0.25">
      <c r="A903" t="str">
        <f>_xlfn.XLOOKUP(C903,Raw_Data_Transaksi!$A$1:$A$1001,Raw_Data_Transaksi!$D$1:$D$1001,,0)</f>
        <v>PRD-106</v>
      </c>
      <c r="B903" t="str">
        <f>_xlfn.XLOOKUP(C903,Raw_Data_Transaksi!$A$1:$A$1001,Raw_Data_Transaksi!$C$1:$C$1001,,0)</f>
        <v>SLS-01</v>
      </c>
      <c r="C903" s="6" t="s">
        <v>987</v>
      </c>
      <c r="D903" s="7">
        <v>45705</v>
      </c>
      <c r="E903" s="10" t="str">
        <f>VLOOKUP(B903,Master_Sales!$A$1:$D$9,2,FALSE)</f>
        <v>Andi Pratama</v>
      </c>
      <c r="F903" s="10" t="str">
        <f>INDEX(Master_Sales!$D$1:$D$9,MATCH(Lembar_Kerja_Analisis!B903,Master_Sales!$A$1:$A$9,0))</f>
        <v>Barat</v>
      </c>
      <c r="G903" s="10" t="str">
        <f>INDEX(Master_Sales!$C$1:$C$9,MATCH(Lembar_Kerja_Analisis!B903,Master_Sales!$A$1:$A$9,0))</f>
        <v>Jakarta</v>
      </c>
      <c r="H903" s="10" t="str">
        <f>VLOOKUP(A903,Master_Produk!$A$1:$E$16,2,FALSE)</f>
        <v>Celana Chino Slim Fit</v>
      </c>
      <c r="I903" s="10" t="str">
        <f>INDEX(Master_Produk!$C$1:$C$16,MATCH(Lembar_Kerja_Analisis!A903,Master_Produk!$A$1:$A$16,0))</f>
        <v>Fashion</v>
      </c>
      <c r="J903" s="19">
        <f>_xlfn.XLOOKUP(A903,Master_Produk!$A$1:$A$16,Master_Produk!$D$1:$D$16,,0)</f>
        <v>280000</v>
      </c>
      <c r="K903" s="19">
        <f>INDEX(Master_Produk!$E$1:$E$16,MATCH(Lembar_Kerja_Analisis!A903,Master_Produk!$A$1:$A$16,0))</f>
        <v>175000</v>
      </c>
      <c r="L903" s="8">
        <v>10</v>
      </c>
      <c r="M903" s="19">
        <f t="shared" si="70"/>
        <v>2800000</v>
      </c>
      <c r="N903" s="9">
        <v>0.05</v>
      </c>
      <c r="O903" s="19">
        <f t="shared" si="71"/>
        <v>140000</v>
      </c>
      <c r="P903" s="19">
        <f t="shared" si="72"/>
        <v>2660000</v>
      </c>
      <c r="Q903" s="19">
        <f t="shared" si="73"/>
        <v>1750000</v>
      </c>
      <c r="R903" s="19">
        <f t="shared" si="74"/>
        <v>910000</v>
      </c>
    </row>
    <row r="904" spans="1:18" x14ac:dyDescent="0.25">
      <c r="A904" t="str">
        <f>_xlfn.XLOOKUP(C904,Raw_Data_Transaksi!$A$1:$A$1001,Raw_Data_Transaksi!$D$1:$D$1001,,0)</f>
        <v>PRD-102</v>
      </c>
      <c r="B904" t="str">
        <f>_xlfn.XLOOKUP(C904,Raw_Data_Transaksi!$A$1:$A$1001,Raw_Data_Transaksi!$C$1:$C$1001,,0)</f>
        <v>SLS-08</v>
      </c>
      <c r="C904" s="6" t="s">
        <v>988</v>
      </c>
      <c r="D904" s="7">
        <v>45669</v>
      </c>
      <c r="E904" s="10" t="str">
        <f>VLOOKUP(B904,Master_Sales!$A$1:$D$9,2,FALSE)</f>
        <v>Hendra Wijaya</v>
      </c>
      <c r="F904" s="10" t="str">
        <f>INDEX(Master_Sales!$D$1:$D$9,MATCH(Lembar_Kerja_Analisis!B904,Master_Sales!$A$1:$A$9,0))</f>
        <v>Tengah</v>
      </c>
      <c r="G904" s="10" t="str">
        <f>INDEX(Master_Sales!$C$1:$C$9,MATCH(Lembar_Kerja_Analisis!B904,Master_Sales!$A$1:$A$9,0))</f>
        <v>Yogyakarta</v>
      </c>
      <c r="H904" s="10" t="str">
        <f>VLOOKUP(A904,Master_Produk!$A$1:$E$16,2,FALSE)</f>
        <v>Wireless Mouse Ergonomic</v>
      </c>
      <c r="I904" s="10" t="str">
        <f>INDEX(Master_Produk!$C$1:$C$16,MATCH(Lembar_Kerja_Analisis!A904,Master_Produk!$A$1:$A$16,0))</f>
        <v>Elektronik</v>
      </c>
      <c r="J904" s="19">
        <f>_xlfn.XLOOKUP(A904,Master_Produk!$A$1:$A$16,Master_Produk!$D$1:$D$16,,0)</f>
        <v>250000</v>
      </c>
      <c r="K904" s="19">
        <f>INDEX(Master_Produk!$E$1:$E$16,MATCH(Lembar_Kerja_Analisis!A904,Master_Produk!$A$1:$A$16,0))</f>
        <v>160000</v>
      </c>
      <c r="L904" s="8">
        <v>11</v>
      </c>
      <c r="M904" s="19">
        <f t="shared" si="70"/>
        <v>2750000</v>
      </c>
      <c r="N904" s="9">
        <v>0</v>
      </c>
      <c r="O904" s="19">
        <f t="shared" si="71"/>
        <v>0</v>
      </c>
      <c r="P904" s="19">
        <f t="shared" si="72"/>
        <v>2750000</v>
      </c>
      <c r="Q904" s="19">
        <f t="shared" si="73"/>
        <v>1760000</v>
      </c>
      <c r="R904" s="19">
        <f t="shared" si="74"/>
        <v>990000</v>
      </c>
    </row>
    <row r="905" spans="1:18" x14ac:dyDescent="0.25">
      <c r="A905" t="str">
        <f>_xlfn.XLOOKUP(C905,Raw_Data_Transaksi!$A$1:$A$1001,Raw_Data_Transaksi!$D$1:$D$1001,,0)</f>
        <v>PRD-110</v>
      </c>
      <c r="B905" t="str">
        <f>_xlfn.XLOOKUP(C905,Raw_Data_Transaksi!$A$1:$A$1001,Raw_Data_Transaksi!$C$1:$C$1001,,0)</f>
        <v>SLS-01</v>
      </c>
      <c r="C905" s="6" t="s">
        <v>989</v>
      </c>
      <c r="D905" s="7">
        <v>45820</v>
      </c>
      <c r="E905" s="10" t="str">
        <f>VLOOKUP(B905,Master_Sales!$A$1:$D$9,2,FALSE)</f>
        <v>Andi Pratama</v>
      </c>
      <c r="F905" s="10" t="str">
        <f>INDEX(Master_Sales!$D$1:$D$9,MATCH(Lembar_Kerja_Analisis!B905,Master_Sales!$A$1:$A$9,0))</f>
        <v>Barat</v>
      </c>
      <c r="G905" s="10" t="str">
        <f>INDEX(Master_Sales!$C$1:$C$9,MATCH(Lembar_Kerja_Analisis!B905,Master_Sales!$A$1:$A$9,0))</f>
        <v>Jakarta</v>
      </c>
      <c r="H905" s="10" t="str">
        <f>VLOOKUP(A905,Master_Produk!$A$1:$E$16,2,FALSE)</f>
        <v>Minyak Goreng Sawit 2L</v>
      </c>
      <c r="I905" s="10" t="str">
        <f>INDEX(Master_Produk!$C$1:$C$16,MATCH(Lembar_Kerja_Analisis!A905,Master_Produk!$A$1:$A$16,0))</f>
        <v>F&amp;B</v>
      </c>
      <c r="J905" s="19">
        <f>_xlfn.XLOOKUP(A905,Master_Produk!$A$1:$A$16,Master_Produk!$D$1:$D$16,,0)</f>
        <v>36000</v>
      </c>
      <c r="K905" s="19">
        <f>INDEX(Master_Produk!$E$1:$E$16,MATCH(Lembar_Kerja_Analisis!A905,Master_Produk!$A$1:$A$16,0))</f>
        <v>31000</v>
      </c>
      <c r="L905" s="8">
        <v>14</v>
      </c>
      <c r="M905" s="19">
        <f t="shared" si="70"/>
        <v>504000</v>
      </c>
      <c r="N905" s="9">
        <v>0.15</v>
      </c>
      <c r="O905" s="19">
        <f t="shared" si="71"/>
        <v>75600</v>
      </c>
      <c r="P905" s="19">
        <f t="shared" si="72"/>
        <v>428400</v>
      </c>
      <c r="Q905" s="19">
        <f t="shared" si="73"/>
        <v>434000</v>
      </c>
      <c r="R905" s="19">
        <f t="shared" si="74"/>
        <v>-5600</v>
      </c>
    </row>
    <row r="906" spans="1:18" x14ac:dyDescent="0.25">
      <c r="A906" t="str">
        <f>_xlfn.XLOOKUP(C906,Raw_Data_Transaksi!$A$1:$A$1001,Raw_Data_Transaksi!$D$1:$D$1001,,0)</f>
        <v>PRD-107</v>
      </c>
      <c r="B906" t="str">
        <f>_xlfn.XLOOKUP(C906,Raw_Data_Transaksi!$A$1:$A$1001,Raw_Data_Transaksi!$C$1:$C$1001,,0)</f>
        <v>SLS-06</v>
      </c>
      <c r="C906" s="6" t="s">
        <v>990</v>
      </c>
      <c r="D906" s="7">
        <v>45847</v>
      </c>
      <c r="E906" s="10" t="str">
        <f>VLOOKUP(B906,Master_Sales!$A$1:$D$9,2,FALSE)</f>
        <v>Fajar Nugraha</v>
      </c>
      <c r="F906" s="10" t="str">
        <f>INDEX(Master_Sales!$D$1:$D$9,MATCH(Lembar_Kerja_Analisis!B906,Master_Sales!$A$1:$A$9,0))</f>
        <v>Timur</v>
      </c>
      <c r="G906" s="10" t="str">
        <f>INDEX(Master_Sales!$C$1:$C$9,MATCH(Lembar_Kerja_Analisis!B906,Master_Sales!$A$1:$A$9,0))</f>
        <v>Makassar</v>
      </c>
      <c r="H906" s="10" t="str">
        <f>VLOOKUP(A906,Master_Produk!$A$1:$E$16,2,FALSE)</f>
        <v>Jaket Hoodie Casual</v>
      </c>
      <c r="I906" s="10" t="str">
        <f>INDEX(Master_Produk!$C$1:$C$16,MATCH(Lembar_Kerja_Analisis!A906,Master_Produk!$A$1:$A$16,0))</f>
        <v>Fashion</v>
      </c>
      <c r="J906" s="19">
        <f>_xlfn.XLOOKUP(A906,Master_Produk!$A$1:$A$16,Master_Produk!$D$1:$D$16,,0)</f>
        <v>350000</v>
      </c>
      <c r="K906" s="19">
        <f>INDEX(Master_Produk!$E$1:$E$16,MATCH(Lembar_Kerja_Analisis!A906,Master_Produk!$A$1:$A$16,0))</f>
        <v>220000</v>
      </c>
      <c r="L906" s="8">
        <v>1</v>
      </c>
      <c r="M906" s="19">
        <f t="shared" si="70"/>
        <v>350000</v>
      </c>
      <c r="N906" s="9">
        <v>0.1</v>
      </c>
      <c r="O906" s="19">
        <f t="shared" si="71"/>
        <v>35000</v>
      </c>
      <c r="P906" s="19">
        <f t="shared" si="72"/>
        <v>315000</v>
      </c>
      <c r="Q906" s="19">
        <f t="shared" si="73"/>
        <v>220000</v>
      </c>
      <c r="R906" s="19">
        <f t="shared" si="74"/>
        <v>95000</v>
      </c>
    </row>
    <row r="907" spans="1:18" x14ac:dyDescent="0.25">
      <c r="A907" t="str">
        <f>_xlfn.XLOOKUP(C907,Raw_Data_Transaksi!$A$1:$A$1001,Raw_Data_Transaksi!$D$1:$D$1001,,0)</f>
        <v>PRD-114</v>
      </c>
      <c r="B907" t="str">
        <f>_xlfn.XLOOKUP(C907,Raw_Data_Transaksi!$A$1:$A$1001,Raw_Data_Transaksi!$C$1:$C$1001,,0)</f>
        <v>SLS-02</v>
      </c>
      <c r="C907" s="6" t="s">
        <v>991</v>
      </c>
      <c r="D907" s="7">
        <v>45886</v>
      </c>
      <c r="E907" s="10" t="str">
        <f>VLOOKUP(B907,Master_Sales!$A$1:$D$9,2,FALSE)</f>
        <v>Budi Santoso</v>
      </c>
      <c r="F907" s="10" t="str">
        <f>INDEX(Master_Sales!$D$1:$D$9,MATCH(Lembar_Kerja_Analisis!B907,Master_Sales!$A$1:$A$9,0))</f>
        <v>Timur</v>
      </c>
      <c r="G907" s="10" t="str">
        <f>INDEX(Master_Sales!$C$1:$C$9,MATCH(Lembar_Kerja_Analisis!B907,Master_Sales!$A$1:$A$9,0))</f>
        <v>Surabaya</v>
      </c>
      <c r="H907" s="10" t="str">
        <f>VLOOKUP(A907,Master_Produk!$A$1:$E$16,2,FALSE)</f>
        <v>Blender Multifungsi 2-in-1</v>
      </c>
      <c r="I907" s="10" t="str">
        <f>INDEX(Master_Produk!$C$1:$C$16,MATCH(Lembar_Kerja_Analisis!A907,Master_Produk!$A$1:$A$16,0))</f>
        <v>Peralatan Rumah</v>
      </c>
      <c r="J907" s="19">
        <f>_xlfn.XLOOKUP(A907,Master_Produk!$A$1:$A$16,Master_Produk!$D$1:$D$16,,0)</f>
        <v>340000</v>
      </c>
      <c r="K907" s="19">
        <f>INDEX(Master_Produk!$E$1:$E$16,MATCH(Lembar_Kerja_Analisis!A907,Master_Produk!$A$1:$A$16,0))</f>
        <v>240000</v>
      </c>
      <c r="L907" s="8">
        <v>4</v>
      </c>
      <c r="M907" s="19">
        <f t="shared" si="70"/>
        <v>1360000</v>
      </c>
      <c r="N907" s="9">
        <v>0.15</v>
      </c>
      <c r="O907" s="19">
        <f t="shared" si="71"/>
        <v>204000</v>
      </c>
      <c r="P907" s="19">
        <f t="shared" si="72"/>
        <v>1156000</v>
      </c>
      <c r="Q907" s="19">
        <f t="shared" si="73"/>
        <v>960000</v>
      </c>
      <c r="R907" s="19">
        <f t="shared" si="74"/>
        <v>196000</v>
      </c>
    </row>
    <row r="908" spans="1:18" x14ac:dyDescent="0.25">
      <c r="A908" t="str">
        <f>_xlfn.XLOOKUP(C908,Raw_Data_Transaksi!$A$1:$A$1001,Raw_Data_Transaksi!$D$1:$D$1001,,0)</f>
        <v>PRD-113</v>
      </c>
      <c r="B908" t="str">
        <f>_xlfn.XLOOKUP(C908,Raw_Data_Transaksi!$A$1:$A$1001,Raw_Data_Transaksi!$C$1:$C$1001,,0)</f>
        <v>SLS-07</v>
      </c>
      <c r="C908" s="6" t="s">
        <v>992</v>
      </c>
      <c r="D908" s="7">
        <v>45741</v>
      </c>
      <c r="E908" s="10" t="str">
        <f>VLOOKUP(B908,Master_Sales!$A$1:$D$9,2,FALSE)</f>
        <v>Gita Permata</v>
      </c>
      <c r="F908" s="10" t="str">
        <f>INDEX(Master_Sales!$D$1:$D$9,MATCH(Lembar_Kerja_Analisis!B908,Master_Sales!$A$1:$A$9,0))</f>
        <v>Tengah</v>
      </c>
      <c r="G908" s="10" t="str">
        <f>INDEX(Master_Sales!$C$1:$C$9,MATCH(Lembar_Kerja_Analisis!B908,Master_Sales!$A$1:$A$9,0))</f>
        <v>Denpasar</v>
      </c>
      <c r="H908" s="10" t="str">
        <f>VLOOKUP(A908,Master_Produk!$A$1:$E$16,2,FALSE)</f>
        <v>Wajan Anti Lengket 28cm</v>
      </c>
      <c r="I908" s="10" t="str">
        <f>INDEX(Master_Produk!$C$1:$C$16,MATCH(Lembar_Kerja_Analisis!A908,Master_Produk!$A$1:$A$16,0))</f>
        <v>Peralatan Rumah</v>
      </c>
      <c r="J908" s="19">
        <f>_xlfn.XLOOKUP(A908,Master_Produk!$A$1:$A$16,Master_Produk!$D$1:$D$16,,0)</f>
        <v>210000</v>
      </c>
      <c r="K908" s="19">
        <f>INDEX(Master_Produk!$E$1:$E$16,MATCH(Lembar_Kerja_Analisis!A908,Master_Produk!$A$1:$A$16,0))</f>
        <v>140000</v>
      </c>
      <c r="L908" s="8">
        <v>12</v>
      </c>
      <c r="M908" s="19">
        <f t="shared" si="70"/>
        <v>2520000</v>
      </c>
      <c r="N908" s="9">
        <v>0.15</v>
      </c>
      <c r="O908" s="19">
        <f t="shared" si="71"/>
        <v>378000</v>
      </c>
      <c r="P908" s="19">
        <f t="shared" si="72"/>
        <v>2142000</v>
      </c>
      <c r="Q908" s="19">
        <f t="shared" si="73"/>
        <v>1680000</v>
      </c>
      <c r="R908" s="19">
        <f t="shared" si="74"/>
        <v>462000</v>
      </c>
    </row>
    <row r="909" spans="1:18" x14ac:dyDescent="0.25">
      <c r="A909" t="str">
        <f>_xlfn.XLOOKUP(C909,Raw_Data_Transaksi!$A$1:$A$1001,Raw_Data_Transaksi!$D$1:$D$1001,,0)</f>
        <v>PRD-104</v>
      </c>
      <c r="B909" t="str">
        <f>_xlfn.XLOOKUP(C909,Raw_Data_Transaksi!$A$1:$A$1001,Raw_Data_Transaksi!$C$1:$C$1001,,0)</f>
        <v>SLS-05</v>
      </c>
      <c r="C909" s="6" t="s">
        <v>993</v>
      </c>
      <c r="D909" s="7">
        <v>45731</v>
      </c>
      <c r="E909" s="10" t="str">
        <f>VLOOKUP(B909,Master_Sales!$A$1:$D$9,2,FALSE)</f>
        <v>Eko Prasetyo</v>
      </c>
      <c r="F909" s="10" t="str">
        <f>INDEX(Master_Sales!$D$1:$D$9,MATCH(Lembar_Kerja_Analisis!B909,Master_Sales!$A$1:$A$9,0))</f>
        <v>Tengah</v>
      </c>
      <c r="G909" s="10" t="str">
        <f>INDEX(Master_Sales!$C$1:$C$9,MATCH(Lembar_Kerja_Analisis!B909,Master_Sales!$A$1:$A$9,0))</f>
        <v>Semarang</v>
      </c>
      <c r="H909" s="10" t="str">
        <f>VLOOKUP(A909,Master_Produk!$A$1:$E$16,2,FALSE)</f>
        <v>Monitor 24" FHD 144Hz</v>
      </c>
      <c r="I909" s="10" t="str">
        <f>INDEX(Master_Produk!$C$1:$C$16,MATCH(Lembar_Kerja_Analisis!A909,Master_Produk!$A$1:$A$16,0))</f>
        <v>Elektronik</v>
      </c>
      <c r="J909" s="19">
        <f>_xlfn.XLOOKUP(A909,Master_Produk!$A$1:$A$16,Master_Produk!$D$1:$D$16,,0)</f>
        <v>1950000</v>
      </c>
      <c r="K909" s="19">
        <f>INDEX(Master_Produk!$E$1:$E$16,MATCH(Lembar_Kerja_Analisis!A909,Master_Produk!$A$1:$A$16,0))</f>
        <v>1500000</v>
      </c>
      <c r="L909" s="8">
        <v>8</v>
      </c>
      <c r="M909" s="19">
        <f t="shared" si="70"/>
        <v>15600000</v>
      </c>
      <c r="N909" s="9">
        <v>0.2</v>
      </c>
      <c r="O909" s="19">
        <f t="shared" si="71"/>
        <v>3120000</v>
      </c>
      <c r="P909" s="19">
        <f t="shared" si="72"/>
        <v>12480000</v>
      </c>
      <c r="Q909" s="19">
        <f t="shared" si="73"/>
        <v>12000000</v>
      </c>
      <c r="R909" s="19">
        <f t="shared" si="74"/>
        <v>480000</v>
      </c>
    </row>
    <row r="910" spans="1:18" x14ac:dyDescent="0.25">
      <c r="A910" t="str">
        <f>_xlfn.XLOOKUP(C910,Raw_Data_Transaksi!$A$1:$A$1001,Raw_Data_Transaksi!$D$1:$D$1001,,0)</f>
        <v>PRD-101</v>
      </c>
      <c r="B910" t="str">
        <f>_xlfn.XLOOKUP(C910,Raw_Data_Transaksi!$A$1:$A$1001,Raw_Data_Transaksi!$C$1:$C$1001,,0)</f>
        <v>SLS-07</v>
      </c>
      <c r="C910" s="6" t="s">
        <v>994</v>
      </c>
      <c r="D910" s="7">
        <v>45703</v>
      </c>
      <c r="E910" s="10" t="str">
        <f>VLOOKUP(B910,Master_Sales!$A$1:$D$9,2,FALSE)</f>
        <v>Gita Permata</v>
      </c>
      <c r="F910" s="10" t="str">
        <f>INDEX(Master_Sales!$D$1:$D$9,MATCH(Lembar_Kerja_Analisis!B910,Master_Sales!$A$1:$A$9,0))</f>
        <v>Tengah</v>
      </c>
      <c r="G910" s="10" t="str">
        <f>INDEX(Master_Sales!$C$1:$C$9,MATCH(Lembar_Kerja_Analisis!B910,Master_Sales!$A$1:$A$9,0))</f>
        <v>Denpasar</v>
      </c>
      <c r="H910" s="10" t="str">
        <f>VLOOKUP(A910,Master_Produk!$A$1:$E$16,2,FALSE)</f>
        <v>Laptop Ultrabook 14"</v>
      </c>
      <c r="I910" s="10" t="str">
        <f>INDEX(Master_Produk!$C$1:$C$16,MATCH(Lembar_Kerja_Analisis!A910,Master_Produk!$A$1:$A$16,0))</f>
        <v>Elektronik</v>
      </c>
      <c r="J910" s="19">
        <f>_xlfn.XLOOKUP(A910,Master_Produk!$A$1:$A$16,Master_Produk!$D$1:$D$16,,0)</f>
        <v>8500000</v>
      </c>
      <c r="K910" s="19">
        <f>INDEX(Master_Produk!$E$1:$E$16,MATCH(Lembar_Kerja_Analisis!A910,Master_Produk!$A$1:$A$16,0))</f>
        <v>7200000</v>
      </c>
      <c r="L910" s="8">
        <v>11</v>
      </c>
      <c r="M910" s="19">
        <f t="shared" si="70"/>
        <v>93500000</v>
      </c>
      <c r="N910" s="9">
        <v>0.1</v>
      </c>
      <c r="O910" s="19">
        <f t="shared" si="71"/>
        <v>9350000</v>
      </c>
      <c r="P910" s="19">
        <f t="shared" si="72"/>
        <v>84150000</v>
      </c>
      <c r="Q910" s="19">
        <f t="shared" si="73"/>
        <v>79200000</v>
      </c>
      <c r="R910" s="19">
        <f t="shared" si="74"/>
        <v>4950000</v>
      </c>
    </row>
    <row r="911" spans="1:18" x14ac:dyDescent="0.25">
      <c r="A911" t="str">
        <f>_xlfn.XLOOKUP(C911,Raw_Data_Transaksi!$A$1:$A$1001,Raw_Data_Transaksi!$D$1:$D$1001,,0)</f>
        <v>PRD-110</v>
      </c>
      <c r="B911" t="str">
        <f>_xlfn.XLOOKUP(C911,Raw_Data_Transaksi!$A$1:$A$1001,Raw_Data_Transaksi!$C$1:$C$1001,,0)</f>
        <v>SLS-03</v>
      </c>
      <c r="C911" s="6" t="s">
        <v>995</v>
      </c>
      <c r="D911" s="7">
        <v>46021</v>
      </c>
      <c r="E911" s="10" t="str">
        <f>VLOOKUP(B911,Master_Sales!$A$1:$D$9,2,FALSE)</f>
        <v>Citra Lestari</v>
      </c>
      <c r="F911" s="10" t="str">
        <f>INDEX(Master_Sales!$D$1:$D$9,MATCH(Lembar_Kerja_Analisis!B911,Master_Sales!$A$1:$A$9,0))</f>
        <v>Barat</v>
      </c>
      <c r="G911" s="10" t="str">
        <f>INDEX(Master_Sales!$C$1:$C$9,MATCH(Lembar_Kerja_Analisis!B911,Master_Sales!$A$1:$A$9,0))</f>
        <v>Bandung</v>
      </c>
      <c r="H911" s="10" t="str">
        <f>VLOOKUP(A911,Master_Produk!$A$1:$E$16,2,FALSE)</f>
        <v>Minyak Goreng Sawit 2L</v>
      </c>
      <c r="I911" s="10" t="str">
        <f>INDEX(Master_Produk!$C$1:$C$16,MATCH(Lembar_Kerja_Analisis!A911,Master_Produk!$A$1:$A$16,0))</f>
        <v>F&amp;B</v>
      </c>
      <c r="J911" s="19">
        <f>_xlfn.XLOOKUP(A911,Master_Produk!$A$1:$A$16,Master_Produk!$D$1:$D$16,,0)</f>
        <v>36000</v>
      </c>
      <c r="K911" s="19">
        <f>INDEX(Master_Produk!$E$1:$E$16,MATCH(Lembar_Kerja_Analisis!A911,Master_Produk!$A$1:$A$16,0))</f>
        <v>31000</v>
      </c>
      <c r="L911" s="8">
        <v>8</v>
      </c>
      <c r="M911" s="19">
        <f t="shared" si="70"/>
        <v>288000</v>
      </c>
      <c r="N911" s="9">
        <v>0.15</v>
      </c>
      <c r="O911" s="19">
        <f t="shared" si="71"/>
        <v>43200</v>
      </c>
      <c r="P911" s="19">
        <f t="shared" si="72"/>
        <v>244800</v>
      </c>
      <c r="Q911" s="19">
        <f t="shared" si="73"/>
        <v>248000</v>
      </c>
      <c r="R911" s="19">
        <f t="shared" si="74"/>
        <v>-3200</v>
      </c>
    </row>
    <row r="912" spans="1:18" x14ac:dyDescent="0.25">
      <c r="A912" t="str">
        <f>_xlfn.XLOOKUP(C912,Raw_Data_Transaksi!$A$1:$A$1001,Raw_Data_Transaksi!$D$1:$D$1001,,0)</f>
        <v>PRD-114</v>
      </c>
      <c r="B912" t="str">
        <f>_xlfn.XLOOKUP(C912,Raw_Data_Transaksi!$A$1:$A$1001,Raw_Data_Transaksi!$C$1:$C$1001,,0)</f>
        <v>SLS-05</v>
      </c>
      <c r="C912" s="6" t="s">
        <v>996</v>
      </c>
      <c r="D912" s="7">
        <v>45679</v>
      </c>
      <c r="E912" s="10" t="str">
        <f>VLOOKUP(B912,Master_Sales!$A$1:$D$9,2,FALSE)</f>
        <v>Eko Prasetyo</v>
      </c>
      <c r="F912" s="10" t="str">
        <f>INDEX(Master_Sales!$D$1:$D$9,MATCH(Lembar_Kerja_Analisis!B912,Master_Sales!$A$1:$A$9,0))</f>
        <v>Tengah</v>
      </c>
      <c r="G912" s="10" t="str">
        <f>INDEX(Master_Sales!$C$1:$C$9,MATCH(Lembar_Kerja_Analisis!B912,Master_Sales!$A$1:$A$9,0))</f>
        <v>Semarang</v>
      </c>
      <c r="H912" s="10" t="str">
        <f>VLOOKUP(A912,Master_Produk!$A$1:$E$16,2,FALSE)</f>
        <v>Blender Multifungsi 2-in-1</v>
      </c>
      <c r="I912" s="10" t="str">
        <f>INDEX(Master_Produk!$C$1:$C$16,MATCH(Lembar_Kerja_Analisis!A912,Master_Produk!$A$1:$A$16,0))</f>
        <v>Peralatan Rumah</v>
      </c>
      <c r="J912" s="19">
        <f>_xlfn.XLOOKUP(A912,Master_Produk!$A$1:$A$16,Master_Produk!$D$1:$D$16,,0)</f>
        <v>340000</v>
      </c>
      <c r="K912" s="19">
        <f>INDEX(Master_Produk!$E$1:$E$16,MATCH(Lembar_Kerja_Analisis!A912,Master_Produk!$A$1:$A$16,0))</f>
        <v>240000</v>
      </c>
      <c r="L912" s="8">
        <v>10</v>
      </c>
      <c r="M912" s="19">
        <f t="shared" si="70"/>
        <v>3400000</v>
      </c>
      <c r="N912" s="9">
        <v>0.1</v>
      </c>
      <c r="O912" s="19">
        <f t="shared" si="71"/>
        <v>340000</v>
      </c>
      <c r="P912" s="19">
        <f t="shared" si="72"/>
        <v>3060000</v>
      </c>
      <c r="Q912" s="19">
        <f t="shared" si="73"/>
        <v>2400000</v>
      </c>
      <c r="R912" s="19">
        <f t="shared" si="74"/>
        <v>660000</v>
      </c>
    </row>
    <row r="913" spans="1:18" x14ac:dyDescent="0.25">
      <c r="A913" t="str">
        <f>_xlfn.XLOOKUP(C913,Raw_Data_Transaksi!$A$1:$A$1001,Raw_Data_Transaksi!$D$1:$D$1001,,0)</f>
        <v>PRD-101</v>
      </c>
      <c r="B913" t="str">
        <f>_xlfn.XLOOKUP(C913,Raw_Data_Transaksi!$A$1:$A$1001,Raw_Data_Transaksi!$C$1:$C$1001,,0)</f>
        <v>SLS-01</v>
      </c>
      <c r="C913" s="6" t="s">
        <v>997</v>
      </c>
      <c r="D913" s="7">
        <v>45772</v>
      </c>
      <c r="E913" s="10" t="str">
        <f>VLOOKUP(B913,Master_Sales!$A$1:$D$9,2,FALSE)</f>
        <v>Andi Pratama</v>
      </c>
      <c r="F913" s="10" t="str">
        <f>INDEX(Master_Sales!$D$1:$D$9,MATCH(Lembar_Kerja_Analisis!B913,Master_Sales!$A$1:$A$9,0))</f>
        <v>Barat</v>
      </c>
      <c r="G913" s="10" t="str">
        <f>INDEX(Master_Sales!$C$1:$C$9,MATCH(Lembar_Kerja_Analisis!B913,Master_Sales!$A$1:$A$9,0))</f>
        <v>Jakarta</v>
      </c>
      <c r="H913" s="10" t="str">
        <f>VLOOKUP(A913,Master_Produk!$A$1:$E$16,2,FALSE)</f>
        <v>Laptop Ultrabook 14"</v>
      </c>
      <c r="I913" s="10" t="str">
        <f>INDEX(Master_Produk!$C$1:$C$16,MATCH(Lembar_Kerja_Analisis!A913,Master_Produk!$A$1:$A$16,0))</f>
        <v>Elektronik</v>
      </c>
      <c r="J913" s="19">
        <f>_xlfn.XLOOKUP(A913,Master_Produk!$A$1:$A$16,Master_Produk!$D$1:$D$16,,0)</f>
        <v>8500000</v>
      </c>
      <c r="K913" s="19">
        <f>INDEX(Master_Produk!$E$1:$E$16,MATCH(Lembar_Kerja_Analisis!A913,Master_Produk!$A$1:$A$16,0))</f>
        <v>7200000</v>
      </c>
      <c r="L913" s="8">
        <v>3</v>
      </c>
      <c r="M913" s="19">
        <f t="shared" si="70"/>
        <v>25500000</v>
      </c>
      <c r="N913" s="9">
        <v>0.1</v>
      </c>
      <c r="O913" s="19">
        <f t="shared" si="71"/>
        <v>2550000</v>
      </c>
      <c r="P913" s="19">
        <f t="shared" si="72"/>
        <v>22950000</v>
      </c>
      <c r="Q913" s="19">
        <f t="shared" si="73"/>
        <v>21600000</v>
      </c>
      <c r="R913" s="19">
        <f t="shared" si="74"/>
        <v>1350000</v>
      </c>
    </row>
    <row r="914" spans="1:18" x14ac:dyDescent="0.25">
      <c r="A914" t="str">
        <f>_xlfn.XLOOKUP(C914,Raw_Data_Transaksi!$A$1:$A$1001,Raw_Data_Transaksi!$D$1:$D$1001,,0)</f>
        <v>PRD-111</v>
      </c>
      <c r="B914" t="str">
        <f>_xlfn.XLOOKUP(C914,Raw_Data_Transaksi!$A$1:$A$1001,Raw_Data_Transaksi!$C$1:$C$1001,,0)</f>
        <v>SLS-05</v>
      </c>
      <c r="C914" s="6" t="s">
        <v>998</v>
      </c>
      <c r="D914" s="7">
        <v>45721</v>
      </c>
      <c r="E914" s="10" t="str">
        <f>VLOOKUP(B914,Master_Sales!$A$1:$D$9,2,FALSE)</f>
        <v>Eko Prasetyo</v>
      </c>
      <c r="F914" s="10" t="str">
        <f>INDEX(Master_Sales!$D$1:$D$9,MATCH(Lembar_Kerja_Analisis!B914,Master_Sales!$A$1:$A$9,0))</f>
        <v>Tengah</v>
      </c>
      <c r="G914" s="10" t="str">
        <f>INDEX(Master_Sales!$C$1:$C$9,MATCH(Lembar_Kerja_Analisis!B914,Master_Sales!$A$1:$A$9,0))</f>
        <v>Semarang</v>
      </c>
      <c r="H914" s="10" t="str">
        <f>VLOOKUP(A914,Master_Produk!$A$1:$E$16,2,FALSE)</f>
        <v>Beras Premium 5kg</v>
      </c>
      <c r="I914" s="10" t="str">
        <f>INDEX(Master_Produk!$C$1:$C$16,MATCH(Lembar_Kerja_Analisis!A914,Master_Produk!$A$1:$A$16,0))</f>
        <v>F&amp;B</v>
      </c>
      <c r="J914" s="19">
        <f>_xlfn.XLOOKUP(A914,Master_Produk!$A$1:$A$16,Master_Produk!$D$1:$D$16,,0)</f>
        <v>74000</v>
      </c>
      <c r="K914" s="19">
        <f>INDEX(Master_Produk!$E$1:$E$16,MATCH(Lembar_Kerja_Analisis!A914,Master_Produk!$A$1:$A$16,0))</f>
        <v>65000</v>
      </c>
      <c r="L914" s="8">
        <v>8</v>
      </c>
      <c r="M914" s="19">
        <f t="shared" si="70"/>
        <v>592000</v>
      </c>
      <c r="N914" s="9">
        <v>0.15</v>
      </c>
      <c r="O914" s="19">
        <f t="shared" si="71"/>
        <v>88800</v>
      </c>
      <c r="P914" s="19">
        <f t="shared" si="72"/>
        <v>503200</v>
      </c>
      <c r="Q914" s="19">
        <f t="shared" si="73"/>
        <v>520000</v>
      </c>
      <c r="R914" s="19">
        <f t="shared" si="74"/>
        <v>-16800</v>
      </c>
    </row>
    <row r="915" spans="1:18" x14ac:dyDescent="0.25">
      <c r="A915" t="str">
        <f>_xlfn.XLOOKUP(C915,Raw_Data_Transaksi!$A$1:$A$1001,Raw_Data_Transaksi!$D$1:$D$1001,,0)</f>
        <v>PRD-108</v>
      </c>
      <c r="B915" t="str">
        <f>_xlfn.XLOOKUP(C915,Raw_Data_Transaksi!$A$1:$A$1001,Raw_Data_Transaksi!$C$1:$C$1001,,0)</f>
        <v>SLS-02</v>
      </c>
      <c r="C915" s="6" t="s">
        <v>999</v>
      </c>
      <c r="D915" s="7">
        <v>45799</v>
      </c>
      <c r="E915" s="10" t="str">
        <f>VLOOKUP(B915,Master_Sales!$A$1:$D$9,2,FALSE)</f>
        <v>Budi Santoso</v>
      </c>
      <c r="F915" s="10" t="str">
        <f>INDEX(Master_Sales!$D$1:$D$9,MATCH(Lembar_Kerja_Analisis!B915,Master_Sales!$A$1:$A$9,0))</f>
        <v>Timur</v>
      </c>
      <c r="G915" s="10" t="str">
        <f>INDEX(Master_Sales!$C$1:$C$9,MATCH(Lembar_Kerja_Analisis!B915,Master_Sales!$A$1:$A$9,0))</f>
        <v>Surabaya</v>
      </c>
      <c r="H915" s="10" t="str">
        <f>VLOOKUP(A915,Master_Produk!$A$1:$E$16,2,FALSE)</f>
        <v>Sepatu Sneakers Pria/Wanita</v>
      </c>
      <c r="I915" s="10" t="str">
        <f>INDEX(Master_Produk!$C$1:$C$16,MATCH(Lembar_Kerja_Analisis!A915,Master_Produk!$A$1:$A$16,0))</f>
        <v>Fashion</v>
      </c>
      <c r="J915" s="19">
        <f>_xlfn.XLOOKUP(A915,Master_Produk!$A$1:$A$16,Master_Produk!$D$1:$D$16,,0)</f>
        <v>450000</v>
      </c>
      <c r="K915" s="19">
        <f>INDEX(Master_Produk!$E$1:$E$16,MATCH(Lembar_Kerja_Analisis!A915,Master_Produk!$A$1:$A$16,0))</f>
        <v>290000</v>
      </c>
      <c r="L915" s="8">
        <v>10</v>
      </c>
      <c r="M915" s="19">
        <f t="shared" si="70"/>
        <v>4500000</v>
      </c>
      <c r="N915" s="9">
        <v>0.1</v>
      </c>
      <c r="O915" s="19">
        <f t="shared" si="71"/>
        <v>450000</v>
      </c>
      <c r="P915" s="19">
        <f t="shared" si="72"/>
        <v>4050000</v>
      </c>
      <c r="Q915" s="19">
        <f t="shared" si="73"/>
        <v>2900000</v>
      </c>
      <c r="R915" s="19">
        <f t="shared" si="74"/>
        <v>1150000</v>
      </c>
    </row>
    <row r="916" spans="1:18" x14ac:dyDescent="0.25">
      <c r="A916" t="str">
        <f>_xlfn.XLOOKUP(C916,Raw_Data_Transaksi!$A$1:$A$1001,Raw_Data_Transaksi!$D$1:$D$1001,,0)</f>
        <v>PRD-111</v>
      </c>
      <c r="B916" t="str">
        <f>_xlfn.XLOOKUP(C916,Raw_Data_Transaksi!$A$1:$A$1001,Raw_Data_Transaksi!$C$1:$C$1001,,0)</f>
        <v>SLS-08</v>
      </c>
      <c r="C916" s="6" t="s">
        <v>1000</v>
      </c>
      <c r="D916" s="7">
        <v>45790</v>
      </c>
      <c r="E916" s="10" t="str">
        <f>VLOOKUP(B916,Master_Sales!$A$1:$D$9,2,FALSE)</f>
        <v>Hendra Wijaya</v>
      </c>
      <c r="F916" s="10" t="str">
        <f>INDEX(Master_Sales!$D$1:$D$9,MATCH(Lembar_Kerja_Analisis!B916,Master_Sales!$A$1:$A$9,0))</f>
        <v>Tengah</v>
      </c>
      <c r="G916" s="10" t="str">
        <f>INDEX(Master_Sales!$C$1:$C$9,MATCH(Lembar_Kerja_Analisis!B916,Master_Sales!$A$1:$A$9,0))</f>
        <v>Yogyakarta</v>
      </c>
      <c r="H916" s="10" t="str">
        <f>VLOOKUP(A916,Master_Produk!$A$1:$E$16,2,FALSE)</f>
        <v>Beras Premium 5kg</v>
      </c>
      <c r="I916" s="10" t="str">
        <f>INDEX(Master_Produk!$C$1:$C$16,MATCH(Lembar_Kerja_Analisis!A916,Master_Produk!$A$1:$A$16,0))</f>
        <v>F&amp;B</v>
      </c>
      <c r="J916" s="19">
        <f>_xlfn.XLOOKUP(A916,Master_Produk!$A$1:$A$16,Master_Produk!$D$1:$D$16,,0)</f>
        <v>74000</v>
      </c>
      <c r="K916" s="19">
        <f>INDEX(Master_Produk!$E$1:$E$16,MATCH(Lembar_Kerja_Analisis!A916,Master_Produk!$A$1:$A$16,0))</f>
        <v>65000</v>
      </c>
      <c r="L916" s="8">
        <v>29</v>
      </c>
      <c r="M916" s="19">
        <f t="shared" si="70"/>
        <v>2146000</v>
      </c>
      <c r="N916" s="9">
        <v>0</v>
      </c>
      <c r="O916" s="19">
        <f t="shared" si="71"/>
        <v>0</v>
      </c>
      <c r="P916" s="19">
        <f t="shared" si="72"/>
        <v>2146000</v>
      </c>
      <c r="Q916" s="19">
        <f t="shared" si="73"/>
        <v>1885000</v>
      </c>
      <c r="R916" s="19">
        <f t="shared" si="74"/>
        <v>261000</v>
      </c>
    </row>
    <row r="917" spans="1:18" x14ac:dyDescent="0.25">
      <c r="A917" t="str">
        <f>_xlfn.XLOOKUP(C917,Raw_Data_Transaksi!$A$1:$A$1001,Raw_Data_Transaksi!$D$1:$D$1001,,0)</f>
        <v>PRD-103</v>
      </c>
      <c r="B917" t="str">
        <f>_xlfn.XLOOKUP(C917,Raw_Data_Transaksi!$A$1:$A$1001,Raw_Data_Transaksi!$C$1:$C$1001,,0)</f>
        <v>SLS-01</v>
      </c>
      <c r="C917" s="6" t="s">
        <v>1001</v>
      </c>
      <c r="D917" s="7">
        <v>45790</v>
      </c>
      <c r="E917" s="10" t="str">
        <f>VLOOKUP(B917,Master_Sales!$A$1:$D$9,2,FALSE)</f>
        <v>Andi Pratama</v>
      </c>
      <c r="F917" s="10" t="str">
        <f>INDEX(Master_Sales!$D$1:$D$9,MATCH(Lembar_Kerja_Analisis!B917,Master_Sales!$A$1:$A$9,0))</f>
        <v>Barat</v>
      </c>
      <c r="G917" s="10" t="str">
        <f>INDEX(Master_Sales!$C$1:$C$9,MATCH(Lembar_Kerja_Analisis!B917,Master_Sales!$A$1:$A$9,0))</f>
        <v>Jakarta</v>
      </c>
      <c r="H917" s="10" t="str">
        <f>VLOOKUP(A917,Master_Produk!$A$1:$E$16,2,FALSE)</f>
        <v>Mechanical Keyboard RGB</v>
      </c>
      <c r="I917" s="10" t="str">
        <f>INDEX(Master_Produk!$C$1:$C$16,MATCH(Lembar_Kerja_Analisis!A917,Master_Produk!$A$1:$A$16,0))</f>
        <v>Elektronik</v>
      </c>
      <c r="J917" s="19">
        <f>_xlfn.XLOOKUP(A917,Master_Produk!$A$1:$A$16,Master_Produk!$D$1:$D$16,,0)</f>
        <v>750000</v>
      </c>
      <c r="K917" s="19">
        <f>INDEX(Master_Produk!$E$1:$E$16,MATCH(Lembar_Kerja_Analisis!A917,Master_Produk!$A$1:$A$16,0))</f>
        <v>520000</v>
      </c>
      <c r="L917" s="8">
        <v>3</v>
      </c>
      <c r="M917" s="19">
        <f t="shared" si="70"/>
        <v>2250000</v>
      </c>
      <c r="N917" s="9">
        <v>0.1</v>
      </c>
      <c r="O917" s="19">
        <f t="shared" si="71"/>
        <v>225000</v>
      </c>
      <c r="P917" s="19">
        <f t="shared" si="72"/>
        <v>2025000</v>
      </c>
      <c r="Q917" s="19">
        <f t="shared" si="73"/>
        <v>1560000</v>
      </c>
      <c r="R917" s="19">
        <f t="shared" si="74"/>
        <v>465000</v>
      </c>
    </row>
    <row r="918" spans="1:18" x14ac:dyDescent="0.25">
      <c r="A918" t="str">
        <f>_xlfn.XLOOKUP(C918,Raw_Data_Transaksi!$A$1:$A$1001,Raw_Data_Transaksi!$D$1:$D$1001,,0)</f>
        <v>PRD-103</v>
      </c>
      <c r="B918" t="str">
        <f>_xlfn.XLOOKUP(C918,Raw_Data_Transaksi!$A$1:$A$1001,Raw_Data_Transaksi!$C$1:$C$1001,,0)</f>
        <v>SLS-01</v>
      </c>
      <c r="C918" s="6" t="s">
        <v>1002</v>
      </c>
      <c r="D918" s="7">
        <v>45840</v>
      </c>
      <c r="E918" s="10" t="str">
        <f>VLOOKUP(B918,Master_Sales!$A$1:$D$9,2,FALSE)</f>
        <v>Andi Pratama</v>
      </c>
      <c r="F918" s="10" t="str">
        <f>INDEX(Master_Sales!$D$1:$D$9,MATCH(Lembar_Kerja_Analisis!B918,Master_Sales!$A$1:$A$9,0))</f>
        <v>Barat</v>
      </c>
      <c r="G918" s="10" t="str">
        <f>INDEX(Master_Sales!$C$1:$C$9,MATCH(Lembar_Kerja_Analisis!B918,Master_Sales!$A$1:$A$9,0))</f>
        <v>Jakarta</v>
      </c>
      <c r="H918" s="10" t="str">
        <f>VLOOKUP(A918,Master_Produk!$A$1:$E$16,2,FALSE)</f>
        <v>Mechanical Keyboard RGB</v>
      </c>
      <c r="I918" s="10" t="str">
        <f>INDEX(Master_Produk!$C$1:$C$16,MATCH(Lembar_Kerja_Analisis!A918,Master_Produk!$A$1:$A$16,0))</f>
        <v>Elektronik</v>
      </c>
      <c r="J918" s="19">
        <f>_xlfn.XLOOKUP(A918,Master_Produk!$A$1:$A$16,Master_Produk!$D$1:$D$16,,0)</f>
        <v>750000</v>
      </c>
      <c r="K918" s="19">
        <f>INDEX(Master_Produk!$E$1:$E$16,MATCH(Lembar_Kerja_Analisis!A918,Master_Produk!$A$1:$A$16,0))</f>
        <v>520000</v>
      </c>
      <c r="L918" s="8">
        <v>5</v>
      </c>
      <c r="M918" s="19">
        <f t="shared" si="70"/>
        <v>3750000</v>
      </c>
      <c r="N918" s="9">
        <v>0.1</v>
      </c>
      <c r="O918" s="19">
        <f t="shared" si="71"/>
        <v>375000</v>
      </c>
      <c r="P918" s="19">
        <f t="shared" si="72"/>
        <v>3375000</v>
      </c>
      <c r="Q918" s="19">
        <f t="shared" si="73"/>
        <v>2600000</v>
      </c>
      <c r="R918" s="19">
        <f t="shared" si="74"/>
        <v>775000</v>
      </c>
    </row>
    <row r="919" spans="1:18" x14ac:dyDescent="0.25">
      <c r="A919" t="str">
        <f>_xlfn.XLOOKUP(C919,Raw_Data_Transaksi!$A$1:$A$1001,Raw_Data_Transaksi!$D$1:$D$1001,,0)</f>
        <v>PRD-105</v>
      </c>
      <c r="B919" t="str">
        <f>_xlfn.XLOOKUP(C919,Raw_Data_Transaksi!$A$1:$A$1001,Raw_Data_Transaksi!$C$1:$C$1001,,0)</f>
        <v>SLS-05</v>
      </c>
      <c r="C919" s="6" t="s">
        <v>1003</v>
      </c>
      <c r="D919" s="7">
        <v>45682</v>
      </c>
      <c r="E919" s="10" t="str">
        <f>VLOOKUP(B919,Master_Sales!$A$1:$D$9,2,FALSE)</f>
        <v>Eko Prasetyo</v>
      </c>
      <c r="F919" s="10" t="str">
        <f>INDEX(Master_Sales!$D$1:$D$9,MATCH(Lembar_Kerja_Analisis!B919,Master_Sales!$A$1:$A$9,0))</f>
        <v>Tengah</v>
      </c>
      <c r="G919" s="10" t="str">
        <f>INDEX(Master_Sales!$C$1:$C$9,MATCH(Lembar_Kerja_Analisis!B919,Master_Sales!$A$1:$A$9,0))</f>
        <v>Semarang</v>
      </c>
      <c r="H919" s="10" t="str">
        <f>VLOOKUP(A919,Master_Produk!$A$1:$E$16,2,FALSE)</f>
        <v>Kemeja Batik Katun Premium</v>
      </c>
      <c r="I919" s="10" t="str">
        <f>INDEX(Master_Produk!$C$1:$C$16,MATCH(Lembar_Kerja_Analisis!A919,Master_Produk!$A$1:$A$16,0))</f>
        <v>Fashion</v>
      </c>
      <c r="J919" s="19">
        <f>_xlfn.XLOOKUP(A919,Master_Produk!$A$1:$A$16,Master_Produk!$D$1:$D$16,,0)</f>
        <v>320000</v>
      </c>
      <c r="K919" s="19">
        <f>INDEX(Master_Produk!$E$1:$E$16,MATCH(Lembar_Kerja_Analisis!A919,Master_Produk!$A$1:$A$16,0))</f>
        <v>190000</v>
      </c>
      <c r="L919" s="8">
        <v>9</v>
      </c>
      <c r="M919" s="19">
        <f t="shared" si="70"/>
        <v>2880000</v>
      </c>
      <c r="N919" s="9">
        <v>0</v>
      </c>
      <c r="O919" s="19">
        <f t="shared" si="71"/>
        <v>0</v>
      </c>
      <c r="P919" s="19">
        <f t="shared" si="72"/>
        <v>2880000</v>
      </c>
      <c r="Q919" s="19">
        <f t="shared" si="73"/>
        <v>1710000</v>
      </c>
      <c r="R919" s="19">
        <f t="shared" si="74"/>
        <v>1170000</v>
      </c>
    </row>
    <row r="920" spans="1:18" x14ac:dyDescent="0.25">
      <c r="A920" t="str">
        <f>_xlfn.XLOOKUP(C920,Raw_Data_Transaksi!$A$1:$A$1001,Raw_Data_Transaksi!$D$1:$D$1001,,0)</f>
        <v>PRD-110</v>
      </c>
      <c r="B920" t="str">
        <f>_xlfn.XLOOKUP(C920,Raw_Data_Transaksi!$A$1:$A$1001,Raw_Data_Transaksi!$C$1:$C$1001,,0)</f>
        <v>SLS-03</v>
      </c>
      <c r="C920" s="6" t="s">
        <v>1004</v>
      </c>
      <c r="D920" s="7">
        <v>45706</v>
      </c>
      <c r="E920" s="10" t="str">
        <f>VLOOKUP(B920,Master_Sales!$A$1:$D$9,2,FALSE)</f>
        <v>Citra Lestari</v>
      </c>
      <c r="F920" s="10" t="str">
        <f>INDEX(Master_Sales!$D$1:$D$9,MATCH(Lembar_Kerja_Analisis!B920,Master_Sales!$A$1:$A$9,0))</f>
        <v>Barat</v>
      </c>
      <c r="G920" s="10" t="str">
        <f>INDEX(Master_Sales!$C$1:$C$9,MATCH(Lembar_Kerja_Analisis!B920,Master_Sales!$A$1:$A$9,0))</f>
        <v>Bandung</v>
      </c>
      <c r="H920" s="10" t="str">
        <f>VLOOKUP(A920,Master_Produk!$A$1:$E$16,2,FALSE)</f>
        <v>Minyak Goreng Sawit 2L</v>
      </c>
      <c r="I920" s="10" t="str">
        <f>INDEX(Master_Produk!$C$1:$C$16,MATCH(Lembar_Kerja_Analisis!A920,Master_Produk!$A$1:$A$16,0))</f>
        <v>F&amp;B</v>
      </c>
      <c r="J920" s="19">
        <f>_xlfn.XLOOKUP(A920,Master_Produk!$A$1:$A$16,Master_Produk!$D$1:$D$16,,0)</f>
        <v>36000</v>
      </c>
      <c r="K920" s="19">
        <f>INDEX(Master_Produk!$E$1:$E$16,MATCH(Lembar_Kerja_Analisis!A920,Master_Produk!$A$1:$A$16,0))</f>
        <v>31000</v>
      </c>
      <c r="L920" s="8">
        <v>13</v>
      </c>
      <c r="M920" s="19">
        <f t="shared" si="70"/>
        <v>468000</v>
      </c>
      <c r="N920" s="9">
        <v>0.1</v>
      </c>
      <c r="O920" s="19">
        <f t="shared" si="71"/>
        <v>46800</v>
      </c>
      <c r="P920" s="19">
        <f t="shared" si="72"/>
        <v>421200</v>
      </c>
      <c r="Q920" s="19">
        <f t="shared" si="73"/>
        <v>403000</v>
      </c>
      <c r="R920" s="19">
        <f t="shared" si="74"/>
        <v>18200</v>
      </c>
    </row>
    <row r="921" spans="1:18" x14ac:dyDescent="0.25">
      <c r="A921" t="str">
        <f>_xlfn.XLOOKUP(C921,Raw_Data_Transaksi!$A$1:$A$1001,Raw_Data_Transaksi!$D$1:$D$1001,,0)</f>
        <v>PRD-109</v>
      </c>
      <c r="B921" t="str">
        <f>_xlfn.XLOOKUP(C921,Raw_Data_Transaksi!$A$1:$A$1001,Raw_Data_Transaksi!$C$1:$C$1001,,0)</f>
        <v>SLS-06</v>
      </c>
      <c r="C921" s="6" t="s">
        <v>1005</v>
      </c>
      <c r="D921" s="7">
        <v>45707</v>
      </c>
      <c r="E921" s="10" t="str">
        <f>VLOOKUP(B921,Master_Sales!$A$1:$D$9,2,FALSE)</f>
        <v>Fajar Nugraha</v>
      </c>
      <c r="F921" s="10" t="str">
        <f>INDEX(Master_Sales!$D$1:$D$9,MATCH(Lembar_Kerja_Analisis!B921,Master_Sales!$A$1:$A$9,0))</f>
        <v>Timur</v>
      </c>
      <c r="G921" s="10" t="str">
        <f>INDEX(Master_Sales!$C$1:$C$9,MATCH(Lembar_Kerja_Analisis!B921,Master_Sales!$A$1:$A$9,0))</f>
        <v>Makassar</v>
      </c>
      <c r="H921" s="10" t="str">
        <f>VLOOKUP(A921,Master_Produk!$A$1:$E$16,2,FALSE)</f>
        <v>Kopi Arabika Gayo 250g</v>
      </c>
      <c r="I921" s="10" t="str">
        <f>INDEX(Master_Produk!$C$1:$C$16,MATCH(Lembar_Kerja_Analisis!A921,Master_Produk!$A$1:$A$16,0))</f>
        <v>F&amp;B</v>
      </c>
      <c r="J921" s="19">
        <f>_xlfn.XLOOKUP(A921,Master_Produk!$A$1:$A$16,Master_Produk!$D$1:$D$16,,0)</f>
        <v>85000</v>
      </c>
      <c r="K921" s="19">
        <f>INDEX(Master_Produk!$E$1:$E$16,MATCH(Lembar_Kerja_Analisis!A921,Master_Produk!$A$1:$A$16,0))</f>
        <v>55000</v>
      </c>
      <c r="L921" s="8">
        <v>3</v>
      </c>
      <c r="M921" s="19">
        <f t="shared" si="70"/>
        <v>255000</v>
      </c>
      <c r="N921" s="9">
        <v>0.05</v>
      </c>
      <c r="O921" s="19">
        <f t="shared" si="71"/>
        <v>12750</v>
      </c>
      <c r="P921" s="19">
        <f t="shared" si="72"/>
        <v>242250</v>
      </c>
      <c r="Q921" s="19">
        <f t="shared" si="73"/>
        <v>165000</v>
      </c>
      <c r="R921" s="19">
        <f t="shared" si="74"/>
        <v>77250</v>
      </c>
    </row>
    <row r="922" spans="1:18" x14ac:dyDescent="0.25">
      <c r="A922" t="str">
        <f>_xlfn.XLOOKUP(C922,Raw_Data_Transaksi!$A$1:$A$1001,Raw_Data_Transaksi!$D$1:$D$1001,,0)</f>
        <v>PRD-106</v>
      </c>
      <c r="B922" t="str">
        <f>_xlfn.XLOOKUP(C922,Raw_Data_Transaksi!$A$1:$A$1001,Raw_Data_Transaksi!$C$1:$C$1001,,0)</f>
        <v>SLS-03</v>
      </c>
      <c r="C922" s="6" t="s">
        <v>1006</v>
      </c>
      <c r="D922" s="7">
        <v>45868</v>
      </c>
      <c r="E922" s="10" t="str">
        <f>VLOOKUP(B922,Master_Sales!$A$1:$D$9,2,FALSE)</f>
        <v>Citra Lestari</v>
      </c>
      <c r="F922" s="10" t="str">
        <f>INDEX(Master_Sales!$D$1:$D$9,MATCH(Lembar_Kerja_Analisis!B922,Master_Sales!$A$1:$A$9,0))</f>
        <v>Barat</v>
      </c>
      <c r="G922" s="10" t="str">
        <f>INDEX(Master_Sales!$C$1:$C$9,MATCH(Lembar_Kerja_Analisis!B922,Master_Sales!$A$1:$A$9,0))</f>
        <v>Bandung</v>
      </c>
      <c r="H922" s="10" t="str">
        <f>VLOOKUP(A922,Master_Produk!$A$1:$E$16,2,FALSE)</f>
        <v>Celana Chino Slim Fit</v>
      </c>
      <c r="I922" s="10" t="str">
        <f>INDEX(Master_Produk!$C$1:$C$16,MATCH(Lembar_Kerja_Analisis!A922,Master_Produk!$A$1:$A$16,0))</f>
        <v>Fashion</v>
      </c>
      <c r="J922" s="19">
        <f>_xlfn.XLOOKUP(A922,Master_Produk!$A$1:$A$16,Master_Produk!$D$1:$D$16,,0)</f>
        <v>280000</v>
      </c>
      <c r="K922" s="19">
        <f>INDEX(Master_Produk!$E$1:$E$16,MATCH(Lembar_Kerja_Analisis!A922,Master_Produk!$A$1:$A$16,0))</f>
        <v>175000</v>
      </c>
      <c r="L922" s="8">
        <v>2</v>
      </c>
      <c r="M922" s="19">
        <f t="shared" si="70"/>
        <v>560000</v>
      </c>
      <c r="N922" s="9">
        <v>0.05</v>
      </c>
      <c r="O922" s="19">
        <f t="shared" si="71"/>
        <v>28000</v>
      </c>
      <c r="P922" s="19">
        <f t="shared" si="72"/>
        <v>532000</v>
      </c>
      <c r="Q922" s="19">
        <f t="shared" si="73"/>
        <v>350000</v>
      </c>
      <c r="R922" s="19">
        <f t="shared" si="74"/>
        <v>182000</v>
      </c>
    </row>
    <row r="923" spans="1:18" x14ac:dyDescent="0.25">
      <c r="A923" t="str">
        <f>_xlfn.XLOOKUP(C923,Raw_Data_Transaksi!$A$1:$A$1001,Raw_Data_Transaksi!$D$1:$D$1001,,0)</f>
        <v>PRD-113</v>
      </c>
      <c r="B923" t="str">
        <f>_xlfn.XLOOKUP(C923,Raw_Data_Transaksi!$A$1:$A$1001,Raw_Data_Transaksi!$C$1:$C$1001,,0)</f>
        <v>SLS-02</v>
      </c>
      <c r="C923" s="6" t="s">
        <v>1007</v>
      </c>
      <c r="D923" s="7">
        <v>45754</v>
      </c>
      <c r="E923" s="10" t="str">
        <f>VLOOKUP(B923,Master_Sales!$A$1:$D$9,2,FALSE)</f>
        <v>Budi Santoso</v>
      </c>
      <c r="F923" s="10" t="str">
        <f>INDEX(Master_Sales!$D$1:$D$9,MATCH(Lembar_Kerja_Analisis!B923,Master_Sales!$A$1:$A$9,0))</f>
        <v>Timur</v>
      </c>
      <c r="G923" s="10" t="str">
        <f>INDEX(Master_Sales!$C$1:$C$9,MATCH(Lembar_Kerja_Analisis!B923,Master_Sales!$A$1:$A$9,0))</f>
        <v>Surabaya</v>
      </c>
      <c r="H923" s="10" t="str">
        <f>VLOOKUP(A923,Master_Produk!$A$1:$E$16,2,FALSE)</f>
        <v>Wajan Anti Lengket 28cm</v>
      </c>
      <c r="I923" s="10" t="str">
        <f>INDEX(Master_Produk!$C$1:$C$16,MATCH(Lembar_Kerja_Analisis!A923,Master_Produk!$A$1:$A$16,0))</f>
        <v>Peralatan Rumah</v>
      </c>
      <c r="J923" s="19">
        <f>_xlfn.XLOOKUP(A923,Master_Produk!$A$1:$A$16,Master_Produk!$D$1:$D$16,,0)</f>
        <v>210000</v>
      </c>
      <c r="K923" s="19">
        <f>INDEX(Master_Produk!$E$1:$E$16,MATCH(Lembar_Kerja_Analisis!A923,Master_Produk!$A$1:$A$16,0))</f>
        <v>140000</v>
      </c>
      <c r="L923" s="8">
        <v>7</v>
      </c>
      <c r="M923" s="19">
        <f t="shared" si="70"/>
        <v>1470000</v>
      </c>
      <c r="N923" s="9">
        <v>0.15</v>
      </c>
      <c r="O923" s="19">
        <f t="shared" si="71"/>
        <v>220500</v>
      </c>
      <c r="P923" s="19">
        <f t="shared" si="72"/>
        <v>1249500</v>
      </c>
      <c r="Q923" s="19">
        <f t="shared" si="73"/>
        <v>980000</v>
      </c>
      <c r="R923" s="19">
        <f t="shared" si="74"/>
        <v>269500</v>
      </c>
    </row>
    <row r="924" spans="1:18" x14ac:dyDescent="0.25">
      <c r="A924" t="str">
        <f>_xlfn.XLOOKUP(C924,Raw_Data_Transaksi!$A$1:$A$1001,Raw_Data_Transaksi!$D$1:$D$1001,,0)</f>
        <v>PRD-108</v>
      </c>
      <c r="B924" t="str">
        <f>_xlfn.XLOOKUP(C924,Raw_Data_Transaksi!$A$1:$A$1001,Raw_Data_Transaksi!$C$1:$C$1001,,0)</f>
        <v>SLS-06</v>
      </c>
      <c r="C924" s="6" t="s">
        <v>1008</v>
      </c>
      <c r="D924" s="7">
        <v>45666</v>
      </c>
      <c r="E924" s="10" t="str">
        <f>VLOOKUP(B924,Master_Sales!$A$1:$D$9,2,FALSE)</f>
        <v>Fajar Nugraha</v>
      </c>
      <c r="F924" s="10" t="str">
        <f>INDEX(Master_Sales!$D$1:$D$9,MATCH(Lembar_Kerja_Analisis!B924,Master_Sales!$A$1:$A$9,0))</f>
        <v>Timur</v>
      </c>
      <c r="G924" s="10" t="str">
        <f>INDEX(Master_Sales!$C$1:$C$9,MATCH(Lembar_Kerja_Analisis!B924,Master_Sales!$A$1:$A$9,0))</f>
        <v>Makassar</v>
      </c>
      <c r="H924" s="10" t="str">
        <f>VLOOKUP(A924,Master_Produk!$A$1:$E$16,2,FALSE)</f>
        <v>Sepatu Sneakers Pria/Wanita</v>
      </c>
      <c r="I924" s="10" t="str">
        <f>INDEX(Master_Produk!$C$1:$C$16,MATCH(Lembar_Kerja_Analisis!A924,Master_Produk!$A$1:$A$16,0))</f>
        <v>Fashion</v>
      </c>
      <c r="J924" s="19">
        <f>_xlfn.XLOOKUP(A924,Master_Produk!$A$1:$A$16,Master_Produk!$D$1:$D$16,,0)</f>
        <v>450000</v>
      </c>
      <c r="K924" s="19">
        <f>INDEX(Master_Produk!$E$1:$E$16,MATCH(Lembar_Kerja_Analisis!A924,Master_Produk!$A$1:$A$16,0))</f>
        <v>290000</v>
      </c>
      <c r="L924" s="8">
        <v>5</v>
      </c>
      <c r="M924" s="19">
        <f t="shared" si="70"/>
        <v>2250000</v>
      </c>
      <c r="N924" s="9">
        <v>0.1</v>
      </c>
      <c r="O924" s="19">
        <f t="shared" si="71"/>
        <v>225000</v>
      </c>
      <c r="P924" s="19">
        <f t="shared" si="72"/>
        <v>2025000</v>
      </c>
      <c r="Q924" s="19">
        <f t="shared" si="73"/>
        <v>1450000</v>
      </c>
      <c r="R924" s="19">
        <f t="shared" si="74"/>
        <v>575000</v>
      </c>
    </row>
    <row r="925" spans="1:18" x14ac:dyDescent="0.25">
      <c r="A925" t="str">
        <f>_xlfn.XLOOKUP(C925,Raw_Data_Transaksi!$A$1:$A$1001,Raw_Data_Transaksi!$D$1:$D$1001,,0)</f>
        <v>PRD-112</v>
      </c>
      <c r="B925" t="str">
        <f>_xlfn.XLOOKUP(C925,Raw_Data_Transaksi!$A$1:$A$1001,Raw_Data_Transaksi!$C$1:$C$1001,,0)</f>
        <v>SLS-05</v>
      </c>
      <c r="C925" s="6" t="s">
        <v>1009</v>
      </c>
      <c r="D925" s="7">
        <v>45746</v>
      </c>
      <c r="E925" s="10" t="str">
        <f>VLOOKUP(B925,Master_Sales!$A$1:$D$9,2,FALSE)</f>
        <v>Eko Prasetyo</v>
      </c>
      <c r="F925" s="10" t="str">
        <f>INDEX(Master_Sales!$D$1:$D$9,MATCH(Lembar_Kerja_Analisis!B925,Master_Sales!$A$1:$A$9,0))</f>
        <v>Tengah</v>
      </c>
      <c r="G925" s="10" t="str">
        <f>INDEX(Master_Sales!$C$1:$C$9,MATCH(Lembar_Kerja_Analisis!B925,Master_Sales!$A$1:$A$9,0))</f>
        <v>Semarang</v>
      </c>
      <c r="H925" s="10" t="str">
        <f>VLOOKUP(A925,Master_Produk!$A$1:$E$16,2,FALSE)</f>
        <v>Susu UHT Full Cream 1L</v>
      </c>
      <c r="I925" s="10" t="str">
        <f>INDEX(Master_Produk!$C$1:$C$16,MATCH(Lembar_Kerja_Analisis!A925,Master_Produk!$A$1:$A$16,0))</f>
        <v>F&amp;B</v>
      </c>
      <c r="J925" s="19">
        <f>_xlfn.XLOOKUP(A925,Master_Produk!$A$1:$A$16,Master_Produk!$D$1:$D$16,,0)</f>
        <v>22000</v>
      </c>
      <c r="K925" s="19">
        <f>INDEX(Master_Produk!$E$1:$E$16,MATCH(Lembar_Kerja_Analisis!A925,Master_Produk!$A$1:$A$16,0))</f>
        <v>18000</v>
      </c>
      <c r="L925" s="8">
        <v>26</v>
      </c>
      <c r="M925" s="19">
        <f t="shared" si="70"/>
        <v>572000</v>
      </c>
      <c r="N925" s="9">
        <v>0</v>
      </c>
      <c r="O925" s="19">
        <f t="shared" si="71"/>
        <v>0</v>
      </c>
      <c r="P925" s="19">
        <f t="shared" si="72"/>
        <v>572000</v>
      </c>
      <c r="Q925" s="19">
        <f t="shared" si="73"/>
        <v>468000</v>
      </c>
      <c r="R925" s="19">
        <f t="shared" si="74"/>
        <v>104000</v>
      </c>
    </row>
    <row r="926" spans="1:18" x14ac:dyDescent="0.25">
      <c r="A926" t="str">
        <f>_xlfn.XLOOKUP(C926,Raw_Data_Transaksi!$A$1:$A$1001,Raw_Data_Transaksi!$D$1:$D$1001,,0)</f>
        <v>PRD-104</v>
      </c>
      <c r="B926" t="str">
        <f>_xlfn.XLOOKUP(C926,Raw_Data_Transaksi!$A$1:$A$1001,Raw_Data_Transaksi!$C$1:$C$1001,,0)</f>
        <v>SLS-05</v>
      </c>
      <c r="C926" s="6" t="s">
        <v>1010</v>
      </c>
      <c r="D926" s="7">
        <v>46010</v>
      </c>
      <c r="E926" s="10" t="str">
        <f>VLOOKUP(B926,Master_Sales!$A$1:$D$9,2,FALSE)</f>
        <v>Eko Prasetyo</v>
      </c>
      <c r="F926" s="10" t="str">
        <f>INDEX(Master_Sales!$D$1:$D$9,MATCH(Lembar_Kerja_Analisis!B926,Master_Sales!$A$1:$A$9,0))</f>
        <v>Tengah</v>
      </c>
      <c r="G926" s="10" t="str">
        <f>INDEX(Master_Sales!$C$1:$C$9,MATCH(Lembar_Kerja_Analisis!B926,Master_Sales!$A$1:$A$9,0))</f>
        <v>Semarang</v>
      </c>
      <c r="H926" s="10" t="str">
        <f>VLOOKUP(A926,Master_Produk!$A$1:$E$16,2,FALSE)</f>
        <v>Monitor 24" FHD 144Hz</v>
      </c>
      <c r="I926" s="10" t="str">
        <f>INDEX(Master_Produk!$C$1:$C$16,MATCH(Lembar_Kerja_Analisis!A926,Master_Produk!$A$1:$A$16,0))</f>
        <v>Elektronik</v>
      </c>
      <c r="J926" s="19">
        <f>_xlfn.XLOOKUP(A926,Master_Produk!$A$1:$A$16,Master_Produk!$D$1:$D$16,,0)</f>
        <v>1950000</v>
      </c>
      <c r="K926" s="19">
        <f>INDEX(Master_Produk!$E$1:$E$16,MATCH(Lembar_Kerja_Analisis!A926,Master_Produk!$A$1:$A$16,0))</f>
        <v>1500000</v>
      </c>
      <c r="L926" s="8">
        <v>3</v>
      </c>
      <c r="M926" s="19">
        <f t="shared" si="70"/>
        <v>5850000</v>
      </c>
      <c r="N926" s="9">
        <v>0.05</v>
      </c>
      <c r="O926" s="19">
        <f t="shared" si="71"/>
        <v>292500</v>
      </c>
      <c r="P926" s="19">
        <f t="shared" si="72"/>
        <v>5557500</v>
      </c>
      <c r="Q926" s="19">
        <f t="shared" si="73"/>
        <v>4500000</v>
      </c>
      <c r="R926" s="19">
        <f t="shared" si="74"/>
        <v>1057500</v>
      </c>
    </row>
    <row r="927" spans="1:18" x14ac:dyDescent="0.25">
      <c r="A927" t="str">
        <f>_xlfn.XLOOKUP(C927,Raw_Data_Transaksi!$A$1:$A$1001,Raw_Data_Transaksi!$D$1:$D$1001,,0)</f>
        <v>PRD-113</v>
      </c>
      <c r="B927" t="str">
        <f>_xlfn.XLOOKUP(C927,Raw_Data_Transaksi!$A$1:$A$1001,Raw_Data_Transaksi!$C$1:$C$1001,,0)</f>
        <v>SLS-02</v>
      </c>
      <c r="C927" s="6" t="s">
        <v>1011</v>
      </c>
      <c r="D927" s="7">
        <v>46011</v>
      </c>
      <c r="E927" s="10" t="str">
        <f>VLOOKUP(B927,Master_Sales!$A$1:$D$9,2,FALSE)</f>
        <v>Budi Santoso</v>
      </c>
      <c r="F927" s="10" t="str">
        <f>INDEX(Master_Sales!$D$1:$D$9,MATCH(Lembar_Kerja_Analisis!B927,Master_Sales!$A$1:$A$9,0))</f>
        <v>Timur</v>
      </c>
      <c r="G927" s="10" t="str">
        <f>INDEX(Master_Sales!$C$1:$C$9,MATCH(Lembar_Kerja_Analisis!B927,Master_Sales!$A$1:$A$9,0))</f>
        <v>Surabaya</v>
      </c>
      <c r="H927" s="10" t="str">
        <f>VLOOKUP(A927,Master_Produk!$A$1:$E$16,2,FALSE)</f>
        <v>Wajan Anti Lengket 28cm</v>
      </c>
      <c r="I927" s="10" t="str">
        <f>INDEX(Master_Produk!$C$1:$C$16,MATCH(Lembar_Kerja_Analisis!A927,Master_Produk!$A$1:$A$16,0))</f>
        <v>Peralatan Rumah</v>
      </c>
      <c r="J927" s="19">
        <f>_xlfn.XLOOKUP(A927,Master_Produk!$A$1:$A$16,Master_Produk!$D$1:$D$16,,0)</f>
        <v>210000</v>
      </c>
      <c r="K927" s="19">
        <f>INDEX(Master_Produk!$E$1:$E$16,MATCH(Lembar_Kerja_Analisis!A927,Master_Produk!$A$1:$A$16,0))</f>
        <v>140000</v>
      </c>
      <c r="L927" s="8">
        <v>2</v>
      </c>
      <c r="M927" s="19">
        <f t="shared" si="70"/>
        <v>420000</v>
      </c>
      <c r="N927" s="9">
        <v>0</v>
      </c>
      <c r="O927" s="19">
        <f t="shared" si="71"/>
        <v>0</v>
      </c>
      <c r="P927" s="19">
        <f t="shared" si="72"/>
        <v>420000</v>
      </c>
      <c r="Q927" s="19">
        <f t="shared" si="73"/>
        <v>280000</v>
      </c>
      <c r="R927" s="19">
        <f t="shared" si="74"/>
        <v>140000</v>
      </c>
    </row>
    <row r="928" spans="1:18" x14ac:dyDescent="0.25">
      <c r="A928" t="str">
        <f>_xlfn.XLOOKUP(C928,Raw_Data_Transaksi!$A$1:$A$1001,Raw_Data_Transaksi!$D$1:$D$1001,,0)</f>
        <v>PRD-102</v>
      </c>
      <c r="B928" t="str">
        <f>_xlfn.XLOOKUP(C928,Raw_Data_Transaksi!$A$1:$A$1001,Raw_Data_Transaksi!$C$1:$C$1001,,0)</f>
        <v>SLS-01</v>
      </c>
      <c r="C928" s="6" t="s">
        <v>1012</v>
      </c>
      <c r="D928" s="7">
        <v>45758</v>
      </c>
      <c r="E928" s="10" t="str">
        <f>VLOOKUP(B928,Master_Sales!$A$1:$D$9,2,FALSE)</f>
        <v>Andi Pratama</v>
      </c>
      <c r="F928" s="10" t="str">
        <f>INDEX(Master_Sales!$D$1:$D$9,MATCH(Lembar_Kerja_Analisis!B928,Master_Sales!$A$1:$A$9,0))</f>
        <v>Barat</v>
      </c>
      <c r="G928" s="10" t="str">
        <f>INDEX(Master_Sales!$C$1:$C$9,MATCH(Lembar_Kerja_Analisis!B928,Master_Sales!$A$1:$A$9,0))</f>
        <v>Jakarta</v>
      </c>
      <c r="H928" s="10" t="str">
        <f>VLOOKUP(A928,Master_Produk!$A$1:$E$16,2,FALSE)</f>
        <v>Wireless Mouse Ergonomic</v>
      </c>
      <c r="I928" s="10" t="str">
        <f>INDEX(Master_Produk!$C$1:$C$16,MATCH(Lembar_Kerja_Analisis!A928,Master_Produk!$A$1:$A$16,0))</f>
        <v>Elektronik</v>
      </c>
      <c r="J928" s="19">
        <f>_xlfn.XLOOKUP(A928,Master_Produk!$A$1:$A$16,Master_Produk!$D$1:$D$16,,0)</f>
        <v>250000</v>
      </c>
      <c r="K928" s="19">
        <f>INDEX(Master_Produk!$E$1:$E$16,MATCH(Lembar_Kerja_Analisis!A928,Master_Produk!$A$1:$A$16,0))</f>
        <v>160000</v>
      </c>
      <c r="L928" s="8">
        <v>11</v>
      </c>
      <c r="M928" s="19">
        <f t="shared" si="70"/>
        <v>2750000</v>
      </c>
      <c r="N928" s="9">
        <v>0.2</v>
      </c>
      <c r="O928" s="19">
        <f t="shared" si="71"/>
        <v>550000</v>
      </c>
      <c r="P928" s="19">
        <f t="shared" si="72"/>
        <v>2200000</v>
      </c>
      <c r="Q928" s="19">
        <f t="shared" si="73"/>
        <v>1760000</v>
      </c>
      <c r="R928" s="19">
        <f t="shared" si="74"/>
        <v>440000</v>
      </c>
    </row>
    <row r="929" spans="1:18" x14ac:dyDescent="0.25">
      <c r="A929" t="str">
        <f>_xlfn.XLOOKUP(C929,Raw_Data_Transaksi!$A$1:$A$1001,Raw_Data_Transaksi!$D$1:$D$1001,,0)</f>
        <v>PRD-101</v>
      </c>
      <c r="B929" t="str">
        <f>_xlfn.XLOOKUP(C929,Raw_Data_Transaksi!$A$1:$A$1001,Raw_Data_Transaksi!$C$1:$C$1001,,0)</f>
        <v>SLS-02</v>
      </c>
      <c r="C929" s="6" t="s">
        <v>1013</v>
      </c>
      <c r="D929" s="7">
        <v>45787</v>
      </c>
      <c r="E929" s="10" t="str">
        <f>VLOOKUP(B929,Master_Sales!$A$1:$D$9,2,FALSE)</f>
        <v>Budi Santoso</v>
      </c>
      <c r="F929" s="10" t="str">
        <f>INDEX(Master_Sales!$D$1:$D$9,MATCH(Lembar_Kerja_Analisis!B929,Master_Sales!$A$1:$A$9,0))</f>
        <v>Timur</v>
      </c>
      <c r="G929" s="10" t="str">
        <f>INDEX(Master_Sales!$C$1:$C$9,MATCH(Lembar_Kerja_Analisis!B929,Master_Sales!$A$1:$A$9,0))</f>
        <v>Surabaya</v>
      </c>
      <c r="H929" s="10" t="str">
        <f>VLOOKUP(A929,Master_Produk!$A$1:$E$16,2,FALSE)</f>
        <v>Laptop Ultrabook 14"</v>
      </c>
      <c r="I929" s="10" t="str">
        <f>INDEX(Master_Produk!$C$1:$C$16,MATCH(Lembar_Kerja_Analisis!A929,Master_Produk!$A$1:$A$16,0))</f>
        <v>Elektronik</v>
      </c>
      <c r="J929" s="19">
        <f>_xlfn.XLOOKUP(A929,Master_Produk!$A$1:$A$16,Master_Produk!$D$1:$D$16,,0)</f>
        <v>8500000</v>
      </c>
      <c r="K929" s="19">
        <f>INDEX(Master_Produk!$E$1:$E$16,MATCH(Lembar_Kerja_Analisis!A929,Master_Produk!$A$1:$A$16,0))</f>
        <v>7200000</v>
      </c>
      <c r="L929" s="8">
        <v>5</v>
      </c>
      <c r="M929" s="19">
        <f t="shared" si="70"/>
        <v>42500000</v>
      </c>
      <c r="N929" s="9">
        <v>0</v>
      </c>
      <c r="O929" s="19">
        <f t="shared" si="71"/>
        <v>0</v>
      </c>
      <c r="P929" s="19">
        <f t="shared" si="72"/>
        <v>42500000</v>
      </c>
      <c r="Q929" s="19">
        <f t="shared" si="73"/>
        <v>36000000</v>
      </c>
      <c r="R929" s="19">
        <f t="shared" si="74"/>
        <v>6500000</v>
      </c>
    </row>
    <row r="930" spans="1:18" x14ac:dyDescent="0.25">
      <c r="A930" t="str">
        <f>_xlfn.XLOOKUP(C930,Raw_Data_Transaksi!$A$1:$A$1001,Raw_Data_Transaksi!$D$1:$D$1001,,0)</f>
        <v>PRD-115</v>
      </c>
      <c r="B930" t="str">
        <f>_xlfn.XLOOKUP(C930,Raw_Data_Transaksi!$A$1:$A$1001,Raw_Data_Transaksi!$C$1:$C$1001,,0)</f>
        <v>SLS-04</v>
      </c>
      <c r="C930" s="6" t="s">
        <v>1014</v>
      </c>
      <c r="D930" s="7">
        <v>45958</v>
      </c>
      <c r="E930" s="10" t="str">
        <f>VLOOKUP(B930,Master_Sales!$A$1:$D$9,2,FALSE)</f>
        <v>Dewi Anggraini</v>
      </c>
      <c r="F930" s="10" t="str">
        <f>INDEX(Master_Sales!$D$1:$D$9,MATCH(Lembar_Kerja_Analisis!B930,Master_Sales!$A$1:$A$9,0))</f>
        <v>Barat</v>
      </c>
      <c r="G930" s="10" t="str">
        <f>INDEX(Master_Sales!$C$1:$C$9,MATCH(Lembar_Kerja_Analisis!B930,Master_Sales!$A$1:$A$9,0))</f>
        <v>Medan</v>
      </c>
      <c r="H930" s="10" t="str">
        <f>VLOOKUP(A930,Master_Produk!$A$1:$E$16,2,FALSE)</f>
        <v>Set Pisau Dapur Stainless</v>
      </c>
      <c r="I930" s="10" t="str">
        <f>INDEX(Master_Produk!$C$1:$C$16,MATCH(Lembar_Kerja_Analisis!A930,Master_Produk!$A$1:$A$16,0))</f>
        <v>Peralatan Rumah</v>
      </c>
      <c r="J930" s="19">
        <f>_xlfn.XLOOKUP(A930,Master_Produk!$A$1:$A$16,Master_Produk!$D$1:$D$16,,0)</f>
        <v>165000</v>
      </c>
      <c r="K930" s="19">
        <f>INDEX(Master_Produk!$E$1:$E$16,MATCH(Lembar_Kerja_Analisis!A930,Master_Produk!$A$1:$A$16,0))</f>
        <v>105000</v>
      </c>
      <c r="L930" s="8">
        <v>3</v>
      </c>
      <c r="M930" s="19">
        <f t="shared" si="70"/>
        <v>495000</v>
      </c>
      <c r="N930" s="9">
        <v>0.1</v>
      </c>
      <c r="O930" s="19">
        <f t="shared" si="71"/>
        <v>49500</v>
      </c>
      <c r="P930" s="19">
        <f t="shared" si="72"/>
        <v>445500</v>
      </c>
      <c r="Q930" s="19">
        <f t="shared" si="73"/>
        <v>315000</v>
      </c>
      <c r="R930" s="19">
        <f t="shared" si="74"/>
        <v>130500</v>
      </c>
    </row>
    <row r="931" spans="1:18" x14ac:dyDescent="0.25">
      <c r="A931" t="str">
        <f>_xlfn.XLOOKUP(C931,Raw_Data_Transaksi!$A$1:$A$1001,Raw_Data_Transaksi!$D$1:$D$1001,,0)</f>
        <v>PRD-110</v>
      </c>
      <c r="B931" t="str">
        <f>_xlfn.XLOOKUP(C931,Raw_Data_Transaksi!$A$1:$A$1001,Raw_Data_Transaksi!$C$1:$C$1001,,0)</f>
        <v>SLS-06</v>
      </c>
      <c r="C931" s="6" t="s">
        <v>1015</v>
      </c>
      <c r="D931" s="7">
        <v>45800</v>
      </c>
      <c r="E931" s="10" t="str">
        <f>VLOOKUP(B931,Master_Sales!$A$1:$D$9,2,FALSE)</f>
        <v>Fajar Nugraha</v>
      </c>
      <c r="F931" s="10" t="str">
        <f>INDEX(Master_Sales!$D$1:$D$9,MATCH(Lembar_Kerja_Analisis!B931,Master_Sales!$A$1:$A$9,0))</f>
        <v>Timur</v>
      </c>
      <c r="G931" s="10" t="str">
        <f>INDEX(Master_Sales!$C$1:$C$9,MATCH(Lembar_Kerja_Analisis!B931,Master_Sales!$A$1:$A$9,0))</f>
        <v>Makassar</v>
      </c>
      <c r="H931" s="10" t="str">
        <f>VLOOKUP(A931,Master_Produk!$A$1:$E$16,2,FALSE)</f>
        <v>Minyak Goreng Sawit 2L</v>
      </c>
      <c r="I931" s="10" t="str">
        <f>INDEX(Master_Produk!$C$1:$C$16,MATCH(Lembar_Kerja_Analisis!A931,Master_Produk!$A$1:$A$16,0))</f>
        <v>F&amp;B</v>
      </c>
      <c r="J931" s="19">
        <f>_xlfn.XLOOKUP(A931,Master_Produk!$A$1:$A$16,Master_Produk!$D$1:$D$16,,0)</f>
        <v>36000</v>
      </c>
      <c r="K931" s="19">
        <f>INDEX(Master_Produk!$E$1:$E$16,MATCH(Lembar_Kerja_Analisis!A931,Master_Produk!$A$1:$A$16,0))</f>
        <v>31000</v>
      </c>
      <c r="L931" s="8">
        <v>8</v>
      </c>
      <c r="M931" s="19">
        <f t="shared" si="70"/>
        <v>288000</v>
      </c>
      <c r="N931" s="9">
        <v>0.2</v>
      </c>
      <c r="O931" s="19">
        <f t="shared" si="71"/>
        <v>57600</v>
      </c>
      <c r="P931" s="19">
        <f t="shared" si="72"/>
        <v>230400</v>
      </c>
      <c r="Q931" s="19">
        <f t="shared" si="73"/>
        <v>248000</v>
      </c>
      <c r="R931" s="19">
        <f t="shared" si="74"/>
        <v>-17600</v>
      </c>
    </row>
    <row r="932" spans="1:18" x14ac:dyDescent="0.25">
      <c r="A932" t="str">
        <f>_xlfn.XLOOKUP(C932,Raw_Data_Transaksi!$A$1:$A$1001,Raw_Data_Transaksi!$D$1:$D$1001,,0)</f>
        <v>PRD-114</v>
      </c>
      <c r="B932" t="str">
        <f>_xlfn.XLOOKUP(C932,Raw_Data_Transaksi!$A$1:$A$1001,Raw_Data_Transaksi!$C$1:$C$1001,,0)</f>
        <v>SLS-01</v>
      </c>
      <c r="C932" s="6" t="s">
        <v>1016</v>
      </c>
      <c r="D932" s="7">
        <v>45708</v>
      </c>
      <c r="E932" s="10" t="str">
        <f>VLOOKUP(B932,Master_Sales!$A$1:$D$9,2,FALSE)</f>
        <v>Andi Pratama</v>
      </c>
      <c r="F932" s="10" t="str">
        <f>INDEX(Master_Sales!$D$1:$D$9,MATCH(Lembar_Kerja_Analisis!B932,Master_Sales!$A$1:$A$9,0))</f>
        <v>Barat</v>
      </c>
      <c r="G932" s="10" t="str">
        <f>INDEX(Master_Sales!$C$1:$C$9,MATCH(Lembar_Kerja_Analisis!B932,Master_Sales!$A$1:$A$9,0))</f>
        <v>Jakarta</v>
      </c>
      <c r="H932" s="10" t="str">
        <f>VLOOKUP(A932,Master_Produk!$A$1:$E$16,2,FALSE)</f>
        <v>Blender Multifungsi 2-in-1</v>
      </c>
      <c r="I932" s="10" t="str">
        <f>INDEX(Master_Produk!$C$1:$C$16,MATCH(Lembar_Kerja_Analisis!A932,Master_Produk!$A$1:$A$16,0))</f>
        <v>Peralatan Rumah</v>
      </c>
      <c r="J932" s="19">
        <f>_xlfn.XLOOKUP(A932,Master_Produk!$A$1:$A$16,Master_Produk!$D$1:$D$16,,0)</f>
        <v>340000</v>
      </c>
      <c r="K932" s="19">
        <f>INDEX(Master_Produk!$E$1:$E$16,MATCH(Lembar_Kerja_Analisis!A932,Master_Produk!$A$1:$A$16,0))</f>
        <v>240000</v>
      </c>
      <c r="L932" s="8">
        <v>9</v>
      </c>
      <c r="M932" s="19">
        <f t="shared" si="70"/>
        <v>3060000</v>
      </c>
      <c r="N932" s="9">
        <v>0.05</v>
      </c>
      <c r="O932" s="19">
        <f t="shared" si="71"/>
        <v>153000</v>
      </c>
      <c r="P932" s="19">
        <f t="shared" si="72"/>
        <v>2907000</v>
      </c>
      <c r="Q932" s="19">
        <f t="shared" si="73"/>
        <v>2160000</v>
      </c>
      <c r="R932" s="19">
        <f t="shared" si="74"/>
        <v>747000</v>
      </c>
    </row>
    <row r="933" spans="1:18" x14ac:dyDescent="0.25">
      <c r="A933" t="str">
        <f>_xlfn.XLOOKUP(C933,Raw_Data_Transaksi!$A$1:$A$1001,Raw_Data_Transaksi!$D$1:$D$1001,,0)</f>
        <v>PRD-101</v>
      </c>
      <c r="B933" t="str">
        <f>_xlfn.XLOOKUP(C933,Raw_Data_Transaksi!$A$1:$A$1001,Raw_Data_Transaksi!$C$1:$C$1001,,0)</f>
        <v>SLS-02</v>
      </c>
      <c r="C933" s="6" t="s">
        <v>1017</v>
      </c>
      <c r="D933" s="7">
        <v>45933</v>
      </c>
      <c r="E933" s="10" t="str">
        <f>VLOOKUP(B933,Master_Sales!$A$1:$D$9,2,FALSE)</f>
        <v>Budi Santoso</v>
      </c>
      <c r="F933" s="10" t="str">
        <f>INDEX(Master_Sales!$D$1:$D$9,MATCH(Lembar_Kerja_Analisis!B933,Master_Sales!$A$1:$A$9,0))</f>
        <v>Timur</v>
      </c>
      <c r="G933" s="10" t="str">
        <f>INDEX(Master_Sales!$C$1:$C$9,MATCH(Lembar_Kerja_Analisis!B933,Master_Sales!$A$1:$A$9,0))</f>
        <v>Surabaya</v>
      </c>
      <c r="H933" s="10" t="str">
        <f>VLOOKUP(A933,Master_Produk!$A$1:$E$16,2,FALSE)</f>
        <v>Laptop Ultrabook 14"</v>
      </c>
      <c r="I933" s="10" t="str">
        <f>INDEX(Master_Produk!$C$1:$C$16,MATCH(Lembar_Kerja_Analisis!A933,Master_Produk!$A$1:$A$16,0))</f>
        <v>Elektronik</v>
      </c>
      <c r="J933" s="19">
        <f>_xlfn.XLOOKUP(A933,Master_Produk!$A$1:$A$16,Master_Produk!$D$1:$D$16,,0)</f>
        <v>8500000</v>
      </c>
      <c r="K933" s="19">
        <f>INDEX(Master_Produk!$E$1:$E$16,MATCH(Lembar_Kerja_Analisis!A933,Master_Produk!$A$1:$A$16,0))</f>
        <v>7200000</v>
      </c>
      <c r="L933" s="8">
        <v>4</v>
      </c>
      <c r="M933" s="19">
        <f t="shared" si="70"/>
        <v>34000000</v>
      </c>
      <c r="N933" s="9">
        <v>0.2</v>
      </c>
      <c r="O933" s="19">
        <f t="shared" si="71"/>
        <v>6800000</v>
      </c>
      <c r="P933" s="19">
        <f t="shared" si="72"/>
        <v>27200000</v>
      </c>
      <c r="Q933" s="19">
        <f t="shared" si="73"/>
        <v>28800000</v>
      </c>
      <c r="R933" s="19">
        <f t="shared" si="74"/>
        <v>-1600000</v>
      </c>
    </row>
    <row r="934" spans="1:18" x14ac:dyDescent="0.25">
      <c r="A934" t="str">
        <f>_xlfn.XLOOKUP(C934,Raw_Data_Transaksi!$A$1:$A$1001,Raw_Data_Transaksi!$D$1:$D$1001,,0)</f>
        <v>PRD-111</v>
      </c>
      <c r="B934" t="str">
        <f>_xlfn.XLOOKUP(C934,Raw_Data_Transaksi!$A$1:$A$1001,Raw_Data_Transaksi!$C$1:$C$1001,,0)</f>
        <v>SLS-02</v>
      </c>
      <c r="C934" s="6" t="s">
        <v>1018</v>
      </c>
      <c r="D934" s="7">
        <v>45883</v>
      </c>
      <c r="E934" s="10" t="str">
        <f>VLOOKUP(B934,Master_Sales!$A$1:$D$9,2,FALSE)</f>
        <v>Budi Santoso</v>
      </c>
      <c r="F934" s="10" t="str">
        <f>INDEX(Master_Sales!$D$1:$D$9,MATCH(Lembar_Kerja_Analisis!B934,Master_Sales!$A$1:$A$9,0))</f>
        <v>Timur</v>
      </c>
      <c r="G934" s="10" t="str">
        <f>INDEX(Master_Sales!$C$1:$C$9,MATCH(Lembar_Kerja_Analisis!B934,Master_Sales!$A$1:$A$9,0))</f>
        <v>Surabaya</v>
      </c>
      <c r="H934" s="10" t="str">
        <f>VLOOKUP(A934,Master_Produk!$A$1:$E$16,2,FALSE)</f>
        <v>Beras Premium 5kg</v>
      </c>
      <c r="I934" s="10" t="str">
        <f>INDEX(Master_Produk!$C$1:$C$16,MATCH(Lembar_Kerja_Analisis!A934,Master_Produk!$A$1:$A$16,0))</f>
        <v>F&amp;B</v>
      </c>
      <c r="J934" s="19">
        <f>_xlfn.XLOOKUP(A934,Master_Produk!$A$1:$A$16,Master_Produk!$D$1:$D$16,,0)</f>
        <v>74000</v>
      </c>
      <c r="K934" s="19">
        <f>INDEX(Master_Produk!$E$1:$E$16,MATCH(Lembar_Kerja_Analisis!A934,Master_Produk!$A$1:$A$16,0))</f>
        <v>65000</v>
      </c>
      <c r="L934" s="8">
        <v>29</v>
      </c>
      <c r="M934" s="19">
        <f t="shared" si="70"/>
        <v>2146000</v>
      </c>
      <c r="N934" s="9">
        <v>0.1</v>
      </c>
      <c r="O934" s="19">
        <f t="shared" si="71"/>
        <v>214600</v>
      </c>
      <c r="P934" s="19">
        <f t="shared" si="72"/>
        <v>1931400</v>
      </c>
      <c r="Q934" s="19">
        <f t="shared" si="73"/>
        <v>1885000</v>
      </c>
      <c r="R934" s="19">
        <f t="shared" si="74"/>
        <v>46400</v>
      </c>
    </row>
    <row r="935" spans="1:18" x14ac:dyDescent="0.25">
      <c r="A935" t="str">
        <f>_xlfn.XLOOKUP(C935,Raw_Data_Transaksi!$A$1:$A$1001,Raw_Data_Transaksi!$D$1:$D$1001,,0)</f>
        <v>PRD-104</v>
      </c>
      <c r="B935" t="str">
        <f>_xlfn.XLOOKUP(C935,Raw_Data_Transaksi!$A$1:$A$1001,Raw_Data_Transaksi!$C$1:$C$1001,,0)</f>
        <v>SLS-07</v>
      </c>
      <c r="C935" s="6" t="s">
        <v>1019</v>
      </c>
      <c r="D935" s="7">
        <v>45921</v>
      </c>
      <c r="E935" s="10" t="str">
        <f>VLOOKUP(B935,Master_Sales!$A$1:$D$9,2,FALSE)</f>
        <v>Gita Permata</v>
      </c>
      <c r="F935" s="10" t="str">
        <f>INDEX(Master_Sales!$D$1:$D$9,MATCH(Lembar_Kerja_Analisis!B935,Master_Sales!$A$1:$A$9,0))</f>
        <v>Tengah</v>
      </c>
      <c r="G935" s="10" t="str">
        <f>INDEX(Master_Sales!$C$1:$C$9,MATCH(Lembar_Kerja_Analisis!B935,Master_Sales!$A$1:$A$9,0))</f>
        <v>Denpasar</v>
      </c>
      <c r="H935" s="10" t="str">
        <f>VLOOKUP(A935,Master_Produk!$A$1:$E$16,2,FALSE)</f>
        <v>Monitor 24" FHD 144Hz</v>
      </c>
      <c r="I935" s="10" t="str">
        <f>INDEX(Master_Produk!$C$1:$C$16,MATCH(Lembar_Kerja_Analisis!A935,Master_Produk!$A$1:$A$16,0))</f>
        <v>Elektronik</v>
      </c>
      <c r="J935" s="19">
        <f>_xlfn.XLOOKUP(A935,Master_Produk!$A$1:$A$16,Master_Produk!$D$1:$D$16,,0)</f>
        <v>1950000</v>
      </c>
      <c r="K935" s="19">
        <f>INDEX(Master_Produk!$E$1:$E$16,MATCH(Lembar_Kerja_Analisis!A935,Master_Produk!$A$1:$A$16,0))</f>
        <v>1500000</v>
      </c>
      <c r="L935" s="8">
        <v>2</v>
      </c>
      <c r="M935" s="19">
        <f t="shared" si="70"/>
        <v>3900000</v>
      </c>
      <c r="N935" s="9">
        <v>0.1</v>
      </c>
      <c r="O935" s="19">
        <f t="shared" si="71"/>
        <v>390000</v>
      </c>
      <c r="P935" s="19">
        <f t="shared" si="72"/>
        <v>3510000</v>
      </c>
      <c r="Q935" s="19">
        <f t="shared" si="73"/>
        <v>3000000</v>
      </c>
      <c r="R935" s="19">
        <f t="shared" si="74"/>
        <v>510000</v>
      </c>
    </row>
    <row r="936" spans="1:18" x14ac:dyDescent="0.25">
      <c r="A936" t="str">
        <f>_xlfn.XLOOKUP(C936,Raw_Data_Transaksi!$A$1:$A$1001,Raw_Data_Transaksi!$D$1:$D$1001,,0)</f>
        <v>PRD-103</v>
      </c>
      <c r="B936" t="str">
        <f>_xlfn.XLOOKUP(C936,Raw_Data_Transaksi!$A$1:$A$1001,Raw_Data_Transaksi!$C$1:$C$1001,,0)</f>
        <v>SLS-08</v>
      </c>
      <c r="C936" s="6" t="s">
        <v>1020</v>
      </c>
      <c r="D936" s="7">
        <v>45924</v>
      </c>
      <c r="E936" s="10" t="str">
        <f>VLOOKUP(B936,Master_Sales!$A$1:$D$9,2,FALSE)</f>
        <v>Hendra Wijaya</v>
      </c>
      <c r="F936" s="10" t="str">
        <f>INDEX(Master_Sales!$D$1:$D$9,MATCH(Lembar_Kerja_Analisis!B936,Master_Sales!$A$1:$A$9,0))</f>
        <v>Tengah</v>
      </c>
      <c r="G936" s="10" t="str">
        <f>INDEX(Master_Sales!$C$1:$C$9,MATCH(Lembar_Kerja_Analisis!B936,Master_Sales!$A$1:$A$9,0))</f>
        <v>Yogyakarta</v>
      </c>
      <c r="H936" s="10" t="str">
        <f>VLOOKUP(A936,Master_Produk!$A$1:$E$16,2,FALSE)</f>
        <v>Mechanical Keyboard RGB</v>
      </c>
      <c r="I936" s="10" t="str">
        <f>INDEX(Master_Produk!$C$1:$C$16,MATCH(Lembar_Kerja_Analisis!A936,Master_Produk!$A$1:$A$16,0))</f>
        <v>Elektronik</v>
      </c>
      <c r="J936" s="19">
        <f>_xlfn.XLOOKUP(A936,Master_Produk!$A$1:$A$16,Master_Produk!$D$1:$D$16,,0)</f>
        <v>750000</v>
      </c>
      <c r="K936" s="19">
        <f>INDEX(Master_Produk!$E$1:$E$16,MATCH(Lembar_Kerja_Analisis!A936,Master_Produk!$A$1:$A$16,0))</f>
        <v>520000</v>
      </c>
      <c r="L936" s="8">
        <v>6</v>
      </c>
      <c r="M936" s="19">
        <f t="shared" si="70"/>
        <v>4500000</v>
      </c>
      <c r="N936" s="9">
        <v>0.1</v>
      </c>
      <c r="O936" s="19">
        <f t="shared" si="71"/>
        <v>450000</v>
      </c>
      <c r="P936" s="19">
        <f t="shared" si="72"/>
        <v>4050000</v>
      </c>
      <c r="Q936" s="19">
        <f t="shared" si="73"/>
        <v>3120000</v>
      </c>
      <c r="R936" s="19">
        <f t="shared" si="74"/>
        <v>930000</v>
      </c>
    </row>
    <row r="937" spans="1:18" x14ac:dyDescent="0.25">
      <c r="A937" t="str">
        <f>_xlfn.XLOOKUP(C937,Raw_Data_Transaksi!$A$1:$A$1001,Raw_Data_Transaksi!$D$1:$D$1001,,0)</f>
        <v>PRD-102</v>
      </c>
      <c r="B937" t="str">
        <f>_xlfn.XLOOKUP(C937,Raw_Data_Transaksi!$A$1:$A$1001,Raw_Data_Transaksi!$C$1:$C$1001,,0)</f>
        <v>SLS-07</v>
      </c>
      <c r="C937" s="6" t="s">
        <v>1021</v>
      </c>
      <c r="D937" s="7">
        <v>45910</v>
      </c>
      <c r="E937" s="10" t="str">
        <f>VLOOKUP(B937,Master_Sales!$A$1:$D$9,2,FALSE)</f>
        <v>Gita Permata</v>
      </c>
      <c r="F937" s="10" t="str">
        <f>INDEX(Master_Sales!$D$1:$D$9,MATCH(Lembar_Kerja_Analisis!B937,Master_Sales!$A$1:$A$9,0))</f>
        <v>Tengah</v>
      </c>
      <c r="G937" s="10" t="str">
        <f>INDEX(Master_Sales!$C$1:$C$9,MATCH(Lembar_Kerja_Analisis!B937,Master_Sales!$A$1:$A$9,0))</f>
        <v>Denpasar</v>
      </c>
      <c r="H937" s="10" t="str">
        <f>VLOOKUP(A937,Master_Produk!$A$1:$E$16,2,FALSE)</f>
        <v>Wireless Mouse Ergonomic</v>
      </c>
      <c r="I937" s="10" t="str">
        <f>INDEX(Master_Produk!$C$1:$C$16,MATCH(Lembar_Kerja_Analisis!A937,Master_Produk!$A$1:$A$16,0))</f>
        <v>Elektronik</v>
      </c>
      <c r="J937" s="19">
        <f>_xlfn.XLOOKUP(A937,Master_Produk!$A$1:$A$16,Master_Produk!$D$1:$D$16,,0)</f>
        <v>250000</v>
      </c>
      <c r="K937" s="19">
        <f>INDEX(Master_Produk!$E$1:$E$16,MATCH(Lembar_Kerja_Analisis!A937,Master_Produk!$A$1:$A$16,0))</f>
        <v>160000</v>
      </c>
      <c r="L937" s="8">
        <v>5</v>
      </c>
      <c r="M937" s="19">
        <f t="shared" si="70"/>
        <v>1250000</v>
      </c>
      <c r="N937" s="9">
        <v>0.15</v>
      </c>
      <c r="O937" s="19">
        <f t="shared" si="71"/>
        <v>187500</v>
      </c>
      <c r="P937" s="19">
        <f t="shared" si="72"/>
        <v>1062500</v>
      </c>
      <c r="Q937" s="19">
        <f t="shared" si="73"/>
        <v>800000</v>
      </c>
      <c r="R937" s="19">
        <f t="shared" si="74"/>
        <v>262500</v>
      </c>
    </row>
    <row r="938" spans="1:18" x14ac:dyDescent="0.25">
      <c r="A938" t="str">
        <f>_xlfn.XLOOKUP(C938,Raw_Data_Transaksi!$A$1:$A$1001,Raw_Data_Transaksi!$D$1:$D$1001,,0)</f>
        <v>PRD-109</v>
      </c>
      <c r="B938" t="str">
        <f>_xlfn.XLOOKUP(C938,Raw_Data_Transaksi!$A$1:$A$1001,Raw_Data_Transaksi!$C$1:$C$1001,,0)</f>
        <v>SLS-07</v>
      </c>
      <c r="C938" s="6" t="s">
        <v>1022</v>
      </c>
      <c r="D938" s="7">
        <v>45773</v>
      </c>
      <c r="E938" s="10" t="str">
        <f>VLOOKUP(B938,Master_Sales!$A$1:$D$9,2,FALSE)</f>
        <v>Gita Permata</v>
      </c>
      <c r="F938" s="10" t="str">
        <f>INDEX(Master_Sales!$D$1:$D$9,MATCH(Lembar_Kerja_Analisis!B938,Master_Sales!$A$1:$A$9,0))</f>
        <v>Tengah</v>
      </c>
      <c r="G938" s="10" t="str">
        <f>INDEX(Master_Sales!$C$1:$C$9,MATCH(Lembar_Kerja_Analisis!B938,Master_Sales!$A$1:$A$9,0))</f>
        <v>Denpasar</v>
      </c>
      <c r="H938" s="10" t="str">
        <f>VLOOKUP(A938,Master_Produk!$A$1:$E$16,2,FALSE)</f>
        <v>Kopi Arabika Gayo 250g</v>
      </c>
      <c r="I938" s="10" t="str">
        <f>INDEX(Master_Produk!$C$1:$C$16,MATCH(Lembar_Kerja_Analisis!A938,Master_Produk!$A$1:$A$16,0))</f>
        <v>F&amp;B</v>
      </c>
      <c r="J938" s="19">
        <f>_xlfn.XLOOKUP(A938,Master_Produk!$A$1:$A$16,Master_Produk!$D$1:$D$16,,0)</f>
        <v>85000</v>
      </c>
      <c r="K938" s="19">
        <f>INDEX(Master_Produk!$E$1:$E$16,MATCH(Lembar_Kerja_Analisis!A938,Master_Produk!$A$1:$A$16,0))</f>
        <v>55000</v>
      </c>
      <c r="L938" s="8">
        <v>30</v>
      </c>
      <c r="M938" s="19">
        <f t="shared" si="70"/>
        <v>2550000</v>
      </c>
      <c r="N938" s="9">
        <v>0.15</v>
      </c>
      <c r="O938" s="19">
        <f t="shared" si="71"/>
        <v>382500</v>
      </c>
      <c r="P938" s="19">
        <f t="shared" si="72"/>
        <v>2167500</v>
      </c>
      <c r="Q938" s="19">
        <f t="shared" si="73"/>
        <v>1650000</v>
      </c>
      <c r="R938" s="19">
        <f t="shared" si="74"/>
        <v>517500</v>
      </c>
    </row>
    <row r="939" spans="1:18" x14ac:dyDescent="0.25">
      <c r="A939" t="str">
        <f>_xlfn.XLOOKUP(C939,Raw_Data_Transaksi!$A$1:$A$1001,Raw_Data_Transaksi!$D$1:$D$1001,,0)</f>
        <v>PRD-106</v>
      </c>
      <c r="B939" t="str">
        <f>_xlfn.XLOOKUP(C939,Raw_Data_Transaksi!$A$1:$A$1001,Raw_Data_Transaksi!$C$1:$C$1001,,0)</f>
        <v>SLS-03</v>
      </c>
      <c r="C939" s="6" t="s">
        <v>1023</v>
      </c>
      <c r="D939" s="7">
        <v>46005</v>
      </c>
      <c r="E939" s="10" t="str">
        <f>VLOOKUP(B939,Master_Sales!$A$1:$D$9,2,FALSE)</f>
        <v>Citra Lestari</v>
      </c>
      <c r="F939" s="10" t="str">
        <f>INDEX(Master_Sales!$D$1:$D$9,MATCH(Lembar_Kerja_Analisis!B939,Master_Sales!$A$1:$A$9,0))</f>
        <v>Barat</v>
      </c>
      <c r="G939" s="10" t="str">
        <f>INDEX(Master_Sales!$C$1:$C$9,MATCH(Lembar_Kerja_Analisis!B939,Master_Sales!$A$1:$A$9,0))</f>
        <v>Bandung</v>
      </c>
      <c r="H939" s="10" t="str">
        <f>VLOOKUP(A939,Master_Produk!$A$1:$E$16,2,FALSE)</f>
        <v>Celana Chino Slim Fit</v>
      </c>
      <c r="I939" s="10" t="str">
        <f>INDEX(Master_Produk!$C$1:$C$16,MATCH(Lembar_Kerja_Analisis!A939,Master_Produk!$A$1:$A$16,0))</f>
        <v>Fashion</v>
      </c>
      <c r="J939" s="19">
        <f>_xlfn.XLOOKUP(A939,Master_Produk!$A$1:$A$16,Master_Produk!$D$1:$D$16,,0)</f>
        <v>280000</v>
      </c>
      <c r="K939" s="19">
        <f>INDEX(Master_Produk!$E$1:$E$16,MATCH(Lembar_Kerja_Analisis!A939,Master_Produk!$A$1:$A$16,0))</f>
        <v>175000</v>
      </c>
      <c r="L939" s="8">
        <v>1</v>
      </c>
      <c r="M939" s="19">
        <f t="shared" si="70"/>
        <v>280000</v>
      </c>
      <c r="N939" s="9">
        <v>0.15</v>
      </c>
      <c r="O939" s="19">
        <f t="shared" si="71"/>
        <v>42000</v>
      </c>
      <c r="P939" s="19">
        <f t="shared" si="72"/>
        <v>238000</v>
      </c>
      <c r="Q939" s="19">
        <f t="shared" si="73"/>
        <v>175000</v>
      </c>
      <c r="R939" s="19">
        <f t="shared" si="74"/>
        <v>63000</v>
      </c>
    </row>
    <row r="940" spans="1:18" x14ac:dyDescent="0.25">
      <c r="A940" t="str">
        <f>_xlfn.XLOOKUP(C940,Raw_Data_Transaksi!$A$1:$A$1001,Raw_Data_Transaksi!$D$1:$D$1001,,0)</f>
        <v>PRD-111</v>
      </c>
      <c r="B940" t="str">
        <f>_xlfn.XLOOKUP(C940,Raw_Data_Transaksi!$A$1:$A$1001,Raw_Data_Transaksi!$C$1:$C$1001,,0)</f>
        <v>SLS-02</v>
      </c>
      <c r="C940" s="6" t="s">
        <v>1024</v>
      </c>
      <c r="D940" s="7">
        <v>45925</v>
      </c>
      <c r="E940" s="10" t="str">
        <f>VLOOKUP(B940,Master_Sales!$A$1:$D$9,2,FALSE)</f>
        <v>Budi Santoso</v>
      </c>
      <c r="F940" s="10" t="str">
        <f>INDEX(Master_Sales!$D$1:$D$9,MATCH(Lembar_Kerja_Analisis!B940,Master_Sales!$A$1:$A$9,0))</f>
        <v>Timur</v>
      </c>
      <c r="G940" s="10" t="str">
        <f>INDEX(Master_Sales!$C$1:$C$9,MATCH(Lembar_Kerja_Analisis!B940,Master_Sales!$A$1:$A$9,0))</f>
        <v>Surabaya</v>
      </c>
      <c r="H940" s="10" t="str">
        <f>VLOOKUP(A940,Master_Produk!$A$1:$E$16,2,FALSE)</f>
        <v>Beras Premium 5kg</v>
      </c>
      <c r="I940" s="10" t="str">
        <f>INDEX(Master_Produk!$C$1:$C$16,MATCH(Lembar_Kerja_Analisis!A940,Master_Produk!$A$1:$A$16,0))</f>
        <v>F&amp;B</v>
      </c>
      <c r="J940" s="19">
        <f>_xlfn.XLOOKUP(A940,Master_Produk!$A$1:$A$16,Master_Produk!$D$1:$D$16,,0)</f>
        <v>74000</v>
      </c>
      <c r="K940" s="19">
        <f>INDEX(Master_Produk!$E$1:$E$16,MATCH(Lembar_Kerja_Analisis!A940,Master_Produk!$A$1:$A$16,0))</f>
        <v>65000</v>
      </c>
      <c r="L940" s="8">
        <v>7</v>
      </c>
      <c r="M940" s="19">
        <f t="shared" si="70"/>
        <v>518000</v>
      </c>
      <c r="N940" s="9">
        <v>0.15</v>
      </c>
      <c r="O940" s="19">
        <f t="shared" si="71"/>
        <v>77700</v>
      </c>
      <c r="P940" s="19">
        <f t="shared" si="72"/>
        <v>440300</v>
      </c>
      <c r="Q940" s="19">
        <f t="shared" si="73"/>
        <v>455000</v>
      </c>
      <c r="R940" s="19">
        <f t="shared" si="74"/>
        <v>-14700</v>
      </c>
    </row>
    <row r="941" spans="1:18" x14ac:dyDescent="0.25">
      <c r="A941" t="str">
        <f>_xlfn.XLOOKUP(C941,Raw_Data_Transaksi!$A$1:$A$1001,Raw_Data_Transaksi!$D$1:$D$1001,,0)</f>
        <v>PRD-102</v>
      </c>
      <c r="B941" t="str">
        <f>_xlfn.XLOOKUP(C941,Raw_Data_Transaksi!$A$1:$A$1001,Raw_Data_Transaksi!$C$1:$C$1001,,0)</f>
        <v>SLS-06</v>
      </c>
      <c r="C941" s="6" t="s">
        <v>1025</v>
      </c>
      <c r="D941" s="7">
        <v>45744</v>
      </c>
      <c r="E941" s="10" t="str">
        <f>VLOOKUP(B941,Master_Sales!$A$1:$D$9,2,FALSE)</f>
        <v>Fajar Nugraha</v>
      </c>
      <c r="F941" s="10" t="str">
        <f>INDEX(Master_Sales!$D$1:$D$9,MATCH(Lembar_Kerja_Analisis!B941,Master_Sales!$A$1:$A$9,0))</f>
        <v>Timur</v>
      </c>
      <c r="G941" s="10" t="str">
        <f>INDEX(Master_Sales!$C$1:$C$9,MATCH(Lembar_Kerja_Analisis!B941,Master_Sales!$A$1:$A$9,0))</f>
        <v>Makassar</v>
      </c>
      <c r="H941" s="10" t="str">
        <f>VLOOKUP(A941,Master_Produk!$A$1:$E$16,2,FALSE)</f>
        <v>Wireless Mouse Ergonomic</v>
      </c>
      <c r="I941" s="10" t="str">
        <f>INDEX(Master_Produk!$C$1:$C$16,MATCH(Lembar_Kerja_Analisis!A941,Master_Produk!$A$1:$A$16,0))</f>
        <v>Elektronik</v>
      </c>
      <c r="J941" s="19">
        <f>_xlfn.XLOOKUP(A941,Master_Produk!$A$1:$A$16,Master_Produk!$D$1:$D$16,,0)</f>
        <v>250000</v>
      </c>
      <c r="K941" s="19">
        <f>INDEX(Master_Produk!$E$1:$E$16,MATCH(Lembar_Kerja_Analisis!A941,Master_Produk!$A$1:$A$16,0))</f>
        <v>160000</v>
      </c>
      <c r="L941" s="8">
        <v>4</v>
      </c>
      <c r="M941" s="19">
        <f t="shared" si="70"/>
        <v>1000000</v>
      </c>
      <c r="N941" s="9">
        <v>0.1</v>
      </c>
      <c r="O941" s="19">
        <f t="shared" si="71"/>
        <v>100000</v>
      </c>
      <c r="P941" s="19">
        <f t="shared" si="72"/>
        <v>900000</v>
      </c>
      <c r="Q941" s="19">
        <f t="shared" si="73"/>
        <v>640000</v>
      </c>
      <c r="R941" s="19">
        <f t="shared" si="74"/>
        <v>260000</v>
      </c>
    </row>
    <row r="942" spans="1:18" x14ac:dyDescent="0.25">
      <c r="A942" t="str">
        <f>_xlfn.XLOOKUP(C942,Raw_Data_Transaksi!$A$1:$A$1001,Raw_Data_Transaksi!$D$1:$D$1001,,0)</f>
        <v>PRD-104</v>
      </c>
      <c r="B942" t="str">
        <f>_xlfn.XLOOKUP(C942,Raw_Data_Transaksi!$A$1:$A$1001,Raw_Data_Transaksi!$C$1:$C$1001,,0)</f>
        <v>SLS-07</v>
      </c>
      <c r="C942" s="6" t="s">
        <v>1026</v>
      </c>
      <c r="D942" s="7">
        <v>45720</v>
      </c>
      <c r="E942" s="10" t="str">
        <f>VLOOKUP(B942,Master_Sales!$A$1:$D$9,2,FALSE)</f>
        <v>Gita Permata</v>
      </c>
      <c r="F942" s="10" t="str">
        <f>INDEX(Master_Sales!$D$1:$D$9,MATCH(Lembar_Kerja_Analisis!B942,Master_Sales!$A$1:$A$9,0))</f>
        <v>Tengah</v>
      </c>
      <c r="G942" s="10" t="str">
        <f>INDEX(Master_Sales!$C$1:$C$9,MATCH(Lembar_Kerja_Analisis!B942,Master_Sales!$A$1:$A$9,0))</f>
        <v>Denpasar</v>
      </c>
      <c r="H942" s="10" t="str">
        <f>VLOOKUP(A942,Master_Produk!$A$1:$E$16,2,FALSE)</f>
        <v>Monitor 24" FHD 144Hz</v>
      </c>
      <c r="I942" s="10" t="str">
        <f>INDEX(Master_Produk!$C$1:$C$16,MATCH(Lembar_Kerja_Analisis!A942,Master_Produk!$A$1:$A$16,0))</f>
        <v>Elektronik</v>
      </c>
      <c r="J942" s="19">
        <f>_xlfn.XLOOKUP(A942,Master_Produk!$A$1:$A$16,Master_Produk!$D$1:$D$16,,0)</f>
        <v>1950000</v>
      </c>
      <c r="K942" s="19">
        <f>INDEX(Master_Produk!$E$1:$E$16,MATCH(Lembar_Kerja_Analisis!A942,Master_Produk!$A$1:$A$16,0))</f>
        <v>1500000</v>
      </c>
      <c r="L942" s="8">
        <v>12</v>
      </c>
      <c r="M942" s="19">
        <f t="shared" si="70"/>
        <v>23400000</v>
      </c>
      <c r="N942" s="9">
        <v>0.15</v>
      </c>
      <c r="O942" s="19">
        <f t="shared" si="71"/>
        <v>3510000</v>
      </c>
      <c r="P942" s="19">
        <f t="shared" si="72"/>
        <v>19890000</v>
      </c>
      <c r="Q942" s="19">
        <f t="shared" si="73"/>
        <v>18000000</v>
      </c>
      <c r="R942" s="19">
        <f t="shared" si="74"/>
        <v>1890000</v>
      </c>
    </row>
    <row r="943" spans="1:18" x14ac:dyDescent="0.25">
      <c r="A943" t="str">
        <f>_xlfn.XLOOKUP(C943,Raw_Data_Transaksi!$A$1:$A$1001,Raw_Data_Transaksi!$D$1:$D$1001,,0)</f>
        <v>PRD-107</v>
      </c>
      <c r="B943" t="str">
        <f>_xlfn.XLOOKUP(C943,Raw_Data_Transaksi!$A$1:$A$1001,Raw_Data_Transaksi!$C$1:$C$1001,,0)</f>
        <v>SLS-06</v>
      </c>
      <c r="C943" s="6" t="s">
        <v>1027</v>
      </c>
      <c r="D943" s="7">
        <v>45987</v>
      </c>
      <c r="E943" s="10" t="str">
        <f>VLOOKUP(B943,Master_Sales!$A$1:$D$9,2,FALSE)</f>
        <v>Fajar Nugraha</v>
      </c>
      <c r="F943" s="10" t="str">
        <f>INDEX(Master_Sales!$D$1:$D$9,MATCH(Lembar_Kerja_Analisis!B943,Master_Sales!$A$1:$A$9,0))</f>
        <v>Timur</v>
      </c>
      <c r="G943" s="10" t="str">
        <f>INDEX(Master_Sales!$C$1:$C$9,MATCH(Lembar_Kerja_Analisis!B943,Master_Sales!$A$1:$A$9,0))</f>
        <v>Makassar</v>
      </c>
      <c r="H943" s="10" t="str">
        <f>VLOOKUP(A943,Master_Produk!$A$1:$E$16,2,FALSE)</f>
        <v>Jaket Hoodie Casual</v>
      </c>
      <c r="I943" s="10" t="str">
        <f>INDEX(Master_Produk!$C$1:$C$16,MATCH(Lembar_Kerja_Analisis!A943,Master_Produk!$A$1:$A$16,0))</f>
        <v>Fashion</v>
      </c>
      <c r="J943" s="19">
        <f>_xlfn.XLOOKUP(A943,Master_Produk!$A$1:$A$16,Master_Produk!$D$1:$D$16,,0)</f>
        <v>350000</v>
      </c>
      <c r="K943" s="19">
        <f>INDEX(Master_Produk!$E$1:$E$16,MATCH(Lembar_Kerja_Analisis!A943,Master_Produk!$A$1:$A$16,0))</f>
        <v>220000</v>
      </c>
      <c r="L943" s="8">
        <v>8</v>
      </c>
      <c r="M943" s="19">
        <f t="shared" si="70"/>
        <v>2800000</v>
      </c>
      <c r="N943" s="9">
        <v>0.2</v>
      </c>
      <c r="O943" s="19">
        <f t="shared" si="71"/>
        <v>560000</v>
      </c>
      <c r="P943" s="19">
        <f t="shared" si="72"/>
        <v>2240000</v>
      </c>
      <c r="Q943" s="19">
        <f t="shared" si="73"/>
        <v>1760000</v>
      </c>
      <c r="R943" s="19">
        <f t="shared" si="74"/>
        <v>480000</v>
      </c>
    </row>
    <row r="944" spans="1:18" x14ac:dyDescent="0.25">
      <c r="A944" t="str">
        <f>_xlfn.XLOOKUP(C944,Raw_Data_Transaksi!$A$1:$A$1001,Raw_Data_Transaksi!$D$1:$D$1001,,0)</f>
        <v>PRD-113</v>
      </c>
      <c r="B944" t="str">
        <f>_xlfn.XLOOKUP(C944,Raw_Data_Transaksi!$A$1:$A$1001,Raw_Data_Transaksi!$C$1:$C$1001,,0)</f>
        <v>SLS-08</v>
      </c>
      <c r="C944" s="6" t="s">
        <v>1028</v>
      </c>
      <c r="D944" s="7">
        <v>45733</v>
      </c>
      <c r="E944" s="10" t="str">
        <f>VLOOKUP(B944,Master_Sales!$A$1:$D$9,2,FALSE)</f>
        <v>Hendra Wijaya</v>
      </c>
      <c r="F944" s="10" t="str">
        <f>INDEX(Master_Sales!$D$1:$D$9,MATCH(Lembar_Kerja_Analisis!B944,Master_Sales!$A$1:$A$9,0))</f>
        <v>Tengah</v>
      </c>
      <c r="G944" s="10" t="str">
        <f>INDEX(Master_Sales!$C$1:$C$9,MATCH(Lembar_Kerja_Analisis!B944,Master_Sales!$A$1:$A$9,0))</f>
        <v>Yogyakarta</v>
      </c>
      <c r="H944" s="10" t="str">
        <f>VLOOKUP(A944,Master_Produk!$A$1:$E$16,2,FALSE)</f>
        <v>Wajan Anti Lengket 28cm</v>
      </c>
      <c r="I944" s="10" t="str">
        <f>INDEX(Master_Produk!$C$1:$C$16,MATCH(Lembar_Kerja_Analisis!A944,Master_Produk!$A$1:$A$16,0))</f>
        <v>Peralatan Rumah</v>
      </c>
      <c r="J944" s="19">
        <f>_xlfn.XLOOKUP(A944,Master_Produk!$A$1:$A$16,Master_Produk!$D$1:$D$16,,0)</f>
        <v>210000</v>
      </c>
      <c r="K944" s="19">
        <f>INDEX(Master_Produk!$E$1:$E$16,MATCH(Lembar_Kerja_Analisis!A944,Master_Produk!$A$1:$A$16,0))</f>
        <v>140000</v>
      </c>
      <c r="L944" s="8">
        <v>2</v>
      </c>
      <c r="M944" s="19">
        <f t="shared" si="70"/>
        <v>420000</v>
      </c>
      <c r="N944" s="9">
        <v>0</v>
      </c>
      <c r="O944" s="19">
        <f t="shared" si="71"/>
        <v>0</v>
      </c>
      <c r="P944" s="19">
        <f t="shared" si="72"/>
        <v>420000</v>
      </c>
      <c r="Q944" s="19">
        <f t="shared" si="73"/>
        <v>280000</v>
      </c>
      <c r="R944" s="19">
        <f t="shared" si="74"/>
        <v>140000</v>
      </c>
    </row>
    <row r="945" spans="1:18" x14ac:dyDescent="0.25">
      <c r="A945" t="str">
        <f>_xlfn.XLOOKUP(C945,Raw_Data_Transaksi!$A$1:$A$1001,Raw_Data_Transaksi!$D$1:$D$1001,,0)</f>
        <v>PRD-111</v>
      </c>
      <c r="B945" t="str">
        <f>_xlfn.XLOOKUP(C945,Raw_Data_Transaksi!$A$1:$A$1001,Raw_Data_Transaksi!$C$1:$C$1001,,0)</f>
        <v>SLS-03</v>
      </c>
      <c r="C945" s="6" t="s">
        <v>1029</v>
      </c>
      <c r="D945" s="7">
        <v>45776</v>
      </c>
      <c r="E945" s="10" t="str">
        <f>VLOOKUP(B945,Master_Sales!$A$1:$D$9,2,FALSE)</f>
        <v>Citra Lestari</v>
      </c>
      <c r="F945" s="10" t="str">
        <f>INDEX(Master_Sales!$D$1:$D$9,MATCH(Lembar_Kerja_Analisis!B945,Master_Sales!$A$1:$A$9,0))</f>
        <v>Barat</v>
      </c>
      <c r="G945" s="10" t="str">
        <f>INDEX(Master_Sales!$C$1:$C$9,MATCH(Lembar_Kerja_Analisis!B945,Master_Sales!$A$1:$A$9,0))</f>
        <v>Bandung</v>
      </c>
      <c r="H945" s="10" t="str">
        <f>VLOOKUP(A945,Master_Produk!$A$1:$E$16,2,FALSE)</f>
        <v>Beras Premium 5kg</v>
      </c>
      <c r="I945" s="10" t="str">
        <f>INDEX(Master_Produk!$C$1:$C$16,MATCH(Lembar_Kerja_Analisis!A945,Master_Produk!$A$1:$A$16,0))</f>
        <v>F&amp;B</v>
      </c>
      <c r="J945" s="19">
        <f>_xlfn.XLOOKUP(A945,Master_Produk!$A$1:$A$16,Master_Produk!$D$1:$D$16,,0)</f>
        <v>74000</v>
      </c>
      <c r="K945" s="19">
        <f>INDEX(Master_Produk!$E$1:$E$16,MATCH(Lembar_Kerja_Analisis!A945,Master_Produk!$A$1:$A$16,0))</f>
        <v>65000</v>
      </c>
      <c r="L945" s="8">
        <v>6</v>
      </c>
      <c r="M945" s="19">
        <f t="shared" si="70"/>
        <v>444000</v>
      </c>
      <c r="N945" s="9">
        <v>0</v>
      </c>
      <c r="O945" s="19">
        <f t="shared" si="71"/>
        <v>0</v>
      </c>
      <c r="P945" s="19">
        <f t="shared" si="72"/>
        <v>444000</v>
      </c>
      <c r="Q945" s="19">
        <f t="shared" si="73"/>
        <v>390000</v>
      </c>
      <c r="R945" s="19">
        <f t="shared" si="74"/>
        <v>54000</v>
      </c>
    </row>
    <row r="946" spans="1:18" x14ac:dyDescent="0.25">
      <c r="A946" t="str">
        <f>_xlfn.XLOOKUP(C946,Raw_Data_Transaksi!$A$1:$A$1001,Raw_Data_Transaksi!$D$1:$D$1001,,0)</f>
        <v>PRD-107</v>
      </c>
      <c r="B946" t="str">
        <f>_xlfn.XLOOKUP(C946,Raw_Data_Transaksi!$A$1:$A$1001,Raw_Data_Transaksi!$C$1:$C$1001,,0)</f>
        <v>SLS-06</v>
      </c>
      <c r="C946" s="6" t="s">
        <v>1030</v>
      </c>
      <c r="D946" s="7">
        <v>45749</v>
      </c>
      <c r="E946" s="10" t="str">
        <f>VLOOKUP(B946,Master_Sales!$A$1:$D$9,2,FALSE)</f>
        <v>Fajar Nugraha</v>
      </c>
      <c r="F946" s="10" t="str">
        <f>INDEX(Master_Sales!$D$1:$D$9,MATCH(Lembar_Kerja_Analisis!B946,Master_Sales!$A$1:$A$9,0))</f>
        <v>Timur</v>
      </c>
      <c r="G946" s="10" t="str">
        <f>INDEX(Master_Sales!$C$1:$C$9,MATCH(Lembar_Kerja_Analisis!B946,Master_Sales!$A$1:$A$9,0))</f>
        <v>Makassar</v>
      </c>
      <c r="H946" s="10" t="str">
        <f>VLOOKUP(A946,Master_Produk!$A$1:$E$16,2,FALSE)</f>
        <v>Jaket Hoodie Casual</v>
      </c>
      <c r="I946" s="10" t="str">
        <f>INDEX(Master_Produk!$C$1:$C$16,MATCH(Lembar_Kerja_Analisis!A946,Master_Produk!$A$1:$A$16,0))</f>
        <v>Fashion</v>
      </c>
      <c r="J946" s="19">
        <f>_xlfn.XLOOKUP(A946,Master_Produk!$A$1:$A$16,Master_Produk!$D$1:$D$16,,0)</f>
        <v>350000</v>
      </c>
      <c r="K946" s="19">
        <f>INDEX(Master_Produk!$E$1:$E$16,MATCH(Lembar_Kerja_Analisis!A946,Master_Produk!$A$1:$A$16,0))</f>
        <v>220000</v>
      </c>
      <c r="L946" s="8">
        <v>3</v>
      </c>
      <c r="M946" s="19">
        <f t="shared" si="70"/>
        <v>1050000</v>
      </c>
      <c r="N946" s="9">
        <v>0.1</v>
      </c>
      <c r="O946" s="19">
        <f t="shared" si="71"/>
        <v>105000</v>
      </c>
      <c r="P946" s="19">
        <f t="shared" si="72"/>
        <v>945000</v>
      </c>
      <c r="Q946" s="19">
        <f t="shared" si="73"/>
        <v>660000</v>
      </c>
      <c r="R946" s="19">
        <f t="shared" si="74"/>
        <v>285000</v>
      </c>
    </row>
    <row r="947" spans="1:18" x14ac:dyDescent="0.25">
      <c r="A947" t="str">
        <f>_xlfn.XLOOKUP(C947,Raw_Data_Transaksi!$A$1:$A$1001,Raw_Data_Transaksi!$D$1:$D$1001,,0)</f>
        <v>PRD-104</v>
      </c>
      <c r="B947" t="str">
        <f>_xlfn.XLOOKUP(C947,Raw_Data_Transaksi!$A$1:$A$1001,Raw_Data_Transaksi!$C$1:$C$1001,,0)</f>
        <v>SLS-05</v>
      </c>
      <c r="C947" s="6" t="s">
        <v>1031</v>
      </c>
      <c r="D947" s="7">
        <v>45896</v>
      </c>
      <c r="E947" s="10" t="str">
        <f>VLOOKUP(B947,Master_Sales!$A$1:$D$9,2,FALSE)</f>
        <v>Eko Prasetyo</v>
      </c>
      <c r="F947" s="10" t="str">
        <f>INDEX(Master_Sales!$D$1:$D$9,MATCH(Lembar_Kerja_Analisis!B947,Master_Sales!$A$1:$A$9,0))</f>
        <v>Tengah</v>
      </c>
      <c r="G947" s="10" t="str">
        <f>INDEX(Master_Sales!$C$1:$C$9,MATCH(Lembar_Kerja_Analisis!B947,Master_Sales!$A$1:$A$9,0))</f>
        <v>Semarang</v>
      </c>
      <c r="H947" s="10" t="str">
        <f>VLOOKUP(A947,Master_Produk!$A$1:$E$16,2,FALSE)</f>
        <v>Monitor 24" FHD 144Hz</v>
      </c>
      <c r="I947" s="10" t="str">
        <f>INDEX(Master_Produk!$C$1:$C$16,MATCH(Lembar_Kerja_Analisis!A947,Master_Produk!$A$1:$A$16,0))</f>
        <v>Elektronik</v>
      </c>
      <c r="J947" s="19">
        <f>_xlfn.XLOOKUP(A947,Master_Produk!$A$1:$A$16,Master_Produk!$D$1:$D$16,,0)</f>
        <v>1950000</v>
      </c>
      <c r="K947" s="19">
        <f>INDEX(Master_Produk!$E$1:$E$16,MATCH(Lembar_Kerja_Analisis!A947,Master_Produk!$A$1:$A$16,0))</f>
        <v>1500000</v>
      </c>
      <c r="L947" s="8">
        <v>11</v>
      </c>
      <c r="M947" s="19">
        <f t="shared" si="70"/>
        <v>21450000</v>
      </c>
      <c r="N947" s="9">
        <v>0.15</v>
      </c>
      <c r="O947" s="19">
        <f t="shared" si="71"/>
        <v>3217500</v>
      </c>
      <c r="P947" s="19">
        <f t="shared" si="72"/>
        <v>18232500</v>
      </c>
      <c r="Q947" s="19">
        <f t="shared" si="73"/>
        <v>16500000</v>
      </c>
      <c r="R947" s="19">
        <f t="shared" si="74"/>
        <v>1732500</v>
      </c>
    </row>
    <row r="948" spans="1:18" x14ac:dyDescent="0.25">
      <c r="A948" t="str">
        <f>_xlfn.XLOOKUP(C948,Raw_Data_Transaksi!$A$1:$A$1001,Raw_Data_Transaksi!$D$1:$D$1001,,0)</f>
        <v>PRD-106</v>
      </c>
      <c r="B948" t="str">
        <f>_xlfn.XLOOKUP(C948,Raw_Data_Transaksi!$A$1:$A$1001,Raw_Data_Transaksi!$C$1:$C$1001,,0)</f>
        <v>SLS-01</v>
      </c>
      <c r="C948" s="6" t="s">
        <v>1032</v>
      </c>
      <c r="D948" s="7">
        <v>45935</v>
      </c>
      <c r="E948" s="10" t="str">
        <f>VLOOKUP(B948,Master_Sales!$A$1:$D$9,2,FALSE)</f>
        <v>Andi Pratama</v>
      </c>
      <c r="F948" s="10" t="str">
        <f>INDEX(Master_Sales!$D$1:$D$9,MATCH(Lembar_Kerja_Analisis!B948,Master_Sales!$A$1:$A$9,0))</f>
        <v>Barat</v>
      </c>
      <c r="G948" s="10" t="str">
        <f>INDEX(Master_Sales!$C$1:$C$9,MATCH(Lembar_Kerja_Analisis!B948,Master_Sales!$A$1:$A$9,0))</f>
        <v>Jakarta</v>
      </c>
      <c r="H948" s="10" t="str">
        <f>VLOOKUP(A948,Master_Produk!$A$1:$E$16,2,FALSE)</f>
        <v>Celana Chino Slim Fit</v>
      </c>
      <c r="I948" s="10" t="str">
        <f>INDEX(Master_Produk!$C$1:$C$16,MATCH(Lembar_Kerja_Analisis!A948,Master_Produk!$A$1:$A$16,0))</f>
        <v>Fashion</v>
      </c>
      <c r="J948" s="19">
        <f>_xlfn.XLOOKUP(A948,Master_Produk!$A$1:$A$16,Master_Produk!$D$1:$D$16,,0)</f>
        <v>280000</v>
      </c>
      <c r="K948" s="19">
        <f>INDEX(Master_Produk!$E$1:$E$16,MATCH(Lembar_Kerja_Analisis!A948,Master_Produk!$A$1:$A$16,0))</f>
        <v>175000</v>
      </c>
      <c r="L948" s="8">
        <v>1</v>
      </c>
      <c r="M948" s="19">
        <f t="shared" si="70"/>
        <v>280000</v>
      </c>
      <c r="N948" s="9">
        <v>0.15</v>
      </c>
      <c r="O948" s="19">
        <f t="shared" si="71"/>
        <v>42000</v>
      </c>
      <c r="P948" s="19">
        <f t="shared" si="72"/>
        <v>238000</v>
      </c>
      <c r="Q948" s="19">
        <f t="shared" si="73"/>
        <v>175000</v>
      </c>
      <c r="R948" s="19">
        <f t="shared" si="74"/>
        <v>63000</v>
      </c>
    </row>
    <row r="949" spans="1:18" x14ac:dyDescent="0.25">
      <c r="A949" t="str">
        <f>_xlfn.XLOOKUP(C949,Raw_Data_Transaksi!$A$1:$A$1001,Raw_Data_Transaksi!$D$1:$D$1001,,0)</f>
        <v>PRD-114</v>
      </c>
      <c r="B949" t="str">
        <f>_xlfn.XLOOKUP(C949,Raw_Data_Transaksi!$A$1:$A$1001,Raw_Data_Transaksi!$C$1:$C$1001,,0)</f>
        <v>SLS-07</v>
      </c>
      <c r="C949" s="6" t="s">
        <v>1033</v>
      </c>
      <c r="D949" s="7">
        <v>45819</v>
      </c>
      <c r="E949" s="10" t="str">
        <f>VLOOKUP(B949,Master_Sales!$A$1:$D$9,2,FALSE)</f>
        <v>Gita Permata</v>
      </c>
      <c r="F949" s="10" t="str">
        <f>INDEX(Master_Sales!$D$1:$D$9,MATCH(Lembar_Kerja_Analisis!B949,Master_Sales!$A$1:$A$9,0))</f>
        <v>Tengah</v>
      </c>
      <c r="G949" s="10" t="str">
        <f>INDEX(Master_Sales!$C$1:$C$9,MATCH(Lembar_Kerja_Analisis!B949,Master_Sales!$A$1:$A$9,0))</f>
        <v>Denpasar</v>
      </c>
      <c r="H949" s="10" t="str">
        <f>VLOOKUP(A949,Master_Produk!$A$1:$E$16,2,FALSE)</f>
        <v>Blender Multifungsi 2-in-1</v>
      </c>
      <c r="I949" s="10" t="str">
        <f>INDEX(Master_Produk!$C$1:$C$16,MATCH(Lembar_Kerja_Analisis!A949,Master_Produk!$A$1:$A$16,0))</f>
        <v>Peralatan Rumah</v>
      </c>
      <c r="J949" s="19">
        <f>_xlfn.XLOOKUP(A949,Master_Produk!$A$1:$A$16,Master_Produk!$D$1:$D$16,,0)</f>
        <v>340000</v>
      </c>
      <c r="K949" s="19">
        <f>INDEX(Master_Produk!$E$1:$E$16,MATCH(Lembar_Kerja_Analisis!A949,Master_Produk!$A$1:$A$16,0))</f>
        <v>240000</v>
      </c>
      <c r="L949" s="8">
        <v>8</v>
      </c>
      <c r="M949" s="19">
        <f t="shared" si="70"/>
        <v>2720000</v>
      </c>
      <c r="N949" s="9">
        <v>0.15</v>
      </c>
      <c r="O949" s="19">
        <f t="shared" si="71"/>
        <v>408000</v>
      </c>
      <c r="P949" s="19">
        <f t="shared" si="72"/>
        <v>2312000</v>
      </c>
      <c r="Q949" s="19">
        <f t="shared" si="73"/>
        <v>1920000</v>
      </c>
      <c r="R949" s="19">
        <f t="shared" si="74"/>
        <v>392000</v>
      </c>
    </row>
    <row r="950" spans="1:18" x14ac:dyDescent="0.25">
      <c r="A950" t="str">
        <f>_xlfn.XLOOKUP(C950,Raw_Data_Transaksi!$A$1:$A$1001,Raw_Data_Transaksi!$D$1:$D$1001,,0)</f>
        <v>PRD-111</v>
      </c>
      <c r="B950" t="str">
        <f>_xlfn.XLOOKUP(C950,Raw_Data_Transaksi!$A$1:$A$1001,Raw_Data_Transaksi!$C$1:$C$1001,,0)</f>
        <v>SLS-05</v>
      </c>
      <c r="C950" s="6" t="s">
        <v>1034</v>
      </c>
      <c r="D950" s="7">
        <v>45943</v>
      </c>
      <c r="E950" s="10" t="str">
        <f>VLOOKUP(B950,Master_Sales!$A$1:$D$9,2,FALSE)</f>
        <v>Eko Prasetyo</v>
      </c>
      <c r="F950" s="10" t="str">
        <f>INDEX(Master_Sales!$D$1:$D$9,MATCH(Lembar_Kerja_Analisis!B950,Master_Sales!$A$1:$A$9,0))</f>
        <v>Tengah</v>
      </c>
      <c r="G950" s="10" t="str">
        <f>INDEX(Master_Sales!$C$1:$C$9,MATCH(Lembar_Kerja_Analisis!B950,Master_Sales!$A$1:$A$9,0))</f>
        <v>Semarang</v>
      </c>
      <c r="H950" s="10" t="str">
        <f>VLOOKUP(A950,Master_Produk!$A$1:$E$16,2,FALSE)</f>
        <v>Beras Premium 5kg</v>
      </c>
      <c r="I950" s="10" t="str">
        <f>INDEX(Master_Produk!$C$1:$C$16,MATCH(Lembar_Kerja_Analisis!A950,Master_Produk!$A$1:$A$16,0))</f>
        <v>F&amp;B</v>
      </c>
      <c r="J950" s="19">
        <f>_xlfn.XLOOKUP(A950,Master_Produk!$A$1:$A$16,Master_Produk!$D$1:$D$16,,0)</f>
        <v>74000</v>
      </c>
      <c r="K950" s="19">
        <f>INDEX(Master_Produk!$E$1:$E$16,MATCH(Lembar_Kerja_Analisis!A950,Master_Produk!$A$1:$A$16,0))</f>
        <v>65000</v>
      </c>
      <c r="L950" s="8">
        <v>8</v>
      </c>
      <c r="M950" s="19">
        <f t="shared" si="70"/>
        <v>592000</v>
      </c>
      <c r="N950" s="9">
        <v>0.15</v>
      </c>
      <c r="O950" s="19">
        <f t="shared" si="71"/>
        <v>88800</v>
      </c>
      <c r="P950" s="19">
        <f t="shared" si="72"/>
        <v>503200</v>
      </c>
      <c r="Q950" s="19">
        <f t="shared" si="73"/>
        <v>520000</v>
      </c>
      <c r="R950" s="19">
        <f t="shared" si="74"/>
        <v>-16800</v>
      </c>
    </row>
    <row r="951" spans="1:18" x14ac:dyDescent="0.25">
      <c r="A951" t="str">
        <f>_xlfn.XLOOKUP(C951,Raw_Data_Transaksi!$A$1:$A$1001,Raw_Data_Transaksi!$D$1:$D$1001,,0)</f>
        <v>PRD-108</v>
      </c>
      <c r="B951" t="str">
        <f>_xlfn.XLOOKUP(C951,Raw_Data_Transaksi!$A$1:$A$1001,Raw_Data_Transaksi!$C$1:$C$1001,,0)</f>
        <v>SLS-02</v>
      </c>
      <c r="C951" s="6" t="s">
        <v>1035</v>
      </c>
      <c r="D951" s="7">
        <v>45857</v>
      </c>
      <c r="E951" s="10" t="str">
        <f>VLOOKUP(B951,Master_Sales!$A$1:$D$9,2,FALSE)</f>
        <v>Budi Santoso</v>
      </c>
      <c r="F951" s="10" t="str">
        <f>INDEX(Master_Sales!$D$1:$D$9,MATCH(Lembar_Kerja_Analisis!B951,Master_Sales!$A$1:$A$9,0))</f>
        <v>Timur</v>
      </c>
      <c r="G951" s="10" t="str">
        <f>INDEX(Master_Sales!$C$1:$C$9,MATCH(Lembar_Kerja_Analisis!B951,Master_Sales!$A$1:$A$9,0))</f>
        <v>Surabaya</v>
      </c>
      <c r="H951" s="10" t="str">
        <f>VLOOKUP(A951,Master_Produk!$A$1:$E$16,2,FALSE)</f>
        <v>Sepatu Sneakers Pria/Wanita</v>
      </c>
      <c r="I951" s="10" t="str">
        <f>INDEX(Master_Produk!$C$1:$C$16,MATCH(Lembar_Kerja_Analisis!A951,Master_Produk!$A$1:$A$16,0))</f>
        <v>Fashion</v>
      </c>
      <c r="J951" s="19">
        <f>_xlfn.XLOOKUP(A951,Master_Produk!$A$1:$A$16,Master_Produk!$D$1:$D$16,,0)</f>
        <v>450000</v>
      </c>
      <c r="K951" s="19">
        <f>INDEX(Master_Produk!$E$1:$E$16,MATCH(Lembar_Kerja_Analisis!A951,Master_Produk!$A$1:$A$16,0))</f>
        <v>290000</v>
      </c>
      <c r="L951" s="8">
        <v>10</v>
      </c>
      <c r="M951" s="19">
        <f t="shared" si="70"/>
        <v>4500000</v>
      </c>
      <c r="N951" s="9">
        <v>0.15</v>
      </c>
      <c r="O951" s="19">
        <f t="shared" si="71"/>
        <v>675000</v>
      </c>
      <c r="P951" s="19">
        <f t="shared" si="72"/>
        <v>3825000</v>
      </c>
      <c r="Q951" s="19">
        <f t="shared" si="73"/>
        <v>2900000</v>
      </c>
      <c r="R951" s="19">
        <f t="shared" si="74"/>
        <v>925000</v>
      </c>
    </row>
    <row r="952" spans="1:18" x14ac:dyDescent="0.25">
      <c r="A952" t="str">
        <f>_xlfn.XLOOKUP(C952,Raw_Data_Transaksi!$A$1:$A$1001,Raw_Data_Transaksi!$D$1:$D$1001,,0)</f>
        <v>PRD-101</v>
      </c>
      <c r="B952" t="str">
        <f>_xlfn.XLOOKUP(C952,Raw_Data_Transaksi!$A$1:$A$1001,Raw_Data_Transaksi!$C$1:$C$1001,,0)</f>
        <v>SLS-07</v>
      </c>
      <c r="C952" s="6" t="s">
        <v>1036</v>
      </c>
      <c r="D952" s="7">
        <v>45917</v>
      </c>
      <c r="E952" s="10" t="str">
        <f>VLOOKUP(B952,Master_Sales!$A$1:$D$9,2,FALSE)</f>
        <v>Gita Permata</v>
      </c>
      <c r="F952" s="10" t="str">
        <f>INDEX(Master_Sales!$D$1:$D$9,MATCH(Lembar_Kerja_Analisis!B952,Master_Sales!$A$1:$A$9,0))</f>
        <v>Tengah</v>
      </c>
      <c r="G952" s="10" t="str">
        <f>INDEX(Master_Sales!$C$1:$C$9,MATCH(Lembar_Kerja_Analisis!B952,Master_Sales!$A$1:$A$9,0))</f>
        <v>Denpasar</v>
      </c>
      <c r="H952" s="10" t="str">
        <f>VLOOKUP(A952,Master_Produk!$A$1:$E$16,2,FALSE)</f>
        <v>Laptop Ultrabook 14"</v>
      </c>
      <c r="I952" s="10" t="str">
        <f>INDEX(Master_Produk!$C$1:$C$16,MATCH(Lembar_Kerja_Analisis!A952,Master_Produk!$A$1:$A$16,0))</f>
        <v>Elektronik</v>
      </c>
      <c r="J952" s="19">
        <f>_xlfn.XLOOKUP(A952,Master_Produk!$A$1:$A$16,Master_Produk!$D$1:$D$16,,0)</f>
        <v>8500000</v>
      </c>
      <c r="K952" s="19">
        <f>INDEX(Master_Produk!$E$1:$E$16,MATCH(Lembar_Kerja_Analisis!A952,Master_Produk!$A$1:$A$16,0))</f>
        <v>7200000</v>
      </c>
      <c r="L952" s="8">
        <v>5</v>
      </c>
      <c r="M952" s="19">
        <f t="shared" si="70"/>
        <v>42500000</v>
      </c>
      <c r="N952" s="9">
        <v>0.15</v>
      </c>
      <c r="O952" s="19">
        <f t="shared" si="71"/>
        <v>6375000</v>
      </c>
      <c r="P952" s="19">
        <f t="shared" si="72"/>
        <v>36125000</v>
      </c>
      <c r="Q952" s="19">
        <f t="shared" si="73"/>
        <v>36000000</v>
      </c>
      <c r="R952" s="19">
        <f t="shared" si="74"/>
        <v>125000</v>
      </c>
    </row>
    <row r="953" spans="1:18" x14ac:dyDescent="0.25">
      <c r="A953" t="str">
        <f>_xlfn.XLOOKUP(C953,Raw_Data_Transaksi!$A$1:$A$1001,Raw_Data_Transaksi!$D$1:$D$1001,,0)</f>
        <v>PRD-106</v>
      </c>
      <c r="B953" t="str">
        <f>_xlfn.XLOOKUP(C953,Raw_Data_Transaksi!$A$1:$A$1001,Raw_Data_Transaksi!$C$1:$C$1001,,0)</f>
        <v>SLS-01</v>
      </c>
      <c r="C953" s="6" t="s">
        <v>1037</v>
      </c>
      <c r="D953" s="7">
        <v>45803</v>
      </c>
      <c r="E953" s="10" t="str">
        <f>VLOOKUP(B953,Master_Sales!$A$1:$D$9,2,FALSE)</f>
        <v>Andi Pratama</v>
      </c>
      <c r="F953" s="10" t="str">
        <f>INDEX(Master_Sales!$D$1:$D$9,MATCH(Lembar_Kerja_Analisis!B953,Master_Sales!$A$1:$A$9,0))</f>
        <v>Barat</v>
      </c>
      <c r="G953" s="10" t="str">
        <f>INDEX(Master_Sales!$C$1:$C$9,MATCH(Lembar_Kerja_Analisis!B953,Master_Sales!$A$1:$A$9,0))</f>
        <v>Jakarta</v>
      </c>
      <c r="H953" s="10" t="str">
        <f>VLOOKUP(A953,Master_Produk!$A$1:$E$16,2,FALSE)</f>
        <v>Celana Chino Slim Fit</v>
      </c>
      <c r="I953" s="10" t="str">
        <f>INDEX(Master_Produk!$C$1:$C$16,MATCH(Lembar_Kerja_Analisis!A953,Master_Produk!$A$1:$A$16,0))</f>
        <v>Fashion</v>
      </c>
      <c r="J953" s="19">
        <f>_xlfn.XLOOKUP(A953,Master_Produk!$A$1:$A$16,Master_Produk!$D$1:$D$16,,0)</f>
        <v>280000</v>
      </c>
      <c r="K953" s="19">
        <f>INDEX(Master_Produk!$E$1:$E$16,MATCH(Lembar_Kerja_Analisis!A953,Master_Produk!$A$1:$A$16,0))</f>
        <v>175000</v>
      </c>
      <c r="L953" s="8">
        <v>1</v>
      </c>
      <c r="M953" s="19">
        <f t="shared" si="70"/>
        <v>280000</v>
      </c>
      <c r="N953" s="9">
        <v>0.2</v>
      </c>
      <c r="O953" s="19">
        <f t="shared" si="71"/>
        <v>56000</v>
      </c>
      <c r="P953" s="19">
        <f t="shared" si="72"/>
        <v>224000</v>
      </c>
      <c r="Q953" s="19">
        <f t="shared" si="73"/>
        <v>175000</v>
      </c>
      <c r="R953" s="19">
        <f t="shared" si="74"/>
        <v>49000</v>
      </c>
    </row>
    <row r="954" spans="1:18" x14ac:dyDescent="0.25">
      <c r="A954" t="str">
        <f>_xlfn.XLOOKUP(C954,Raw_Data_Transaksi!$A$1:$A$1001,Raw_Data_Transaksi!$D$1:$D$1001,,0)</f>
        <v>PRD-113</v>
      </c>
      <c r="B954" t="str">
        <f>_xlfn.XLOOKUP(C954,Raw_Data_Transaksi!$A$1:$A$1001,Raw_Data_Transaksi!$C$1:$C$1001,,0)</f>
        <v>SLS-01</v>
      </c>
      <c r="C954" s="6" t="s">
        <v>1038</v>
      </c>
      <c r="D954" s="7">
        <v>45836</v>
      </c>
      <c r="E954" s="10" t="str">
        <f>VLOOKUP(B954,Master_Sales!$A$1:$D$9,2,FALSE)</f>
        <v>Andi Pratama</v>
      </c>
      <c r="F954" s="10" t="str">
        <f>INDEX(Master_Sales!$D$1:$D$9,MATCH(Lembar_Kerja_Analisis!B954,Master_Sales!$A$1:$A$9,0))</f>
        <v>Barat</v>
      </c>
      <c r="G954" s="10" t="str">
        <f>INDEX(Master_Sales!$C$1:$C$9,MATCH(Lembar_Kerja_Analisis!B954,Master_Sales!$A$1:$A$9,0))</f>
        <v>Jakarta</v>
      </c>
      <c r="H954" s="10" t="str">
        <f>VLOOKUP(A954,Master_Produk!$A$1:$E$16,2,FALSE)</f>
        <v>Wajan Anti Lengket 28cm</v>
      </c>
      <c r="I954" s="10" t="str">
        <f>INDEX(Master_Produk!$C$1:$C$16,MATCH(Lembar_Kerja_Analisis!A954,Master_Produk!$A$1:$A$16,0))</f>
        <v>Peralatan Rumah</v>
      </c>
      <c r="J954" s="19">
        <f>_xlfn.XLOOKUP(A954,Master_Produk!$A$1:$A$16,Master_Produk!$D$1:$D$16,,0)</f>
        <v>210000</v>
      </c>
      <c r="K954" s="19">
        <f>INDEX(Master_Produk!$E$1:$E$16,MATCH(Lembar_Kerja_Analisis!A954,Master_Produk!$A$1:$A$16,0))</f>
        <v>140000</v>
      </c>
      <c r="L954" s="8">
        <v>11</v>
      </c>
      <c r="M954" s="19">
        <f t="shared" si="70"/>
        <v>2310000</v>
      </c>
      <c r="N954" s="9">
        <v>0.1</v>
      </c>
      <c r="O954" s="19">
        <f t="shared" si="71"/>
        <v>231000</v>
      </c>
      <c r="P954" s="19">
        <f t="shared" si="72"/>
        <v>2079000</v>
      </c>
      <c r="Q954" s="19">
        <f t="shared" si="73"/>
        <v>1540000</v>
      </c>
      <c r="R954" s="19">
        <f t="shared" si="74"/>
        <v>539000</v>
      </c>
    </row>
    <row r="955" spans="1:18" x14ac:dyDescent="0.25">
      <c r="A955" t="str">
        <f>_xlfn.XLOOKUP(C955,Raw_Data_Transaksi!$A$1:$A$1001,Raw_Data_Transaksi!$D$1:$D$1001,,0)</f>
        <v>PRD-106</v>
      </c>
      <c r="B955" t="str">
        <f>_xlfn.XLOOKUP(C955,Raw_Data_Transaksi!$A$1:$A$1001,Raw_Data_Transaksi!$C$1:$C$1001,,0)</f>
        <v>SLS-07</v>
      </c>
      <c r="C955" s="6" t="s">
        <v>1039</v>
      </c>
      <c r="D955" s="7">
        <v>45834</v>
      </c>
      <c r="E955" s="10" t="str">
        <f>VLOOKUP(B955,Master_Sales!$A$1:$D$9,2,FALSE)</f>
        <v>Gita Permata</v>
      </c>
      <c r="F955" s="10" t="str">
        <f>INDEX(Master_Sales!$D$1:$D$9,MATCH(Lembar_Kerja_Analisis!B955,Master_Sales!$A$1:$A$9,0))</f>
        <v>Tengah</v>
      </c>
      <c r="G955" s="10" t="str">
        <f>INDEX(Master_Sales!$C$1:$C$9,MATCH(Lembar_Kerja_Analisis!B955,Master_Sales!$A$1:$A$9,0))</f>
        <v>Denpasar</v>
      </c>
      <c r="H955" s="10" t="str">
        <f>VLOOKUP(A955,Master_Produk!$A$1:$E$16,2,FALSE)</f>
        <v>Celana Chino Slim Fit</v>
      </c>
      <c r="I955" s="10" t="str">
        <f>INDEX(Master_Produk!$C$1:$C$16,MATCH(Lembar_Kerja_Analisis!A955,Master_Produk!$A$1:$A$16,0))</f>
        <v>Fashion</v>
      </c>
      <c r="J955" s="19">
        <f>_xlfn.XLOOKUP(A955,Master_Produk!$A$1:$A$16,Master_Produk!$D$1:$D$16,,0)</f>
        <v>280000</v>
      </c>
      <c r="K955" s="19">
        <f>INDEX(Master_Produk!$E$1:$E$16,MATCH(Lembar_Kerja_Analisis!A955,Master_Produk!$A$1:$A$16,0))</f>
        <v>175000</v>
      </c>
      <c r="L955" s="8">
        <v>6</v>
      </c>
      <c r="M955" s="19">
        <f t="shared" si="70"/>
        <v>1680000</v>
      </c>
      <c r="N955" s="9">
        <v>0</v>
      </c>
      <c r="O955" s="19">
        <f t="shared" si="71"/>
        <v>0</v>
      </c>
      <c r="P955" s="19">
        <f t="shared" si="72"/>
        <v>1680000</v>
      </c>
      <c r="Q955" s="19">
        <f t="shared" si="73"/>
        <v>1050000</v>
      </c>
      <c r="R955" s="19">
        <f t="shared" si="74"/>
        <v>630000</v>
      </c>
    </row>
    <row r="956" spans="1:18" x14ac:dyDescent="0.25">
      <c r="A956" t="str">
        <f>_xlfn.XLOOKUP(C956,Raw_Data_Transaksi!$A$1:$A$1001,Raw_Data_Transaksi!$D$1:$D$1001,,0)</f>
        <v>PRD-105</v>
      </c>
      <c r="B956" t="str">
        <f>_xlfn.XLOOKUP(C956,Raw_Data_Transaksi!$A$1:$A$1001,Raw_Data_Transaksi!$C$1:$C$1001,,0)</f>
        <v>SLS-02</v>
      </c>
      <c r="C956" s="6" t="s">
        <v>1040</v>
      </c>
      <c r="D956" s="7">
        <v>45989</v>
      </c>
      <c r="E956" s="10" t="str">
        <f>VLOOKUP(B956,Master_Sales!$A$1:$D$9,2,FALSE)</f>
        <v>Budi Santoso</v>
      </c>
      <c r="F956" s="10" t="str">
        <f>INDEX(Master_Sales!$D$1:$D$9,MATCH(Lembar_Kerja_Analisis!B956,Master_Sales!$A$1:$A$9,0))</f>
        <v>Timur</v>
      </c>
      <c r="G956" s="10" t="str">
        <f>INDEX(Master_Sales!$C$1:$C$9,MATCH(Lembar_Kerja_Analisis!B956,Master_Sales!$A$1:$A$9,0))</f>
        <v>Surabaya</v>
      </c>
      <c r="H956" s="10" t="str">
        <f>VLOOKUP(A956,Master_Produk!$A$1:$E$16,2,FALSE)</f>
        <v>Kemeja Batik Katun Premium</v>
      </c>
      <c r="I956" s="10" t="str">
        <f>INDEX(Master_Produk!$C$1:$C$16,MATCH(Lembar_Kerja_Analisis!A956,Master_Produk!$A$1:$A$16,0))</f>
        <v>Fashion</v>
      </c>
      <c r="J956" s="19">
        <f>_xlfn.XLOOKUP(A956,Master_Produk!$A$1:$A$16,Master_Produk!$D$1:$D$16,,0)</f>
        <v>320000</v>
      </c>
      <c r="K956" s="19">
        <f>INDEX(Master_Produk!$E$1:$E$16,MATCH(Lembar_Kerja_Analisis!A956,Master_Produk!$A$1:$A$16,0))</f>
        <v>190000</v>
      </c>
      <c r="L956" s="8">
        <v>12</v>
      </c>
      <c r="M956" s="19">
        <f t="shared" si="70"/>
        <v>3840000</v>
      </c>
      <c r="N956" s="9">
        <v>0</v>
      </c>
      <c r="O956" s="19">
        <f t="shared" si="71"/>
        <v>0</v>
      </c>
      <c r="P956" s="19">
        <f t="shared" si="72"/>
        <v>3840000</v>
      </c>
      <c r="Q956" s="19">
        <f t="shared" si="73"/>
        <v>2280000</v>
      </c>
      <c r="R956" s="19">
        <f t="shared" si="74"/>
        <v>1560000</v>
      </c>
    </row>
    <row r="957" spans="1:18" x14ac:dyDescent="0.25">
      <c r="A957" t="str">
        <f>_xlfn.XLOOKUP(C957,Raw_Data_Transaksi!$A$1:$A$1001,Raw_Data_Transaksi!$D$1:$D$1001,,0)</f>
        <v>PRD-101</v>
      </c>
      <c r="B957" t="str">
        <f>_xlfn.XLOOKUP(C957,Raw_Data_Transaksi!$A$1:$A$1001,Raw_Data_Transaksi!$C$1:$C$1001,,0)</f>
        <v>SLS-06</v>
      </c>
      <c r="C957" s="6" t="s">
        <v>1041</v>
      </c>
      <c r="D957" s="7">
        <v>45744</v>
      </c>
      <c r="E957" s="10" t="str">
        <f>VLOOKUP(B957,Master_Sales!$A$1:$D$9,2,FALSE)</f>
        <v>Fajar Nugraha</v>
      </c>
      <c r="F957" s="10" t="str">
        <f>INDEX(Master_Sales!$D$1:$D$9,MATCH(Lembar_Kerja_Analisis!B957,Master_Sales!$A$1:$A$9,0))</f>
        <v>Timur</v>
      </c>
      <c r="G957" s="10" t="str">
        <f>INDEX(Master_Sales!$C$1:$C$9,MATCH(Lembar_Kerja_Analisis!B957,Master_Sales!$A$1:$A$9,0))</f>
        <v>Makassar</v>
      </c>
      <c r="H957" s="10" t="str">
        <f>VLOOKUP(A957,Master_Produk!$A$1:$E$16,2,FALSE)</f>
        <v>Laptop Ultrabook 14"</v>
      </c>
      <c r="I957" s="10" t="str">
        <f>INDEX(Master_Produk!$C$1:$C$16,MATCH(Lembar_Kerja_Analisis!A957,Master_Produk!$A$1:$A$16,0))</f>
        <v>Elektronik</v>
      </c>
      <c r="J957" s="19">
        <f>_xlfn.XLOOKUP(A957,Master_Produk!$A$1:$A$16,Master_Produk!$D$1:$D$16,,0)</f>
        <v>8500000</v>
      </c>
      <c r="K957" s="19">
        <f>INDEX(Master_Produk!$E$1:$E$16,MATCH(Lembar_Kerja_Analisis!A957,Master_Produk!$A$1:$A$16,0))</f>
        <v>7200000</v>
      </c>
      <c r="L957" s="8">
        <v>1</v>
      </c>
      <c r="M957" s="19">
        <f t="shared" si="70"/>
        <v>8500000</v>
      </c>
      <c r="N957" s="9">
        <v>0.15</v>
      </c>
      <c r="O957" s="19">
        <f t="shared" si="71"/>
        <v>1275000</v>
      </c>
      <c r="P957" s="19">
        <f t="shared" si="72"/>
        <v>7225000</v>
      </c>
      <c r="Q957" s="19">
        <f t="shared" si="73"/>
        <v>7200000</v>
      </c>
      <c r="R957" s="19">
        <f t="shared" si="74"/>
        <v>25000</v>
      </c>
    </row>
    <row r="958" spans="1:18" x14ac:dyDescent="0.25">
      <c r="A958" t="str">
        <f>_xlfn.XLOOKUP(C958,Raw_Data_Transaksi!$A$1:$A$1001,Raw_Data_Transaksi!$D$1:$D$1001,,0)</f>
        <v>PRD-101</v>
      </c>
      <c r="B958" t="str">
        <f>_xlfn.XLOOKUP(C958,Raw_Data_Transaksi!$A$1:$A$1001,Raw_Data_Transaksi!$C$1:$C$1001,,0)</f>
        <v>SLS-08</v>
      </c>
      <c r="C958" s="6" t="s">
        <v>1042</v>
      </c>
      <c r="D958" s="7">
        <v>45794</v>
      </c>
      <c r="E958" s="10" t="str">
        <f>VLOOKUP(B958,Master_Sales!$A$1:$D$9,2,FALSE)</f>
        <v>Hendra Wijaya</v>
      </c>
      <c r="F958" s="10" t="str">
        <f>INDEX(Master_Sales!$D$1:$D$9,MATCH(Lembar_Kerja_Analisis!B958,Master_Sales!$A$1:$A$9,0))</f>
        <v>Tengah</v>
      </c>
      <c r="G958" s="10" t="str">
        <f>INDEX(Master_Sales!$C$1:$C$9,MATCH(Lembar_Kerja_Analisis!B958,Master_Sales!$A$1:$A$9,0))</f>
        <v>Yogyakarta</v>
      </c>
      <c r="H958" s="10" t="str">
        <f>VLOOKUP(A958,Master_Produk!$A$1:$E$16,2,FALSE)</f>
        <v>Laptop Ultrabook 14"</v>
      </c>
      <c r="I958" s="10" t="str">
        <f>INDEX(Master_Produk!$C$1:$C$16,MATCH(Lembar_Kerja_Analisis!A958,Master_Produk!$A$1:$A$16,0))</f>
        <v>Elektronik</v>
      </c>
      <c r="J958" s="19">
        <f>_xlfn.XLOOKUP(A958,Master_Produk!$A$1:$A$16,Master_Produk!$D$1:$D$16,,0)</f>
        <v>8500000</v>
      </c>
      <c r="K958" s="19">
        <f>INDEX(Master_Produk!$E$1:$E$16,MATCH(Lembar_Kerja_Analisis!A958,Master_Produk!$A$1:$A$16,0))</f>
        <v>7200000</v>
      </c>
      <c r="L958" s="8">
        <v>10</v>
      </c>
      <c r="M958" s="19">
        <f t="shared" si="70"/>
        <v>85000000</v>
      </c>
      <c r="N958" s="9">
        <v>0</v>
      </c>
      <c r="O958" s="19">
        <f t="shared" si="71"/>
        <v>0</v>
      </c>
      <c r="P958" s="19">
        <f t="shared" si="72"/>
        <v>85000000</v>
      </c>
      <c r="Q958" s="19">
        <f t="shared" si="73"/>
        <v>72000000</v>
      </c>
      <c r="R958" s="19">
        <f t="shared" si="74"/>
        <v>13000000</v>
      </c>
    </row>
    <row r="959" spans="1:18" x14ac:dyDescent="0.25">
      <c r="A959" t="str">
        <f>_xlfn.XLOOKUP(C959,Raw_Data_Transaksi!$A$1:$A$1001,Raw_Data_Transaksi!$D$1:$D$1001,,0)</f>
        <v>PRD-110</v>
      </c>
      <c r="B959" t="str">
        <f>_xlfn.XLOOKUP(C959,Raw_Data_Transaksi!$A$1:$A$1001,Raw_Data_Transaksi!$C$1:$C$1001,,0)</f>
        <v>SLS-02</v>
      </c>
      <c r="C959" s="6" t="s">
        <v>1043</v>
      </c>
      <c r="D959" s="7">
        <v>45823</v>
      </c>
      <c r="E959" s="10" t="str">
        <f>VLOOKUP(B959,Master_Sales!$A$1:$D$9,2,FALSE)</f>
        <v>Budi Santoso</v>
      </c>
      <c r="F959" s="10" t="str">
        <f>INDEX(Master_Sales!$D$1:$D$9,MATCH(Lembar_Kerja_Analisis!B959,Master_Sales!$A$1:$A$9,0))</f>
        <v>Timur</v>
      </c>
      <c r="G959" s="10" t="str">
        <f>INDEX(Master_Sales!$C$1:$C$9,MATCH(Lembar_Kerja_Analisis!B959,Master_Sales!$A$1:$A$9,0))</f>
        <v>Surabaya</v>
      </c>
      <c r="H959" s="10" t="str">
        <f>VLOOKUP(A959,Master_Produk!$A$1:$E$16,2,FALSE)</f>
        <v>Minyak Goreng Sawit 2L</v>
      </c>
      <c r="I959" s="10" t="str">
        <f>INDEX(Master_Produk!$C$1:$C$16,MATCH(Lembar_Kerja_Analisis!A959,Master_Produk!$A$1:$A$16,0))</f>
        <v>F&amp;B</v>
      </c>
      <c r="J959" s="19">
        <f>_xlfn.XLOOKUP(A959,Master_Produk!$A$1:$A$16,Master_Produk!$D$1:$D$16,,0)</f>
        <v>36000</v>
      </c>
      <c r="K959" s="19">
        <f>INDEX(Master_Produk!$E$1:$E$16,MATCH(Lembar_Kerja_Analisis!A959,Master_Produk!$A$1:$A$16,0))</f>
        <v>31000</v>
      </c>
      <c r="L959" s="8">
        <v>6</v>
      </c>
      <c r="M959" s="19">
        <f t="shared" si="70"/>
        <v>216000</v>
      </c>
      <c r="N959" s="9">
        <v>0.05</v>
      </c>
      <c r="O959" s="19">
        <f t="shared" si="71"/>
        <v>10800</v>
      </c>
      <c r="P959" s="19">
        <f t="shared" si="72"/>
        <v>205200</v>
      </c>
      <c r="Q959" s="19">
        <f t="shared" si="73"/>
        <v>186000</v>
      </c>
      <c r="R959" s="19">
        <f t="shared" si="74"/>
        <v>19200</v>
      </c>
    </row>
    <row r="960" spans="1:18" x14ac:dyDescent="0.25">
      <c r="A960" t="str">
        <f>_xlfn.XLOOKUP(C960,Raw_Data_Transaksi!$A$1:$A$1001,Raw_Data_Transaksi!$D$1:$D$1001,,0)</f>
        <v>PRD-110</v>
      </c>
      <c r="B960" t="str">
        <f>_xlfn.XLOOKUP(C960,Raw_Data_Transaksi!$A$1:$A$1001,Raw_Data_Transaksi!$C$1:$C$1001,,0)</f>
        <v>SLS-05</v>
      </c>
      <c r="C960" s="6" t="s">
        <v>1044</v>
      </c>
      <c r="D960" s="7">
        <v>45743</v>
      </c>
      <c r="E960" s="10" t="str">
        <f>VLOOKUP(B960,Master_Sales!$A$1:$D$9,2,FALSE)</f>
        <v>Eko Prasetyo</v>
      </c>
      <c r="F960" s="10" t="str">
        <f>INDEX(Master_Sales!$D$1:$D$9,MATCH(Lembar_Kerja_Analisis!B960,Master_Sales!$A$1:$A$9,0))</f>
        <v>Tengah</v>
      </c>
      <c r="G960" s="10" t="str">
        <f>INDEX(Master_Sales!$C$1:$C$9,MATCH(Lembar_Kerja_Analisis!B960,Master_Sales!$A$1:$A$9,0))</f>
        <v>Semarang</v>
      </c>
      <c r="H960" s="10" t="str">
        <f>VLOOKUP(A960,Master_Produk!$A$1:$E$16,2,FALSE)</f>
        <v>Minyak Goreng Sawit 2L</v>
      </c>
      <c r="I960" s="10" t="str">
        <f>INDEX(Master_Produk!$C$1:$C$16,MATCH(Lembar_Kerja_Analisis!A960,Master_Produk!$A$1:$A$16,0))</f>
        <v>F&amp;B</v>
      </c>
      <c r="J960" s="19">
        <f>_xlfn.XLOOKUP(A960,Master_Produk!$A$1:$A$16,Master_Produk!$D$1:$D$16,,0)</f>
        <v>36000</v>
      </c>
      <c r="K960" s="19">
        <f>INDEX(Master_Produk!$E$1:$E$16,MATCH(Lembar_Kerja_Analisis!A960,Master_Produk!$A$1:$A$16,0))</f>
        <v>31000</v>
      </c>
      <c r="L960" s="8">
        <v>16</v>
      </c>
      <c r="M960" s="19">
        <f t="shared" si="70"/>
        <v>576000</v>
      </c>
      <c r="N960" s="9">
        <v>0.05</v>
      </c>
      <c r="O960" s="19">
        <f t="shared" si="71"/>
        <v>28800</v>
      </c>
      <c r="P960" s="19">
        <f t="shared" si="72"/>
        <v>547200</v>
      </c>
      <c r="Q960" s="19">
        <f t="shared" si="73"/>
        <v>496000</v>
      </c>
      <c r="R960" s="19">
        <f t="shared" si="74"/>
        <v>51200</v>
      </c>
    </row>
    <row r="961" spans="1:18" x14ac:dyDescent="0.25">
      <c r="A961" t="str">
        <f>_xlfn.XLOOKUP(C961,Raw_Data_Transaksi!$A$1:$A$1001,Raw_Data_Transaksi!$D$1:$D$1001,,0)</f>
        <v>PRD-104</v>
      </c>
      <c r="B961" t="str">
        <f>_xlfn.XLOOKUP(C961,Raw_Data_Transaksi!$A$1:$A$1001,Raw_Data_Transaksi!$C$1:$C$1001,,0)</f>
        <v>SLS-05</v>
      </c>
      <c r="C961" s="6" t="s">
        <v>1045</v>
      </c>
      <c r="D961" s="7">
        <v>45932</v>
      </c>
      <c r="E961" s="10" t="str">
        <f>VLOOKUP(B961,Master_Sales!$A$1:$D$9,2,FALSE)</f>
        <v>Eko Prasetyo</v>
      </c>
      <c r="F961" s="10" t="str">
        <f>INDEX(Master_Sales!$D$1:$D$9,MATCH(Lembar_Kerja_Analisis!B961,Master_Sales!$A$1:$A$9,0))</f>
        <v>Tengah</v>
      </c>
      <c r="G961" s="10" t="str">
        <f>INDEX(Master_Sales!$C$1:$C$9,MATCH(Lembar_Kerja_Analisis!B961,Master_Sales!$A$1:$A$9,0))</f>
        <v>Semarang</v>
      </c>
      <c r="H961" s="10" t="str">
        <f>VLOOKUP(A961,Master_Produk!$A$1:$E$16,2,FALSE)</f>
        <v>Monitor 24" FHD 144Hz</v>
      </c>
      <c r="I961" s="10" t="str">
        <f>INDEX(Master_Produk!$C$1:$C$16,MATCH(Lembar_Kerja_Analisis!A961,Master_Produk!$A$1:$A$16,0))</f>
        <v>Elektronik</v>
      </c>
      <c r="J961" s="19">
        <f>_xlfn.XLOOKUP(A961,Master_Produk!$A$1:$A$16,Master_Produk!$D$1:$D$16,,0)</f>
        <v>1950000</v>
      </c>
      <c r="K961" s="19">
        <f>INDEX(Master_Produk!$E$1:$E$16,MATCH(Lembar_Kerja_Analisis!A961,Master_Produk!$A$1:$A$16,0))</f>
        <v>1500000</v>
      </c>
      <c r="L961" s="8">
        <v>5</v>
      </c>
      <c r="M961" s="19">
        <f t="shared" si="70"/>
        <v>9750000</v>
      </c>
      <c r="N961" s="9">
        <v>0</v>
      </c>
      <c r="O961" s="19">
        <f t="shared" si="71"/>
        <v>0</v>
      </c>
      <c r="P961" s="19">
        <f t="shared" si="72"/>
        <v>9750000</v>
      </c>
      <c r="Q961" s="19">
        <f t="shared" si="73"/>
        <v>7500000</v>
      </c>
      <c r="R961" s="19">
        <f t="shared" si="74"/>
        <v>2250000</v>
      </c>
    </row>
    <row r="962" spans="1:18" x14ac:dyDescent="0.25">
      <c r="A962" t="str">
        <f>_xlfn.XLOOKUP(C962,Raw_Data_Transaksi!$A$1:$A$1001,Raw_Data_Transaksi!$D$1:$D$1001,,0)</f>
        <v>PRD-110</v>
      </c>
      <c r="B962" t="str">
        <f>_xlfn.XLOOKUP(C962,Raw_Data_Transaksi!$A$1:$A$1001,Raw_Data_Transaksi!$C$1:$C$1001,,0)</f>
        <v>SLS-02</v>
      </c>
      <c r="C962" s="6" t="s">
        <v>1046</v>
      </c>
      <c r="D962" s="7">
        <v>45773</v>
      </c>
      <c r="E962" s="10" t="str">
        <f>VLOOKUP(B962,Master_Sales!$A$1:$D$9,2,FALSE)</f>
        <v>Budi Santoso</v>
      </c>
      <c r="F962" s="10" t="str">
        <f>INDEX(Master_Sales!$D$1:$D$9,MATCH(Lembar_Kerja_Analisis!B962,Master_Sales!$A$1:$A$9,0))</f>
        <v>Timur</v>
      </c>
      <c r="G962" s="10" t="str">
        <f>INDEX(Master_Sales!$C$1:$C$9,MATCH(Lembar_Kerja_Analisis!B962,Master_Sales!$A$1:$A$9,0))</f>
        <v>Surabaya</v>
      </c>
      <c r="H962" s="10" t="str">
        <f>VLOOKUP(A962,Master_Produk!$A$1:$E$16,2,FALSE)</f>
        <v>Minyak Goreng Sawit 2L</v>
      </c>
      <c r="I962" s="10" t="str">
        <f>INDEX(Master_Produk!$C$1:$C$16,MATCH(Lembar_Kerja_Analisis!A962,Master_Produk!$A$1:$A$16,0))</f>
        <v>F&amp;B</v>
      </c>
      <c r="J962" s="19">
        <f>_xlfn.XLOOKUP(A962,Master_Produk!$A$1:$A$16,Master_Produk!$D$1:$D$16,,0)</f>
        <v>36000</v>
      </c>
      <c r="K962" s="19">
        <f>INDEX(Master_Produk!$E$1:$E$16,MATCH(Lembar_Kerja_Analisis!A962,Master_Produk!$A$1:$A$16,0))</f>
        <v>31000</v>
      </c>
      <c r="L962" s="8">
        <v>30</v>
      </c>
      <c r="M962" s="19">
        <f t="shared" si="70"/>
        <v>1080000</v>
      </c>
      <c r="N962" s="9">
        <v>0.2</v>
      </c>
      <c r="O962" s="19">
        <f t="shared" si="71"/>
        <v>216000</v>
      </c>
      <c r="P962" s="19">
        <f t="shared" si="72"/>
        <v>864000</v>
      </c>
      <c r="Q962" s="19">
        <f t="shared" si="73"/>
        <v>930000</v>
      </c>
      <c r="R962" s="19">
        <f t="shared" si="74"/>
        <v>-66000</v>
      </c>
    </row>
    <row r="963" spans="1:18" x14ac:dyDescent="0.25">
      <c r="A963" t="str">
        <f>_xlfn.XLOOKUP(C963,Raw_Data_Transaksi!$A$1:$A$1001,Raw_Data_Transaksi!$D$1:$D$1001,,0)</f>
        <v>PRD-102</v>
      </c>
      <c r="B963" t="str">
        <f>_xlfn.XLOOKUP(C963,Raw_Data_Transaksi!$A$1:$A$1001,Raw_Data_Transaksi!$C$1:$C$1001,,0)</f>
        <v>SLS-08</v>
      </c>
      <c r="C963" s="6" t="s">
        <v>1047</v>
      </c>
      <c r="D963" s="7">
        <v>45797</v>
      </c>
      <c r="E963" s="10" t="str">
        <f>VLOOKUP(B963,Master_Sales!$A$1:$D$9,2,FALSE)</f>
        <v>Hendra Wijaya</v>
      </c>
      <c r="F963" s="10" t="str">
        <f>INDEX(Master_Sales!$D$1:$D$9,MATCH(Lembar_Kerja_Analisis!B963,Master_Sales!$A$1:$A$9,0))</f>
        <v>Tengah</v>
      </c>
      <c r="G963" s="10" t="str">
        <f>INDEX(Master_Sales!$C$1:$C$9,MATCH(Lembar_Kerja_Analisis!B963,Master_Sales!$A$1:$A$9,0))</f>
        <v>Yogyakarta</v>
      </c>
      <c r="H963" s="10" t="str">
        <f>VLOOKUP(A963,Master_Produk!$A$1:$E$16,2,FALSE)</f>
        <v>Wireless Mouse Ergonomic</v>
      </c>
      <c r="I963" s="10" t="str">
        <f>INDEX(Master_Produk!$C$1:$C$16,MATCH(Lembar_Kerja_Analisis!A963,Master_Produk!$A$1:$A$16,0))</f>
        <v>Elektronik</v>
      </c>
      <c r="J963" s="19">
        <f>_xlfn.XLOOKUP(A963,Master_Produk!$A$1:$A$16,Master_Produk!$D$1:$D$16,,0)</f>
        <v>250000</v>
      </c>
      <c r="K963" s="19">
        <f>INDEX(Master_Produk!$E$1:$E$16,MATCH(Lembar_Kerja_Analisis!A963,Master_Produk!$A$1:$A$16,0))</f>
        <v>160000</v>
      </c>
      <c r="L963" s="8">
        <v>7</v>
      </c>
      <c r="M963" s="19">
        <f t="shared" ref="M963:M1001" si="75">L963*J963</f>
        <v>1750000</v>
      </c>
      <c r="N963" s="9">
        <v>0.05</v>
      </c>
      <c r="O963" s="19">
        <f t="shared" ref="O963:O1001" si="76">M963*N963</f>
        <v>87500</v>
      </c>
      <c r="P963" s="19">
        <f t="shared" ref="P963:P1001" si="77">M963-O963</f>
        <v>1662500</v>
      </c>
      <c r="Q963" s="19">
        <f t="shared" ref="Q963:Q1001" si="78">L963*K963</f>
        <v>1120000</v>
      </c>
      <c r="R963" s="19">
        <f t="shared" ref="R963:R1001" si="79">P963-Q963</f>
        <v>542500</v>
      </c>
    </row>
    <row r="964" spans="1:18" x14ac:dyDescent="0.25">
      <c r="A964" t="str">
        <f>_xlfn.XLOOKUP(C964,Raw_Data_Transaksi!$A$1:$A$1001,Raw_Data_Transaksi!$D$1:$D$1001,,0)</f>
        <v>PRD-113</v>
      </c>
      <c r="B964" t="str">
        <f>_xlfn.XLOOKUP(C964,Raw_Data_Transaksi!$A$1:$A$1001,Raw_Data_Transaksi!$C$1:$C$1001,,0)</f>
        <v>SLS-05</v>
      </c>
      <c r="C964" s="6" t="s">
        <v>1048</v>
      </c>
      <c r="D964" s="7">
        <v>45916</v>
      </c>
      <c r="E964" s="10" t="str">
        <f>VLOOKUP(B964,Master_Sales!$A$1:$D$9,2,FALSE)</f>
        <v>Eko Prasetyo</v>
      </c>
      <c r="F964" s="10" t="str">
        <f>INDEX(Master_Sales!$D$1:$D$9,MATCH(Lembar_Kerja_Analisis!B964,Master_Sales!$A$1:$A$9,0))</f>
        <v>Tengah</v>
      </c>
      <c r="G964" s="10" t="str">
        <f>INDEX(Master_Sales!$C$1:$C$9,MATCH(Lembar_Kerja_Analisis!B964,Master_Sales!$A$1:$A$9,0))</f>
        <v>Semarang</v>
      </c>
      <c r="H964" s="10" t="str">
        <f>VLOOKUP(A964,Master_Produk!$A$1:$E$16,2,FALSE)</f>
        <v>Wajan Anti Lengket 28cm</v>
      </c>
      <c r="I964" s="10" t="str">
        <f>INDEX(Master_Produk!$C$1:$C$16,MATCH(Lembar_Kerja_Analisis!A964,Master_Produk!$A$1:$A$16,0))</f>
        <v>Peralatan Rumah</v>
      </c>
      <c r="J964" s="19">
        <f>_xlfn.XLOOKUP(A964,Master_Produk!$A$1:$A$16,Master_Produk!$D$1:$D$16,,0)</f>
        <v>210000</v>
      </c>
      <c r="K964" s="19">
        <f>INDEX(Master_Produk!$E$1:$E$16,MATCH(Lembar_Kerja_Analisis!A964,Master_Produk!$A$1:$A$16,0))</f>
        <v>140000</v>
      </c>
      <c r="L964" s="8">
        <v>7</v>
      </c>
      <c r="M964" s="19">
        <f t="shared" si="75"/>
        <v>1470000</v>
      </c>
      <c r="N964" s="9">
        <v>0.2</v>
      </c>
      <c r="O964" s="19">
        <f t="shared" si="76"/>
        <v>294000</v>
      </c>
      <c r="P964" s="19">
        <f t="shared" si="77"/>
        <v>1176000</v>
      </c>
      <c r="Q964" s="19">
        <f t="shared" si="78"/>
        <v>980000</v>
      </c>
      <c r="R964" s="19">
        <f t="shared" si="79"/>
        <v>196000</v>
      </c>
    </row>
    <row r="965" spans="1:18" x14ac:dyDescent="0.25">
      <c r="A965" t="str">
        <f>_xlfn.XLOOKUP(C965,Raw_Data_Transaksi!$A$1:$A$1001,Raw_Data_Transaksi!$D$1:$D$1001,,0)</f>
        <v>PRD-105</v>
      </c>
      <c r="B965" t="str">
        <f>_xlfn.XLOOKUP(C965,Raw_Data_Transaksi!$A$1:$A$1001,Raw_Data_Transaksi!$C$1:$C$1001,,0)</f>
        <v>SLS-08</v>
      </c>
      <c r="C965" s="6" t="s">
        <v>1049</v>
      </c>
      <c r="D965" s="7">
        <v>45863</v>
      </c>
      <c r="E965" s="10" t="str">
        <f>VLOOKUP(B965,Master_Sales!$A$1:$D$9,2,FALSE)</f>
        <v>Hendra Wijaya</v>
      </c>
      <c r="F965" s="10" t="str">
        <f>INDEX(Master_Sales!$D$1:$D$9,MATCH(Lembar_Kerja_Analisis!B965,Master_Sales!$A$1:$A$9,0))</f>
        <v>Tengah</v>
      </c>
      <c r="G965" s="10" t="str">
        <f>INDEX(Master_Sales!$C$1:$C$9,MATCH(Lembar_Kerja_Analisis!B965,Master_Sales!$A$1:$A$9,0))</f>
        <v>Yogyakarta</v>
      </c>
      <c r="H965" s="10" t="str">
        <f>VLOOKUP(A965,Master_Produk!$A$1:$E$16,2,FALSE)</f>
        <v>Kemeja Batik Katun Premium</v>
      </c>
      <c r="I965" s="10" t="str">
        <f>INDEX(Master_Produk!$C$1:$C$16,MATCH(Lembar_Kerja_Analisis!A965,Master_Produk!$A$1:$A$16,0))</f>
        <v>Fashion</v>
      </c>
      <c r="J965" s="19">
        <f>_xlfn.XLOOKUP(A965,Master_Produk!$A$1:$A$16,Master_Produk!$D$1:$D$16,,0)</f>
        <v>320000</v>
      </c>
      <c r="K965" s="19">
        <f>INDEX(Master_Produk!$E$1:$E$16,MATCH(Lembar_Kerja_Analisis!A965,Master_Produk!$A$1:$A$16,0))</f>
        <v>190000</v>
      </c>
      <c r="L965" s="8">
        <v>11</v>
      </c>
      <c r="M965" s="19">
        <f t="shared" si="75"/>
        <v>3520000</v>
      </c>
      <c r="N965" s="9">
        <v>0.2</v>
      </c>
      <c r="O965" s="19">
        <f t="shared" si="76"/>
        <v>704000</v>
      </c>
      <c r="P965" s="19">
        <f t="shared" si="77"/>
        <v>2816000</v>
      </c>
      <c r="Q965" s="19">
        <f t="shared" si="78"/>
        <v>2090000</v>
      </c>
      <c r="R965" s="19">
        <f t="shared" si="79"/>
        <v>726000</v>
      </c>
    </row>
    <row r="966" spans="1:18" x14ac:dyDescent="0.25">
      <c r="A966" t="str">
        <f>_xlfn.XLOOKUP(C966,Raw_Data_Transaksi!$A$1:$A$1001,Raw_Data_Transaksi!$D$1:$D$1001,,0)</f>
        <v>PRD-108</v>
      </c>
      <c r="B966" t="str">
        <f>_xlfn.XLOOKUP(C966,Raw_Data_Transaksi!$A$1:$A$1001,Raw_Data_Transaksi!$C$1:$C$1001,,0)</f>
        <v>SLS-04</v>
      </c>
      <c r="C966" s="6" t="s">
        <v>1050</v>
      </c>
      <c r="D966" s="7">
        <v>45953</v>
      </c>
      <c r="E966" s="10" t="str">
        <f>VLOOKUP(B966,Master_Sales!$A$1:$D$9,2,FALSE)</f>
        <v>Dewi Anggraini</v>
      </c>
      <c r="F966" s="10" t="str">
        <f>INDEX(Master_Sales!$D$1:$D$9,MATCH(Lembar_Kerja_Analisis!B966,Master_Sales!$A$1:$A$9,0))</f>
        <v>Barat</v>
      </c>
      <c r="G966" s="10" t="str">
        <f>INDEX(Master_Sales!$C$1:$C$9,MATCH(Lembar_Kerja_Analisis!B966,Master_Sales!$A$1:$A$9,0))</f>
        <v>Medan</v>
      </c>
      <c r="H966" s="10" t="str">
        <f>VLOOKUP(A966,Master_Produk!$A$1:$E$16,2,FALSE)</f>
        <v>Sepatu Sneakers Pria/Wanita</v>
      </c>
      <c r="I966" s="10" t="str">
        <f>INDEX(Master_Produk!$C$1:$C$16,MATCH(Lembar_Kerja_Analisis!A966,Master_Produk!$A$1:$A$16,0))</f>
        <v>Fashion</v>
      </c>
      <c r="J966" s="19">
        <f>_xlfn.XLOOKUP(A966,Master_Produk!$A$1:$A$16,Master_Produk!$D$1:$D$16,,0)</f>
        <v>450000</v>
      </c>
      <c r="K966" s="19">
        <f>INDEX(Master_Produk!$E$1:$E$16,MATCH(Lembar_Kerja_Analisis!A966,Master_Produk!$A$1:$A$16,0))</f>
        <v>290000</v>
      </c>
      <c r="L966" s="8">
        <v>11</v>
      </c>
      <c r="M966" s="19">
        <f t="shared" si="75"/>
        <v>4950000</v>
      </c>
      <c r="N966" s="9">
        <v>0.15</v>
      </c>
      <c r="O966" s="19">
        <f t="shared" si="76"/>
        <v>742500</v>
      </c>
      <c r="P966" s="19">
        <f t="shared" si="77"/>
        <v>4207500</v>
      </c>
      <c r="Q966" s="19">
        <f t="shared" si="78"/>
        <v>3190000</v>
      </c>
      <c r="R966" s="19">
        <f t="shared" si="79"/>
        <v>1017500</v>
      </c>
    </row>
    <row r="967" spans="1:18" x14ac:dyDescent="0.25">
      <c r="A967" t="str">
        <f>_xlfn.XLOOKUP(C967,Raw_Data_Transaksi!$A$1:$A$1001,Raw_Data_Transaksi!$D$1:$D$1001,,0)</f>
        <v>PRD-112</v>
      </c>
      <c r="B967" t="str">
        <f>_xlfn.XLOOKUP(C967,Raw_Data_Transaksi!$A$1:$A$1001,Raw_Data_Transaksi!$C$1:$C$1001,,0)</f>
        <v>SLS-01</v>
      </c>
      <c r="C967" s="6" t="s">
        <v>1051</v>
      </c>
      <c r="D967" s="7">
        <v>45947</v>
      </c>
      <c r="E967" s="10" t="str">
        <f>VLOOKUP(B967,Master_Sales!$A$1:$D$9,2,FALSE)</f>
        <v>Andi Pratama</v>
      </c>
      <c r="F967" s="10" t="str">
        <f>INDEX(Master_Sales!$D$1:$D$9,MATCH(Lembar_Kerja_Analisis!B967,Master_Sales!$A$1:$A$9,0))</f>
        <v>Barat</v>
      </c>
      <c r="G967" s="10" t="str">
        <f>INDEX(Master_Sales!$C$1:$C$9,MATCH(Lembar_Kerja_Analisis!B967,Master_Sales!$A$1:$A$9,0))</f>
        <v>Jakarta</v>
      </c>
      <c r="H967" s="10" t="str">
        <f>VLOOKUP(A967,Master_Produk!$A$1:$E$16,2,FALSE)</f>
        <v>Susu UHT Full Cream 1L</v>
      </c>
      <c r="I967" s="10" t="str">
        <f>INDEX(Master_Produk!$C$1:$C$16,MATCH(Lembar_Kerja_Analisis!A967,Master_Produk!$A$1:$A$16,0))</f>
        <v>F&amp;B</v>
      </c>
      <c r="J967" s="19">
        <f>_xlfn.XLOOKUP(A967,Master_Produk!$A$1:$A$16,Master_Produk!$D$1:$D$16,,0)</f>
        <v>22000</v>
      </c>
      <c r="K967" s="19">
        <f>INDEX(Master_Produk!$E$1:$E$16,MATCH(Lembar_Kerja_Analisis!A967,Master_Produk!$A$1:$A$16,0))</f>
        <v>18000</v>
      </c>
      <c r="L967" s="8">
        <v>9</v>
      </c>
      <c r="M967" s="19">
        <f t="shared" si="75"/>
        <v>198000</v>
      </c>
      <c r="N967" s="9">
        <v>0.1</v>
      </c>
      <c r="O967" s="19">
        <f t="shared" si="76"/>
        <v>19800</v>
      </c>
      <c r="P967" s="19">
        <f t="shared" si="77"/>
        <v>178200</v>
      </c>
      <c r="Q967" s="19">
        <f t="shared" si="78"/>
        <v>162000</v>
      </c>
      <c r="R967" s="19">
        <f t="shared" si="79"/>
        <v>16200</v>
      </c>
    </row>
    <row r="968" spans="1:18" x14ac:dyDescent="0.25">
      <c r="A968" t="str">
        <f>_xlfn.XLOOKUP(C968,Raw_Data_Transaksi!$A$1:$A$1001,Raw_Data_Transaksi!$D$1:$D$1001,,0)</f>
        <v>PRD-112</v>
      </c>
      <c r="B968" t="str">
        <f>_xlfn.XLOOKUP(C968,Raw_Data_Transaksi!$A$1:$A$1001,Raw_Data_Transaksi!$C$1:$C$1001,,0)</f>
        <v>SLS-05</v>
      </c>
      <c r="C968" s="6" t="s">
        <v>1052</v>
      </c>
      <c r="D968" s="7">
        <v>45735</v>
      </c>
      <c r="E968" s="10" t="str">
        <f>VLOOKUP(B968,Master_Sales!$A$1:$D$9,2,FALSE)</f>
        <v>Eko Prasetyo</v>
      </c>
      <c r="F968" s="10" t="str">
        <f>INDEX(Master_Sales!$D$1:$D$9,MATCH(Lembar_Kerja_Analisis!B968,Master_Sales!$A$1:$A$9,0))</f>
        <v>Tengah</v>
      </c>
      <c r="G968" s="10" t="str">
        <f>INDEX(Master_Sales!$C$1:$C$9,MATCH(Lembar_Kerja_Analisis!B968,Master_Sales!$A$1:$A$9,0))</f>
        <v>Semarang</v>
      </c>
      <c r="H968" s="10" t="str">
        <f>VLOOKUP(A968,Master_Produk!$A$1:$E$16,2,FALSE)</f>
        <v>Susu UHT Full Cream 1L</v>
      </c>
      <c r="I968" s="10" t="str">
        <f>INDEX(Master_Produk!$C$1:$C$16,MATCH(Lembar_Kerja_Analisis!A968,Master_Produk!$A$1:$A$16,0))</f>
        <v>F&amp;B</v>
      </c>
      <c r="J968" s="19">
        <f>_xlfn.XLOOKUP(A968,Master_Produk!$A$1:$A$16,Master_Produk!$D$1:$D$16,,0)</f>
        <v>22000</v>
      </c>
      <c r="K968" s="19">
        <f>INDEX(Master_Produk!$E$1:$E$16,MATCH(Lembar_Kerja_Analisis!A968,Master_Produk!$A$1:$A$16,0))</f>
        <v>18000</v>
      </c>
      <c r="L968" s="8">
        <v>16</v>
      </c>
      <c r="M968" s="19">
        <f t="shared" si="75"/>
        <v>352000</v>
      </c>
      <c r="N968" s="9">
        <v>0.1</v>
      </c>
      <c r="O968" s="19">
        <f t="shared" si="76"/>
        <v>35200</v>
      </c>
      <c r="P968" s="19">
        <f t="shared" si="77"/>
        <v>316800</v>
      </c>
      <c r="Q968" s="19">
        <f t="shared" si="78"/>
        <v>288000</v>
      </c>
      <c r="R968" s="19">
        <f t="shared" si="79"/>
        <v>28800</v>
      </c>
    </row>
    <row r="969" spans="1:18" x14ac:dyDescent="0.25">
      <c r="A969" t="str">
        <f>_xlfn.XLOOKUP(C969,Raw_Data_Transaksi!$A$1:$A$1001,Raw_Data_Transaksi!$D$1:$D$1001,,0)</f>
        <v>PRD-105</v>
      </c>
      <c r="B969" t="str">
        <f>_xlfn.XLOOKUP(C969,Raw_Data_Transaksi!$A$1:$A$1001,Raw_Data_Transaksi!$C$1:$C$1001,,0)</f>
        <v>SLS-05</v>
      </c>
      <c r="C969" s="6" t="s">
        <v>1053</v>
      </c>
      <c r="D969" s="7">
        <v>45869</v>
      </c>
      <c r="E969" s="10" t="str">
        <f>VLOOKUP(B969,Master_Sales!$A$1:$D$9,2,FALSE)</f>
        <v>Eko Prasetyo</v>
      </c>
      <c r="F969" s="10" t="str">
        <f>INDEX(Master_Sales!$D$1:$D$9,MATCH(Lembar_Kerja_Analisis!B969,Master_Sales!$A$1:$A$9,0))</f>
        <v>Tengah</v>
      </c>
      <c r="G969" s="10" t="str">
        <f>INDEX(Master_Sales!$C$1:$C$9,MATCH(Lembar_Kerja_Analisis!B969,Master_Sales!$A$1:$A$9,0))</f>
        <v>Semarang</v>
      </c>
      <c r="H969" s="10" t="str">
        <f>VLOOKUP(A969,Master_Produk!$A$1:$E$16,2,FALSE)</f>
        <v>Kemeja Batik Katun Premium</v>
      </c>
      <c r="I969" s="10" t="str">
        <f>INDEX(Master_Produk!$C$1:$C$16,MATCH(Lembar_Kerja_Analisis!A969,Master_Produk!$A$1:$A$16,0))</f>
        <v>Fashion</v>
      </c>
      <c r="J969" s="19">
        <f>_xlfn.XLOOKUP(A969,Master_Produk!$A$1:$A$16,Master_Produk!$D$1:$D$16,,0)</f>
        <v>320000</v>
      </c>
      <c r="K969" s="19">
        <f>INDEX(Master_Produk!$E$1:$E$16,MATCH(Lembar_Kerja_Analisis!A969,Master_Produk!$A$1:$A$16,0))</f>
        <v>190000</v>
      </c>
      <c r="L969" s="8">
        <v>11</v>
      </c>
      <c r="M969" s="19">
        <f t="shared" si="75"/>
        <v>3520000</v>
      </c>
      <c r="N969" s="9">
        <v>0.05</v>
      </c>
      <c r="O969" s="19">
        <f t="shared" si="76"/>
        <v>176000</v>
      </c>
      <c r="P969" s="19">
        <f t="shared" si="77"/>
        <v>3344000</v>
      </c>
      <c r="Q969" s="19">
        <f t="shared" si="78"/>
        <v>2090000</v>
      </c>
      <c r="R969" s="19">
        <f t="shared" si="79"/>
        <v>1254000</v>
      </c>
    </row>
    <row r="970" spans="1:18" x14ac:dyDescent="0.25">
      <c r="A970" t="str">
        <f>_xlfn.XLOOKUP(C970,Raw_Data_Transaksi!$A$1:$A$1001,Raw_Data_Transaksi!$D$1:$D$1001,,0)</f>
        <v>PRD-104</v>
      </c>
      <c r="B970" t="str">
        <f>_xlfn.XLOOKUP(C970,Raw_Data_Transaksi!$A$1:$A$1001,Raw_Data_Transaksi!$C$1:$C$1001,,0)</f>
        <v>SLS-02</v>
      </c>
      <c r="C970" s="6" t="s">
        <v>1054</v>
      </c>
      <c r="D970" s="7">
        <v>45865</v>
      </c>
      <c r="E970" s="10" t="str">
        <f>VLOOKUP(B970,Master_Sales!$A$1:$D$9,2,FALSE)</f>
        <v>Budi Santoso</v>
      </c>
      <c r="F970" s="10" t="str">
        <f>INDEX(Master_Sales!$D$1:$D$9,MATCH(Lembar_Kerja_Analisis!B970,Master_Sales!$A$1:$A$9,0))</f>
        <v>Timur</v>
      </c>
      <c r="G970" s="10" t="str">
        <f>INDEX(Master_Sales!$C$1:$C$9,MATCH(Lembar_Kerja_Analisis!B970,Master_Sales!$A$1:$A$9,0))</f>
        <v>Surabaya</v>
      </c>
      <c r="H970" s="10" t="str">
        <f>VLOOKUP(A970,Master_Produk!$A$1:$E$16,2,FALSE)</f>
        <v>Monitor 24" FHD 144Hz</v>
      </c>
      <c r="I970" s="10" t="str">
        <f>INDEX(Master_Produk!$C$1:$C$16,MATCH(Lembar_Kerja_Analisis!A970,Master_Produk!$A$1:$A$16,0))</f>
        <v>Elektronik</v>
      </c>
      <c r="J970" s="19">
        <f>_xlfn.XLOOKUP(A970,Master_Produk!$A$1:$A$16,Master_Produk!$D$1:$D$16,,0)</f>
        <v>1950000</v>
      </c>
      <c r="K970" s="19">
        <f>INDEX(Master_Produk!$E$1:$E$16,MATCH(Lembar_Kerja_Analisis!A970,Master_Produk!$A$1:$A$16,0))</f>
        <v>1500000</v>
      </c>
      <c r="L970" s="8">
        <v>3</v>
      </c>
      <c r="M970" s="19">
        <f t="shared" si="75"/>
        <v>5850000</v>
      </c>
      <c r="N970" s="9">
        <v>0.05</v>
      </c>
      <c r="O970" s="19">
        <f t="shared" si="76"/>
        <v>292500</v>
      </c>
      <c r="P970" s="19">
        <f t="shared" si="77"/>
        <v>5557500</v>
      </c>
      <c r="Q970" s="19">
        <f t="shared" si="78"/>
        <v>4500000</v>
      </c>
      <c r="R970" s="19">
        <f t="shared" si="79"/>
        <v>1057500</v>
      </c>
    </row>
    <row r="971" spans="1:18" x14ac:dyDescent="0.25">
      <c r="A971" t="str">
        <f>_xlfn.XLOOKUP(C971,Raw_Data_Transaksi!$A$1:$A$1001,Raw_Data_Transaksi!$D$1:$D$1001,,0)</f>
        <v>PRD-108</v>
      </c>
      <c r="B971" t="str">
        <f>_xlfn.XLOOKUP(C971,Raw_Data_Transaksi!$A$1:$A$1001,Raw_Data_Transaksi!$C$1:$C$1001,,0)</f>
        <v>SLS-07</v>
      </c>
      <c r="C971" s="6" t="s">
        <v>1055</v>
      </c>
      <c r="D971" s="7">
        <v>45895</v>
      </c>
      <c r="E971" s="10" t="str">
        <f>VLOOKUP(B971,Master_Sales!$A$1:$D$9,2,FALSE)</f>
        <v>Gita Permata</v>
      </c>
      <c r="F971" s="10" t="str">
        <f>INDEX(Master_Sales!$D$1:$D$9,MATCH(Lembar_Kerja_Analisis!B971,Master_Sales!$A$1:$A$9,0))</f>
        <v>Tengah</v>
      </c>
      <c r="G971" s="10" t="str">
        <f>INDEX(Master_Sales!$C$1:$C$9,MATCH(Lembar_Kerja_Analisis!B971,Master_Sales!$A$1:$A$9,0))</f>
        <v>Denpasar</v>
      </c>
      <c r="H971" s="10" t="str">
        <f>VLOOKUP(A971,Master_Produk!$A$1:$E$16,2,FALSE)</f>
        <v>Sepatu Sneakers Pria/Wanita</v>
      </c>
      <c r="I971" s="10" t="str">
        <f>INDEX(Master_Produk!$C$1:$C$16,MATCH(Lembar_Kerja_Analisis!A971,Master_Produk!$A$1:$A$16,0))</f>
        <v>Fashion</v>
      </c>
      <c r="J971" s="19">
        <f>_xlfn.XLOOKUP(A971,Master_Produk!$A$1:$A$16,Master_Produk!$D$1:$D$16,,0)</f>
        <v>450000</v>
      </c>
      <c r="K971" s="19">
        <f>INDEX(Master_Produk!$E$1:$E$16,MATCH(Lembar_Kerja_Analisis!A971,Master_Produk!$A$1:$A$16,0))</f>
        <v>290000</v>
      </c>
      <c r="L971" s="8">
        <v>7</v>
      </c>
      <c r="M971" s="19">
        <f t="shared" si="75"/>
        <v>3150000</v>
      </c>
      <c r="N971" s="9">
        <v>0</v>
      </c>
      <c r="O971" s="19">
        <f t="shared" si="76"/>
        <v>0</v>
      </c>
      <c r="P971" s="19">
        <f t="shared" si="77"/>
        <v>3150000</v>
      </c>
      <c r="Q971" s="19">
        <f t="shared" si="78"/>
        <v>2030000</v>
      </c>
      <c r="R971" s="19">
        <f t="shared" si="79"/>
        <v>1120000</v>
      </c>
    </row>
    <row r="972" spans="1:18" x14ac:dyDescent="0.25">
      <c r="A972" t="str">
        <f>_xlfn.XLOOKUP(C972,Raw_Data_Transaksi!$A$1:$A$1001,Raw_Data_Transaksi!$D$1:$D$1001,,0)</f>
        <v>PRD-101</v>
      </c>
      <c r="B972" t="str">
        <f>_xlfn.XLOOKUP(C972,Raw_Data_Transaksi!$A$1:$A$1001,Raw_Data_Transaksi!$C$1:$C$1001,,0)</f>
        <v>SLS-05</v>
      </c>
      <c r="C972" s="6" t="s">
        <v>1056</v>
      </c>
      <c r="D972" s="7">
        <v>45727</v>
      </c>
      <c r="E972" s="10" t="str">
        <f>VLOOKUP(B972,Master_Sales!$A$1:$D$9,2,FALSE)</f>
        <v>Eko Prasetyo</v>
      </c>
      <c r="F972" s="10" t="str">
        <f>INDEX(Master_Sales!$D$1:$D$9,MATCH(Lembar_Kerja_Analisis!B972,Master_Sales!$A$1:$A$9,0))</f>
        <v>Tengah</v>
      </c>
      <c r="G972" s="10" t="str">
        <f>INDEX(Master_Sales!$C$1:$C$9,MATCH(Lembar_Kerja_Analisis!B972,Master_Sales!$A$1:$A$9,0))</f>
        <v>Semarang</v>
      </c>
      <c r="H972" s="10" t="str">
        <f>VLOOKUP(A972,Master_Produk!$A$1:$E$16,2,FALSE)</f>
        <v>Laptop Ultrabook 14"</v>
      </c>
      <c r="I972" s="10" t="str">
        <f>INDEX(Master_Produk!$C$1:$C$16,MATCH(Lembar_Kerja_Analisis!A972,Master_Produk!$A$1:$A$16,0))</f>
        <v>Elektronik</v>
      </c>
      <c r="J972" s="19">
        <f>_xlfn.XLOOKUP(A972,Master_Produk!$A$1:$A$16,Master_Produk!$D$1:$D$16,,0)</f>
        <v>8500000</v>
      </c>
      <c r="K972" s="19">
        <f>INDEX(Master_Produk!$E$1:$E$16,MATCH(Lembar_Kerja_Analisis!A972,Master_Produk!$A$1:$A$16,0))</f>
        <v>7200000</v>
      </c>
      <c r="L972" s="8">
        <v>5</v>
      </c>
      <c r="M972" s="19">
        <f t="shared" si="75"/>
        <v>42500000</v>
      </c>
      <c r="N972" s="9">
        <v>0.2</v>
      </c>
      <c r="O972" s="19">
        <f t="shared" si="76"/>
        <v>8500000</v>
      </c>
      <c r="P972" s="19">
        <f t="shared" si="77"/>
        <v>34000000</v>
      </c>
      <c r="Q972" s="19">
        <f t="shared" si="78"/>
        <v>36000000</v>
      </c>
      <c r="R972" s="19">
        <f t="shared" si="79"/>
        <v>-2000000</v>
      </c>
    </row>
    <row r="973" spans="1:18" x14ac:dyDescent="0.25">
      <c r="A973" t="str">
        <f>_xlfn.XLOOKUP(C973,Raw_Data_Transaksi!$A$1:$A$1001,Raw_Data_Transaksi!$D$1:$D$1001,,0)</f>
        <v>PRD-113</v>
      </c>
      <c r="B973" t="str">
        <f>_xlfn.XLOOKUP(C973,Raw_Data_Transaksi!$A$1:$A$1001,Raw_Data_Transaksi!$C$1:$C$1001,,0)</f>
        <v>SLS-01</v>
      </c>
      <c r="C973" s="6" t="s">
        <v>1057</v>
      </c>
      <c r="D973" s="7">
        <v>45906</v>
      </c>
      <c r="E973" s="10" t="str">
        <f>VLOOKUP(B973,Master_Sales!$A$1:$D$9,2,FALSE)</f>
        <v>Andi Pratama</v>
      </c>
      <c r="F973" s="10" t="str">
        <f>INDEX(Master_Sales!$D$1:$D$9,MATCH(Lembar_Kerja_Analisis!B973,Master_Sales!$A$1:$A$9,0))</f>
        <v>Barat</v>
      </c>
      <c r="G973" s="10" t="str">
        <f>INDEX(Master_Sales!$C$1:$C$9,MATCH(Lembar_Kerja_Analisis!B973,Master_Sales!$A$1:$A$9,0))</f>
        <v>Jakarta</v>
      </c>
      <c r="H973" s="10" t="str">
        <f>VLOOKUP(A973,Master_Produk!$A$1:$E$16,2,FALSE)</f>
        <v>Wajan Anti Lengket 28cm</v>
      </c>
      <c r="I973" s="10" t="str">
        <f>INDEX(Master_Produk!$C$1:$C$16,MATCH(Lembar_Kerja_Analisis!A973,Master_Produk!$A$1:$A$16,0))</f>
        <v>Peralatan Rumah</v>
      </c>
      <c r="J973" s="19">
        <f>_xlfn.XLOOKUP(A973,Master_Produk!$A$1:$A$16,Master_Produk!$D$1:$D$16,,0)</f>
        <v>210000</v>
      </c>
      <c r="K973" s="19">
        <f>INDEX(Master_Produk!$E$1:$E$16,MATCH(Lembar_Kerja_Analisis!A973,Master_Produk!$A$1:$A$16,0))</f>
        <v>140000</v>
      </c>
      <c r="L973" s="8">
        <v>1</v>
      </c>
      <c r="M973" s="19">
        <f t="shared" si="75"/>
        <v>210000</v>
      </c>
      <c r="N973" s="9">
        <v>0</v>
      </c>
      <c r="O973" s="19">
        <f t="shared" si="76"/>
        <v>0</v>
      </c>
      <c r="P973" s="19">
        <f t="shared" si="77"/>
        <v>210000</v>
      </c>
      <c r="Q973" s="19">
        <f t="shared" si="78"/>
        <v>140000</v>
      </c>
      <c r="R973" s="19">
        <f t="shared" si="79"/>
        <v>70000</v>
      </c>
    </row>
    <row r="974" spans="1:18" x14ac:dyDescent="0.25">
      <c r="A974" t="str">
        <f>_xlfn.XLOOKUP(C974,Raw_Data_Transaksi!$A$1:$A$1001,Raw_Data_Transaksi!$D$1:$D$1001,,0)</f>
        <v>PRD-115</v>
      </c>
      <c r="B974" t="str">
        <f>_xlfn.XLOOKUP(C974,Raw_Data_Transaksi!$A$1:$A$1001,Raw_Data_Transaksi!$C$1:$C$1001,,0)</f>
        <v>SLS-07</v>
      </c>
      <c r="C974" s="6" t="s">
        <v>1058</v>
      </c>
      <c r="D974" s="7">
        <v>45690</v>
      </c>
      <c r="E974" s="10" t="str">
        <f>VLOOKUP(B974,Master_Sales!$A$1:$D$9,2,FALSE)</f>
        <v>Gita Permata</v>
      </c>
      <c r="F974" s="10" t="str">
        <f>INDEX(Master_Sales!$D$1:$D$9,MATCH(Lembar_Kerja_Analisis!B974,Master_Sales!$A$1:$A$9,0))</f>
        <v>Tengah</v>
      </c>
      <c r="G974" s="10" t="str">
        <f>INDEX(Master_Sales!$C$1:$C$9,MATCH(Lembar_Kerja_Analisis!B974,Master_Sales!$A$1:$A$9,0))</f>
        <v>Denpasar</v>
      </c>
      <c r="H974" s="10" t="str">
        <f>VLOOKUP(A974,Master_Produk!$A$1:$E$16,2,FALSE)</f>
        <v>Set Pisau Dapur Stainless</v>
      </c>
      <c r="I974" s="10" t="str">
        <f>INDEX(Master_Produk!$C$1:$C$16,MATCH(Lembar_Kerja_Analisis!A974,Master_Produk!$A$1:$A$16,0))</f>
        <v>Peralatan Rumah</v>
      </c>
      <c r="J974" s="19">
        <f>_xlfn.XLOOKUP(A974,Master_Produk!$A$1:$A$16,Master_Produk!$D$1:$D$16,,0)</f>
        <v>165000</v>
      </c>
      <c r="K974" s="19">
        <f>INDEX(Master_Produk!$E$1:$E$16,MATCH(Lembar_Kerja_Analisis!A974,Master_Produk!$A$1:$A$16,0))</f>
        <v>105000</v>
      </c>
      <c r="L974" s="8">
        <v>6</v>
      </c>
      <c r="M974" s="19">
        <f t="shared" si="75"/>
        <v>990000</v>
      </c>
      <c r="N974" s="9">
        <v>0</v>
      </c>
      <c r="O974" s="19">
        <f t="shared" si="76"/>
        <v>0</v>
      </c>
      <c r="P974" s="19">
        <f t="shared" si="77"/>
        <v>990000</v>
      </c>
      <c r="Q974" s="19">
        <f t="shared" si="78"/>
        <v>630000</v>
      </c>
      <c r="R974" s="19">
        <f t="shared" si="79"/>
        <v>360000</v>
      </c>
    </row>
    <row r="975" spans="1:18" x14ac:dyDescent="0.25">
      <c r="A975" t="str">
        <f>_xlfn.XLOOKUP(C975,Raw_Data_Transaksi!$A$1:$A$1001,Raw_Data_Transaksi!$D$1:$D$1001,,0)</f>
        <v>PRD-102</v>
      </c>
      <c r="B975" t="str">
        <f>_xlfn.XLOOKUP(C975,Raw_Data_Transaksi!$A$1:$A$1001,Raw_Data_Transaksi!$C$1:$C$1001,,0)</f>
        <v>SLS-02</v>
      </c>
      <c r="C975" s="6" t="s">
        <v>1059</v>
      </c>
      <c r="D975" s="7">
        <v>45778</v>
      </c>
      <c r="E975" s="10" t="str">
        <f>VLOOKUP(B975,Master_Sales!$A$1:$D$9,2,FALSE)</f>
        <v>Budi Santoso</v>
      </c>
      <c r="F975" s="10" t="str">
        <f>INDEX(Master_Sales!$D$1:$D$9,MATCH(Lembar_Kerja_Analisis!B975,Master_Sales!$A$1:$A$9,0))</f>
        <v>Timur</v>
      </c>
      <c r="G975" s="10" t="str">
        <f>INDEX(Master_Sales!$C$1:$C$9,MATCH(Lembar_Kerja_Analisis!B975,Master_Sales!$A$1:$A$9,0))</f>
        <v>Surabaya</v>
      </c>
      <c r="H975" s="10" t="str">
        <f>VLOOKUP(A975,Master_Produk!$A$1:$E$16,2,FALSE)</f>
        <v>Wireless Mouse Ergonomic</v>
      </c>
      <c r="I975" s="10" t="str">
        <f>INDEX(Master_Produk!$C$1:$C$16,MATCH(Lembar_Kerja_Analisis!A975,Master_Produk!$A$1:$A$16,0))</f>
        <v>Elektronik</v>
      </c>
      <c r="J975" s="19">
        <f>_xlfn.XLOOKUP(A975,Master_Produk!$A$1:$A$16,Master_Produk!$D$1:$D$16,,0)</f>
        <v>250000</v>
      </c>
      <c r="K975" s="19">
        <f>INDEX(Master_Produk!$E$1:$E$16,MATCH(Lembar_Kerja_Analisis!A975,Master_Produk!$A$1:$A$16,0))</f>
        <v>160000</v>
      </c>
      <c r="L975" s="8">
        <v>9</v>
      </c>
      <c r="M975" s="19">
        <f t="shared" si="75"/>
        <v>2250000</v>
      </c>
      <c r="N975" s="9">
        <v>0.2</v>
      </c>
      <c r="O975" s="19">
        <f t="shared" si="76"/>
        <v>450000</v>
      </c>
      <c r="P975" s="19">
        <f t="shared" si="77"/>
        <v>1800000</v>
      </c>
      <c r="Q975" s="19">
        <f t="shared" si="78"/>
        <v>1440000</v>
      </c>
      <c r="R975" s="19">
        <f t="shared" si="79"/>
        <v>360000</v>
      </c>
    </row>
    <row r="976" spans="1:18" x14ac:dyDescent="0.25">
      <c r="A976" t="str">
        <f>_xlfn.XLOOKUP(C976,Raw_Data_Transaksi!$A$1:$A$1001,Raw_Data_Transaksi!$D$1:$D$1001,,0)</f>
        <v>PRD-110</v>
      </c>
      <c r="B976" t="str">
        <f>_xlfn.XLOOKUP(C976,Raw_Data_Transaksi!$A$1:$A$1001,Raw_Data_Transaksi!$C$1:$C$1001,,0)</f>
        <v>SLS-02</v>
      </c>
      <c r="C976" s="6" t="s">
        <v>1060</v>
      </c>
      <c r="D976" s="7">
        <v>45779</v>
      </c>
      <c r="E976" s="10" t="str">
        <f>VLOOKUP(B976,Master_Sales!$A$1:$D$9,2,FALSE)</f>
        <v>Budi Santoso</v>
      </c>
      <c r="F976" s="10" t="str">
        <f>INDEX(Master_Sales!$D$1:$D$9,MATCH(Lembar_Kerja_Analisis!B976,Master_Sales!$A$1:$A$9,0))</f>
        <v>Timur</v>
      </c>
      <c r="G976" s="10" t="str">
        <f>INDEX(Master_Sales!$C$1:$C$9,MATCH(Lembar_Kerja_Analisis!B976,Master_Sales!$A$1:$A$9,0))</f>
        <v>Surabaya</v>
      </c>
      <c r="H976" s="10" t="str">
        <f>VLOOKUP(A976,Master_Produk!$A$1:$E$16,2,FALSE)</f>
        <v>Minyak Goreng Sawit 2L</v>
      </c>
      <c r="I976" s="10" t="str">
        <f>INDEX(Master_Produk!$C$1:$C$16,MATCH(Lembar_Kerja_Analisis!A976,Master_Produk!$A$1:$A$16,0))</f>
        <v>F&amp;B</v>
      </c>
      <c r="J976" s="19">
        <f>_xlfn.XLOOKUP(A976,Master_Produk!$A$1:$A$16,Master_Produk!$D$1:$D$16,,0)</f>
        <v>36000</v>
      </c>
      <c r="K976" s="19">
        <f>INDEX(Master_Produk!$E$1:$E$16,MATCH(Lembar_Kerja_Analisis!A976,Master_Produk!$A$1:$A$16,0))</f>
        <v>31000</v>
      </c>
      <c r="L976" s="8">
        <v>13</v>
      </c>
      <c r="M976" s="19">
        <f t="shared" si="75"/>
        <v>468000</v>
      </c>
      <c r="N976" s="9">
        <v>0.2</v>
      </c>
      <c r="O976" s="19">
        <f t="shared" si="76"/>
        <v>93600</v>
      </c>
      <c r="P976" s="19">
        <f t="shared" si="77"/>
        <v>374400</v>
      </c>
      <c r="Q976" s="19">
        <f t="shared" si="78"/>
        <v>403000</v>
      </c>
      <c r="R976" s="19">
        <f t="shared" si="79"/>
        <v>-28600</v>
      </c>
    </row>
    <row r="977" spans="1:18" x14ac:dyDescent="0.25">
      <c r="A977" t="str">
        <f>_xlfn.XLOOKUP(C977,Raw_Data_Transaksi!$A$1:$A$1001,Raw_Data_Transaksi!$D$1:$D$1001,,0)</f>
        <v>PRD-104</v>
      </c>
      <c r="B977" t="str">
        <f>_xlfn.XLOOKUP(C977,Raw_Data_Transaksi!$A$1:$A$1001,Raw_Data_Transaksi!$C$1:$C$1001,,0)</f>
        <v>SLS-03</v>
      </c>
      <c r="C977" s="6" t="s">
        <v>1061</v>
      </c>
      <c r="D977" s="7">
        <v>45874</v>
      </c>
      <c r="E977" s="10" t="str">
        <f>VLOOKUP(B977,Master_Sales!$A$1:$D$9,2,FALSE)</f>
        <v>Citra Lestari</v>
      </c>
      <c r="F977" s="10" t="str">
        <f>INDEX(Master_Sales!$D$1:$D$9,MATCH(Lembar_Kerja_Analisis!B977,Master_Sales!$A$1:$A$9,0))</f>
        <v>Barat</v>
      </c>
      <c r="G977" s="10" t="str">
        <f>INDEX(Master_Sales!$C$1:$C$9,MATCH(Lembar_Kerja_Analisis!B977,Master_Sales!$A$1:$A$9,0))</f>
        <v>Bandung</v>
      </c>
      <c r="H977" s="10" t="str">
        <f>VLOOKUP(A977,Master_Produk!$A$1:$E$16,2,FALSE)</f>
        <v>Monitor 24" FHD 144Hz</v>
      </c>
      <c r="I977" s="10" t="str">
        <f>INDEX(Master_Produk!$C$1:$C$16,MATCH(Lembar_Kerja_Analisis!A977,Master_Produk!$A$1:$A$16,0))</f>
        <v>Elektronik</v>
      </c>
      <c r="J977" s="19">
        <f>_xlfn.XLOOKUP(A977,Master_Produk!$A$1:$A$16,Master_Produk!$D$1:$D$16,,0)</f>
        <v>1950000</v>
      </c>
      <c r="K977" s="19">
        <f>INDEX(Master_Produk!$E$1:$E$16,MATCH(Lembar_Kerja_Analisis!A977,Master_Produk!$A$1:$A$16,0))</f>
        <v>1500000</v>
      </c>
      <c r="L977" s="8">
        <v>2</v>
      </c>
      <c r="M977" s="19">
        <f t="shared" si="75"/>
        <v>3900000</v>
      </c>
      <c r="N977" s="9">
        <v>0.05</v>
      </c>
      <c r="O977" s="19">
        <f t="shared" si="76"/>
        <v>195000</v>
      </c>
      <c r="P977" s="19">
        <f t="shared" si="77"/>
        <v>3705000</v>
      </c>
      <c r="Q977" s="19">
        <f t="shared" si="78"/>
        <v>3000000</v>
      </c>
      <c r="R977" s="19">
        <f t="shared" si="79"/>
        <v>705000</v>
      </c>
    </row>
    <row r="978" spans="1:18" x14ac:dyDescent="0.25">
      <c r="A978" t="str">
        <f>_xlfn.XLOOKUP(C978,Raw_Data_Transaksi!$A$1:$A$1001,Raw_Data_Transaksi!$D$1:$D$1001,,0)</f>
        <v>PRD-105</v>
      </c>
      <c r="B978" t="str">
        <f>_xlfn.XLOOKUP(C978,Raw_Data_Transaksi!$A$1:$A$1001,Raw_Data_Transaksi!$C$1:$C$1001,,0)</f>
        <v>SLS-01</v>
      </c>
      <c r="C978" s="6" t="s">
        <v>1062</v>
      </c>
      <c r="D978" s="7">
        <v>45867</v>
      </c>
      <c r="E978" s="10" t="str">
        <f>VLOOKUP(B978,Master_Sales!$A$1:$D$9,2,FALSE)</f>
        <v>Andi Pratama</v>
      </c>
      <c r="F978" s="10" t="str">
        <f>INDEX(Master_Sales!$D$1:$D$9,MATCH(Lembar_Kerja_Analisis!B978,Master_Sales!$A$1:$A$9,0))</f>
        <v>Barat</v>
      </c>
      <c r="G978" s="10" t="str">
        <f>INDEX(Master_Sales!$C$1:$C$9,MATCH(Lembar_Kerja_Analisis!B978,Master_Sales!$A$1:$A$9,0))</f>
        <v>Jakarta</v>
      </c>
      <c r="H978" s="10" t="str">
        <f>VLOOKUP(A978,Master_Produk!$A$1:$E$16,2,FALSE)</f>
        <v>Kemeja Batik Katun Premium</v>
      </c>
      <c r="I978" s="10" t="str">
        <f>INDEX(Master_Produk!$C$1:$C$16,MATCH(Lembar_Kerja_Analisis!A978,Master_Produk!$A$1:$A$16,0))</f>
        <v>Fashion</v>
      </c>
      <c r="J978" s="19">
        <f>_xlfn.XLOOKUP(A978,Master_Produk!$A$1:$A$16,Master_Produk!$D$1:$D$16,,0)</f>
        <v>320000</v>
      </c>
      <c r="K978" s="19">
        <f>INDEX(Master_Produk!$E$1:$E$16,MATCH(Lembar_Kerja_Analisis!A978,Master_Produk!$A$1:$A$16,0))</f>
        <v>190000</v>
      </c>
      <c r="L978" s="8">
        <v>8</v>
      </c>
      <c r="M978" s="19">
        <f t="shared" si="75"/>
        <v>2560000</v>
      </c>
      <c r="N978" s="9">
        <v>0.2</v>
      </c>
      <c r="O978" s="19">
        <f t="shared" si="76"/>
        <v>512000</v>
      </c>
      <c r="P978" s="19">
        <f t="shared" si="77"/>
        <v>2048000</v>
      </c>
      <c r="Q978" s="19">
        <f t="shared" si="78"/>
        <v>1520000</v>
      </c>
      <c r="R978" s="19">
        <f t="shared" si="79"/>
        <v>528000</v>
      </c>
    </row>
    <row r="979" spans="1:18" x14ac:dyDescent="0.25">
      <c r="A979" t="str">
        <f>_xlfn.XLOOKUP(C979,Raw_Data_Transaksi!$A$1:$A$1001,Raw_Data_Transaksi!$D$1:$D$1001,,0)</f>
        <v>PRD-109</v>
      </c>
      <c r="B979" t="str">
        <f>_xlfn.XLOOKUP(C979,Raw_Data_Transaksi!$A$1:$A$1001,Raw_Data_Transaksi!$C$1:$C$1001,,0)</f>
        <v>SLS-07</v>
      </c>
      <c r="C979" s="6" t="s">
        <v>1063</v>
      </c>
      <c r="D979" s="7">
        <v>45820</v>
      </c>
      <c r="E979" s="10" t="str">
        <f>VLOOKUP(B979,Master_Sales!$A$1:$D$9,2,FALSE)</f>
        <v>Gita Permata</v>
      </c>
      <c r="F979" s="10" t="str">
        <f>INDEX(Master_Sales!$D$1:$D$9,MATCH(Lembar_Kerja_Analisis!B979,Master_Sales!$A$1:$A$9,0))</f>
        <v>Tengah</v>
      </c>
      <c r="G979" s="10" t="str">
        <f>INDEX(Master_Sales!$C$1:$C$9,MATCH(Lembar_Kerja_Analisis!B979,Master_Sales!$A$1:$A$9,0))</f>
        <v>Denpasar</v>
      </c>
      <c r="H979" s="10" t="str">
        <f>VLOOKUP(A979,Master_Produk!$A$1:$E$16,2,FALSE)</f>
        <v>Kopi Arabika Gayo 250g</v>
      </c>
      <c r="I979" s="10" t="str">
        <f>INDEX(Master_Produk!$C$1:$C$16,MATCH(Lembar_Kerja_Analisis!A979,Master_Produk!$A$1:$A$16,0))</f>
        <v>F&amp;B</v>
      </c>
      <c r="J979" s="19">
        <f>_xlfn.XLOOKUP(A979,Master_Produk!$A$1:$A$16,Master_Produk!$D$1:$D$16,,0)</f>
        <v>85000</v>
      </c>
      <c r="K979" s="19">
        <f>INDEX(Master_Produk!$E$1:$E$16,MATCH(Lembar_Kerja_Analisis!A979,Master_Produk!$A$1:$A$16,0))</f>
        <v>55000</v>
      </c>
      <c r="L979" s="8">
        <v>24</v>
      </c>
      <c r="M979" s="19">
        <f t="shared" si="75"/>
        <v>2040000</v>
      </c>
      <c r="N979" s="9">
        <v>0.05</v>
      </c>
      <c r="O979" s="19">
        <f t="shared" si="76"/>
        <v>102000</v>
      </c>
      <c r="P979" s="19">
        <f t="shared" si="77"/>
        <v>1938000</v>
      </c>
      <c r="Q979" s="19">
        <f t="shared" si="78"/>
        <v>1320000</v>
      </c>
      <c r="R979" s="19">
        <f t="shared" si="79"/>
        <v>618000</v>
      </c>
    </row>
    <row r="980" spans="1:18" x14ac:dyDescent="0.25">
      <c r="A980" t="str">
        <f>_xlfn.XLOOKUP(C980,Raw_Data_Transaksi!$A$1:$A$1001,Raw_Data_Transaksi!$D$1:$D$1001,,0)</f>
        <v>PRD-112</v>
      </c>
      <c r="B980" t="str">
        <f>_xlfn.XLOOKUP(C980,Raw_Data_Transaksi!$A$1:$A$1001,Raw_Data_Transaksi!$C$1:$C$1001,,0)</f>
        <v>SLS-06</v>
      </c>
      <c r="C980" s="6" t="s">
        <v>1064</v>
      </c>
      <c r="D980" s="7">
        <v>45901</v>
      </c>
      <c r="E980" s="10" t="str">
        <f>VLOOKUP(B980,Master_Sales!$A$1:$D$9,2,FALSE)</f>
        <v>Fajar Nugraha</v>
      </c>
      <c r="F980" s="10" t="str">
        <f>INDEX(Master_Sales!$D$1:$D$9,MATCH(Lembar_Kerja_Analisis!B980,Master_Sales!$A$1:$A$9,0))</f>
        <v>Timur</v>
      </c>
      <c r="G980" s="10" t="str">
        <f>INDEX(Master_Sales!$C$1:$C$9,MATCH(Lembar_Kerja_Analisis!B980,Master_Sales!$A$1:$A$9,0))</f>
        <v>Makassar</v>
      </c>
      <c r="H980" s="10" t="str">
        <f>VLOOKUP(A980,Master_Produk!$A$1:$E$16,2,FALSE)</f>
        <v>Susu UHT Full Cream 1L</v>
      </c>
      <c r="I980" s="10" t="str">
        <f>INDEX(Master_Produk!$C$1:$C$16,MATCH(Lembar_Kerja_Analisis!A980,Master_Produk!$A$1:$A$16,0))</f>
        <v>F&amp;B</v>
      </c>
      <c r="J980" s="19">
        <f>_xlfn.XLOOKUP(A980,Master_Produk!$A$1:$A$16,Master_Produk!$D$1:$D$16,,0)</f>
        <v>22000</v>
      </c>
      <c r="K980" s="19">
        <f>INDEX(Master_Produk!$E$1:$E$16,MATCH(Lembar_Kerja_Analisis!A980,Master_Produk!$A$1:$A$16,0))</f>
        <v>18000</v>
      </c>
      <c r="L980" s="8">
        <v>3</v>
      </c>
      <c r="M980" s="19">
        <f t="shared" si="75"/>
        <v>66000</v>
      </c>
      <c r="N980" s="9">
        <v>0.2</v>
      </c>
      <c r="O980" s="19">
        <f t="shared" si="76"/>
        <v>13200</v>
      </c>
      <c r="P980" s="19">
        <f t="shared" si="77"/>
        <v>52800</v>
      </c>
      <c r="Q980" s="19">
        <f t="shared" si="78"/>
        <v>54000</v>
      </c>
      <c r="R980" s="19">
        <f t="shared" si="79"/>
        <v>-1200</v>
      </c>
    </row>
    <row r="981" spans="1:18" x14ac:dyDescent="0.25">
      <c r="A981" t="str">
        <f>_xlfn.XLOOKUP(C981,Raw_Data_Transaksi!$A$1:$A$1001,Raw_Data_Transaksi!$D$1:$D$1001,,0)</f>
        <v>PRD-115</v>
      </c>
      <c r="B981" t="str">
        <f>_xlfn.XLOOKUP(C981,Raw_Data_Transaksi!$A$1:$A$1001,Raw_Data_Transaksi!$C$1:$C$1001,,0)</f>
        <v>SLS-04</v>
      </c>
      <c r="C981" s="6" t="s">
        <v>1065</v>
      </c>
      <c r="D981" s="7">
        <v>46011</v>
      </c>
      <c r="E981" s="10" t="str">
        <f>VLOOKUP(B981,Master_Sales!$A$1:$D$9,2,FALSE)</f>
        <v>Dewi Anggraini</v>
      </c>
      <c r="F981" s="10" t="str">
        <f>INDEX(Master_Sales!$D$1:$D$9,MATCH(Lembar_Kerja_Analisis!B981,Master_Sales!$A$1:$A$9,0))</f>
        <v>Barat</v>
      </c>
      <c r="G981" s="10" t="str">
        <f>INDEX(Master_Sales!$C$1:$C$9,MATCH(Lembar_Kerja_Analisis!B981,Master_Sales!$A$1:$A$9,0))</f>
        <v>Medan</v>
      </c>
      <c r="H981" s="10" t="str">
        <f>VLOOKUP(A981,Master_Produk!$A$1:$E$16,2,FALSE)</f>
        <v>Set Pisau Dapur Stainless</v>
      </c>
      <c r="I981" s="10" t="str">
        <f>INDEX(Master_Produk!$C$1:$C$16,MATCH(Lembar_Kerja_Analisis!A981,Master_Produk!$A$1:$A$16,0))</f>
        <v>Peralatan Rumah</v>
      </c>
      <c r="J981" s="19">
        <f>_xlfn.XLOOKUP(A981,Master_Produk!$A$1:$A$16,Master_Produk!$D$1:$D$16,,0)</f>
        <v>165000</v>
      </c>
      <c r="K981" s="19">
        <f>INDEX(Master_Produk!$E$1:$E$16,MATCH(Lembar_Kerja_Analisis!A981,Master_Produk!$A$1:$A$16,0))</f>
        <v>105000</v>
      </c>
      <c r="L981" s="8">
        <v>5</v>
      </c>
      <c r="M981" s="19">
        <f t="shared" si="75"/>
        <v>825000</v>
      </c>
      <c r="N981" s="9">
        <v>0.2</v>
      </c>
      <c r="O981" s="19">
        <f t="shared" si="76"/>
        <v>165000</v>
      </c>
      <c r="P981" s="19">
        <f t="shared" si="77"/>
        <v>660000</v>
      </c>
      <c r="Q981" s="19">
        <f t="shared" si="78"/>
        <v>525000</v>
      </c>
      <c r="R981" s="19">
        <f t="shared" si="79"/>
        <v>135000</v>
      </c>
    </row>
    <row r="982" spans="1:18" x14ac:dyDescent="0.25">
      <c r="A982" t="str">
        <f>_xlfn.XLOOKUP(C982,Raw_Data_Transaksi!$A$1:$A$1001,Raw_Data_Transaksi!$D$1:$D$1001,,0)</f>
        <v>PRD-102</v>
      </c>
      <c r="B982" t="str">
        <f>_xlfn.XLOOKUP(C982,Raw_Data_Transaksi!$A$1:$A$1001,Raw_Data_Transaksi!$C$1:$C$1001,,0)</f>
        <v>SLS-04</v>
      </c>
      <c r="C982" s="6" t="s">
        <v>1066</v>
      </c>
      <c r="D982" s="7">
        <v>46008</v>
      </c>
      <c r="E982" s="10" t="str">
        <f>VLOOKUP(B982,Master_Sales!$A$1:$D$9,2,FALSE)</f>
        <v>Dewi Anggraini</v>
      </c>
      <c r="F982" s="10" t="str">
        <f>INDEX(Master_Sales!$D$1:$D$9,MATCH(Lembar_Kerja_Analisis!B982,Master_Sales!$A$1:$A$9,0))</f>
        <v>Barat</v>
      </c>
      <c r="G982" s="10" t="str">
        <f>INDEX(Master_Sales!$C$1:$C$9,MATCH(Lembar_Kerja_Analisis!B982,Master_Sales!$A$1:$A$9,0))</f>
        <v>Medan</v>
      </c>
      <c r="H982" s="10" t="str">
        <f>VLOOKUP(A982,Master_Produk!$A$1:$E$16,2,FALSE)</f>
        <v>Wireless Mouse Ergonomic</v>
      </c>
      <c r="I982" s="10" t="str">
        <f>INDEX(Master_Produk!$C$1:$C$16,MATCH(Lembar_Kerja_Analisis!A982,Master_Produk!$A$1:$A$16,0))</f>
        <v>Elektronik</v>
      </c>
      <c r="J982" s="19">
        <f>_xlfn.XLOOKUP(A982,Master_Produk!$A$1:$A$16,Master_Produk!$D$1:$D$16,,0)</f>
        <v>250000</v>
      </c>
      <c r="K982" s="19">
        <f>INDEX(Master_Produk!$E$1:$E$16,MATCH(Lembar_Kerja_Analisis!A982,Master_Produk!$A$1:$A$16,0))</f>
        <v>160000</v>
      </c>
      <c r="L982" s="8">
        <v>8</v>
      </c>
      <c r="M982" s="19">
        <f t="shared" si="75"/>
        <v>2000000</v>
      </c>
      <c r="N982" s="9">
        <v>0.15</v>
      </c>
      <c r="O982" s="19">
        <f t="shared" si="76"/>
        <v>300000</v>
      </c>
      <c r="P982" s="19">
        <f t="shared" si="77"/>
        <v>1700000</v>
      </c>
      <c r="Q982" s="19">
        <f t="shared" si="78"/>
        <v>1280000</v>
      </c>
      <c r="R982" s="19">
        <f t="shared" si="79"/>
        <v>420000</v>
      </c>
    </row>
    <row r="983" spans="1:18" x14ac:dyDescent="0.25">
      <c r="A983" t="str">
        <f>_xlfn.XLOOKUP(C983,Raw_Data_Transaksi!$A$1:$A$1001,Raw_Data_Transaksi!$D$1:$D$1001,,0)</f>
        <v>PRD-102</v>
      </c>
      <c r="B983" t="str">
        <f>_xlfn.XLOOKUP(C983,Raw_Data_Transaksi!$A$1:$A$1001,Raw_Data_Transaksi!$C$1:$C$1001,,0)</f>
        <v>SLS-04</v>
      </c>
      <c r="C983" s="6" t="s">
        <v>1067</v>
      </c>
      <c r="D983" s="7">
        <v>45812</v>
      </c>
      <c r="E983" s="10" t="str">
        <f>VLOOKUP(B983,Master_Sales!$A$1:$D$9,2,FALSE)</f>
        <v>Dewi Anggraini</v>
      </c>
      <c r="F983" s="10" t="str">
        <f>INDEX(Master_Sales!$D$1:$D$9,MATCH(Lembar_Kerja_Analisis!B983,Master_Sales!$A$1:$A$9,0))</f>
        <v>Barat</v>
      </c>
      <c r="G983" s="10" t="str">
        <f>INDEX(Master_Sales!$C$1:$C$9,MATCH(Lembar_Kerja_Analisis!B983,Master_Sales!$A$1:$A$9,0))</f>
        <v>Medan</v>
      </c>
      <c r="H983" s="10" t="str">
        <f>VLOOKUP(A983,Master_Produk!$A$1:$E$16,2,FALSE)</f>
        <v>Wireless Mouse Ergonomic</v>
      </c>
      <c r="I983" s="10" t="str">
        <f>INDEX(Master_Produk!$C$1:$C$16,MATCH(Lembar_Kerja_Analisis!A983,Master_Produk!$A$1:$A$16,0))</f>
        <v>Elektronik</v>
      </c>
      <c r="J983" s="19">
        <f>_xlfn.XLOOKUP(A983,Master_Produk!$A$1:$A$16,Master_Produk!$D$1:$D$16,,0)</f>
        <v>250000</v>
      </c>
      <c r="K983" s="19">
        <f>INDEX(Master_Produk!$E$1:$E$16,MATCH(Lembar_Kerja_Analisis!A983,Master_Produk!$A$1:$A$16,0))</f>
        <v>160000</v>
      </c>
      <c r="L983" s="8">
        <v>5</v>
      </c>
      <c r="M983" s="19">
        <f t="shared" si="75"/>
        <v>1250000</v>
      </c>
      <c r="N983" s="9">
        <v>0.05</v>
      </c>
      <c r="O983" s="19">
        <f t="shared" si="76"/>
        <v>62500</v>
      </c>
      <c r="P983" s="19">
        <f t="shared" si="77"/>
        <v>1187500</v>
      </c>
      <c r="Q983" s="19">
        <f t="shared" si="78"/>
        <v>800000</v>
      </c>
      <c r="R983" s="19">
        <f t="shared" si="79"/>
        <v>387500</v>
      </c>
    </row>
    <row r="984" spans="1:18" x14ac:dyDescent="0.25">
      <c r="A984" t="str">
        <f>_xlfn.XLOOKUP(C984,Raw_Data_Transaksi!$A$1:$A$1001,Raw_Data_Transaksi!$D$1:$D$1001,,0)</f>
        <v>PRD-107</v>
      </c>
      <c r="B984" t="str">
        <f>_xlfn.XLOOKUP(C984,Raw_Data_Transaksi!$A$1:$A$1001,Raw_Data_Transaksi!$C$1:$C$1001,,0)</f>
        <v>SLS-01</v>
      </c>
      <c r="C984" s="6" t="s">
        <v>1068</v>
      </c>
      <c r="D984" s="7">
        <v>45987</v>
      </c>
      <c r="E984" s="10" t="str">
        <f>VLOOKUP(B984,Master_Sales!$A$1:$D$9,2,FALSE)</f>
        <v>Andi Pratama</v>
      </c>
      <c r="F984" s="10" t="str">
        <f>INDEX(Master_Sales!$D$1:$D$9,MATCH(Lembar_Kerja_Analisis!B984,Master_Sales!$A$1:$A$9,0))</f>
        <v>Barat</v>
      </c>
      <c r="G984" s="10" t="str">
        <f>INDEX(Master_Sales!$C$1:$C$9,MATCH(Lembar_Kerja_Analisis!B984,Master_Sales!$A$1:$A$9,0))</f>
        <v>Jakarta</v>
      </c>
      <c r="H984" s="10" t="str">
        <f>VLOOKUP(A984,Master_Produk!$A$1:$E$16,2,FALSE)</f>
        <v>Jaket Hoodie Casual</v>
      </c>
      <c r="I984" s="10" t="str">
        <f>INDEX(Master_Produk!$C$1:$C$16,MATCH(Lembar_Kerja_Analisis!A984,Master_Produk!$A$1:$A$16,0))</f>
        <v>Fashion</v>
      </c>
      <c r="J984" s="19">
        <f>_xlfn.XLOOKUP(A984,Master_Produk!$A$1:$A$16,Master_Produk!$D$1:$D$16,,0)</f>
        <v>350000</v>
      </c>
      <c r="K984" s="19">
        <f>INDEX(Master_Produk!$E$1:$E$16,MATCH(Lembar_Kerja_Analisis!A984,Master_Produk!$A$1:$A$16,0))</f>
        <v>220000</v>
      </c>
      <c r="L984" s="8">
        <v>5</v>
      </c>
      <c r="M984" s="19">
        <f t="shared" si="75"/>
        <v>1750000</v>
      </c>
      <c r="N984" s="9">
        <v>0</v>
      </c>
      <c r="O984" s="19">
        <f t="shared" si="76"/>
        <v>0</v>
      </c>
      <c r="P984" s="19">
        <f t="shared" si="77"/>
        <v>1750000</v>
      </c>
      <c r="Q984" s="19">
        <f t="shared" si="78"/>
        <v>1100000</v>
      </c>
      <c r="R984" s="19">
        <f t="shared" si="79"/>
        <v>650000</v>
      </c>
    </row>
    <row r="985" spans="1:18" x14ac:dyDescent="0.25">
      <c r="A985" t="str">
        <f>_xlfn.XLOOKUP(C985,Raw_Data_Transaksi!$A$1:$A$1001,Raw_Data_Transaksi!$D$1:$D$1001,,0)</f>
        <v>PRD-112</v>
      </c>
      <c r="B985" t="str">
        <f>_xlfn.XLOOKUP(C985,Raw_Data_Transaksi!$A$1:$A$1001,Raw_Data_Transaksi!$C$1:$C$1001,,0)</f>
        <v>SLS-07</v>
      </c>
      <c r="C985" s="6" t="s">
        <v>1069</v>
      </c>
      <c r="D985" s="7">
        <v>45828</v>
      </c>
      <c r="E985" s="10" t="str">
        <f>VLOOKUP(B985,Master_Sales!$A$1:$D$9,2,FALSE)</f>
        <v>Gita Permata</v>
      </c>
      <c r="F985" s="10" t="str">
        <f>INDEX(Master_Sales!$D$1:$D$9,MATCH(Lembar_Kerja_Analisis!B985,Master_Sales!$A$1:$A$9,0))</f>
        <v>Tengah</v>
      </c>
      <c r="G985" s="10" t="str">
        <f>INDEX(Master_Sales!$C$1:$C$9,MATCH(Lembar_Kerja_Analisis!B985,Master_Sales!$A$1:$A$9,0))</f>
        <v>Denpasar</v>
      </c>
      <c r="H985" s="10" t="str">
        <f>VLOOKUP(A985,Master_Produk!$A$1:$E$16,2,FALSE)</f>
        <v>Susu UHT Full Cream 1L</v>
      </c>
      <c r="I985" s="10" t="str">
        <f>INDEX(Master_Produk!$C$1:$C$16,MATCH(Lembar_Kerja_Analisis!A985,Master_Produk!$A$1:$A$16,0))</f>
        <v>F&amp;B</v>
      </c>
      <c r="J985" s="19">
        <f>_xlfn.XLOOKUP(A985,Master_Produk!$A$1:$A$16,Master_Produk!$D$1:$D$16,,0)</f>
        <v>22000</v>
      </c>
      <c r="K985" s="19">
        <f>INDEX(Master_Produk!$E$1:$E$16,MATCH(Lembar_Kerja_Analisis!A985,Master_Produk!$A$1:$A$16,0))</f>
        <v>18000</v>
      </c>
      <c r="L985" s="8">
        <v>29</v>
      </c>
      <c r="M985" s="19">
        <f t="shared" si="75"/>
        <v>638000</v>
      </c>
      <c r="N985" s="9">
        <v>0.05</v>
      </c>
      <c r="O985" s="19">
        <f t="shared" si="76"/>
        <v>31900</v>
      </c>
      <c r="P985" s="19">
        <f t="shared" si="77"/>
        <v>606100</v>
      </c>
      <c r="Q985" s="19">
        <f t="shared" si="78"/>
        <v>522000</v>
      </c>
      <c r="R985" s="19">
        <f t="shared" si="79"/>
        <v>84100</v>
      </c>
    </row>
    <row r="986" spans="1:18" x14ac:dyDescent="0.25">
      <c r="A986" t="str">
        <f>_xlfn.XLOOKUP(C986,Raw_Data_Transaksi!$A$1:$A$1001,Raw_Data_Transaksi!$D$1:$D$1001,,0)</f>
        <v>PRD-107</v>
      </c>
      <c r="B986" t="str">
        <f>_xlfn.XLOOKUP(C986,Raw_Data_Transaksi!$A$1:$A$1001,Raw_Data_Transaksi!$C$1:$C$1001,,0)</f>
        <v>SLS-06</v>
      </c>
      <c r="C986" s="6" t="s">
        <v>1070</v>
      </c>
      <c r="D986" s="7">
        <v>45838</v>
      </c>
      <c r="E986" s="10" t="str">
        <f>VLOOKUP(B986,Master_Sales!$A$1:$D$9,2,FALSE)</f>
        <v>Fajar Nugraha</v>
      </c>
      <c r="F986" s="10" t="str">
        <f>INDEX(Master_Sales!$D$1:$D$9,MATCH(Lembar_Kerja_Analisis!B986,Master_Sales!$A$1:$A$9,0))</f>
        <v>Timur</v>
      </c>
      <c r="G986" s="10" t="str">
        <f>INDEX(Master_Sales!$C$1:$C$9,MATCH(Lembar_Kerja_Analisis!B986,Master_Sales!$A$1:$A$9,0))</f>
        <v>Makassar</v>
      </c>
      <c r="H986" s="10" t="str">
        <f>VLOOKUP(A986,Master_Produk!$A$1:$E$16,2,FALSE)</f>
        <v>Jaket Hoodie Casual</v>
      </c>
      <c r="I986" s="10" t="str">
        <f>INDEX(Master_Produk!$C$1:$C$16,MATCH(Lembar_Kerja_Analisis!A986,Master_Produk!$A$1:$A$16,0))</f>
        <v>Fashion</v>
      </c>
      <c r="J986" s="19">
        <f>_xlfn.XLOOKUP(A986,Master_Produk!$A$1:$A$16,Master_Produk!$D$1:$D$16,,0)</f>
        <v>350000</v>
      </c>
      <c r="K986" s="19">
        <f>INDEX(Master_Produk!$E$1:$E$16,MATCH(Lembar_Kerja_Analisis!A986,Master_Produk!$A$1:$A$16,0))</f>
        <v>220000</v>
      </c>
      <c r="L986" s="8">
        <v>8</v>
      </c>
      <c r="M986" s="19">
        <f t="shared" si="75"/>
        <v>2800000</v>
      </c>
      <c r="N986" s="9">
        <v>0</v>
      </c>
      <c r="O986" s="19">
        <f t="shared" si="76"/>
        <v>0</v>
      </c>
      <c r="P986" s="19">
        <f t="shared" si="77"/>
        <v>2800000</v>
      </c>
      <c r="Q986" s="19">
        <f t="shared" si="78"/>
        <v>1760000</v>
      </c>
      <c r="R986" s="19">
        <f t="shared" si="79"/>
        <v>1040000</v>
      </c>
    </row>
    <row r="987" spans="1:18" x14ac:dyDescent="0.25">
      <c r="A987" t="str">
        <f>_xlfn.XLOOKUP(C987,Raw_Data_Transaksi!$A$1:$A$1001,Raw_Data_Transaksi!$D$1:$D$1001,,0)</f>
        <v>PRD-108</v>
      </c>
      <c r="B987" t="str">
        <f>_xlfn.XLOOKUP(C987,Raw_Data_Transaksi!$A$1:$A$1001,Raw_Data_Transaksi!$C$1:$C$1001,,0)</f>
        <v>SLS-03</v>
      </c>
      <c r="C987" s="6" t="s">
        <v>1071</v>
      </c>
      <c r="D987" s="7">
        <v>45980</v>
      </c>
      <c r="E987" s="10" t="str">
        <f>VLOOKUP(B987,Master_Sales!$A$1:$D$9,2,FALSE)</f>
        <v>Citra Lestari</v>
      </c>
      <c r="F987" s="10" t="str">
        <f>INDEX(Master_Sales!$D$1:$D$9,MATCH(Lembar_Kerja_Analisis!B987,Master_Sales!$A$1:$A$9,0))</f>
        <v>Barat</v>
      </c>
      <c r="G987" s="10" t="str">
        <f>INDEX(Master_Sales!$C$1:$C$9,MATCH(Lembar_Kerja_Analisis!B987,Master_Sales!$A$1:$A$9,0))</f>
        <v>Bandung</v>
      </c>
      <c r="H987" s="10" t="str">
        <f>VLOOKUP(A987,Master_Produk!$A$1:$E$16,2,FALSE)</f>
        <v>Sepatu Sneakers Pria/Wanita</v>
      </c>
      <c r="I987" s="10" t="str">
        <f>INDEX(Master_Produk!$C$1:$C$16,MATCH(Lembar_Kerja_Analisis!A987,Master_Produk!$A$1:$A$16,0))</f>
        <v>Fashion</v>
      </c>
      <c r="J987" s="19">
        <f>_xlfn.XLOOKUP(A987,Master_Produk!$A$1:$A$16,Master_Produk!$D$1:$D$16,,0)</f>
        <v>450000</v>
      </c>
      <c r="K987" s="19">
        <f>INDEX(Master_Produk!$E$1:$E$16,MATCH(Lembar_Kerja_Analisis!A987,Master_Produk!$A$1:$A$16,0))</f>
        <v>290000</v>
      </c>
      <c r="L987" s="8">
        <v>1</v>
      </c>
      <c r="M987" s="19">
        <f t="shared" si="75"/>
        <v>450000</v>
      </c>
      <c r="N987" s="9">
        <v>0.15</v>
      </c>
      <c r="O987" s="19">
        <f t="shared" si="76"/>
        <v>67500</v>
      </c>
      <c r="P987" s="19">
        <f t="shared" si="77"/>
        <v>382500</v>
      </c>
      <c r="Q987" s="19">
        <f t="shared" si="78"/>
        <v>290000</v>
      </c>
      <c r="R987" s="19">
        <f t="shared" si="79"/>
        <v>92500</v>
      </c>
    </row>
    <row r="988" spans="1:18" x14ac:dyDescent="0.25">
      <c r="A988" t="str">
        <f>_xlfn.XLOOKUP(C988,Raw_Data_Transaksi!$A$1:$A$1001,Raw_Data_Transaksi!$D$1:$D$1001,,0)</f>
        <v>PRD-110</v>
      </c>
      <c r="B988" t="str">
        <f>_xlfn.XLOOKUP(C988,Raw_Data_Transaksi!$A$1:$A$1001,Raw_Data_Transaksi!$C$1:$C$1001,,0)</f>
        <v>SLS-02</v>
      </c>
      <c r="C988" s="6" t="s">
        <v>1072</v>
      </c>
      <c r="D988" s="7">
        <v>45818</v>
      </c>
      <c r="E988" s="10" t="str">
        <f>VLOOKUP(B988,Master_Sales!$A$1:$D$9,2,FALSE)</f>
        <v>Budi Santoso</v>
      </c>
      <c r="F988" s="10" t="str">
        <f>INDEX(Master_Sales!$D$1:$D$9,MATCH(Lembar_Kerja_Analisis!B988,Master_Sales!$A$1:$A$9,0))</f>
        <v>Timur</v>
      </c>
      <c r="G988" s="10" t="str">
        <f>INDEX(Master_Sales!$C$1:$C$9,MATCH(Lembar_Kerja_Analisis!B988,Master_Sales!$A$1:$A$9,0))</f>
        <v>Surabaya</v>
      </c>
      <c r="H988" s="10" t="str">
        <f>VLOOKUP(A988,Master_Produk!$A$1:$E$16,2,FALSE)</f>
        <v>Minyak Goreng Sawit 2L</v>
      </c>
      <c r="I988" s="10" t="str">
        <f>INDEX(Master_Produk!$C$1:$C$16,MATCH(Lembar_Kerja_Analisis!A988,Master_Produk!$A$1:$A$16,0))</f>
        <v>F&amp;B</v>
      </c>
      <c r="J988" s="19">
        <f>_xlfn.XLOOKUP(A988,Master_Produk!$A$1:$A$16,Master_Produk!$D$1:$D$16,,0)</f>
        <v>36000</v>
      </c>
      <c r="K988" s="19">
        <f>INDEX(Master_Produk!$E$1:$E$16,MATCH(Lembar_Kerja_Analisis!A988,Master_Produk!$A$1:$A$16,0))</f>
        <v>31000</v>
      </c>
      <c r="L988" s="8">
        <v>8</v>
      </c>
      <c r="M988" s="19">
        <f t="shared" si="75"/>
        <v>288000</v>
      </c>
      <c r="N988" s="9">
        <v>0.05</v>
      </c>
      <c r="O988" s="19">
        <f t="shared" si="76"/>
        <v>14400</v>
      </c>
      <c r="P988" s="19">
        <f t="shared" si="77"/>
        <v>273600</v>
      </c>
      <c r="Q988" s="19">
        <f t="shared" si="78"/>
        <v>248000</v>
      </c>
      <c r="R988" s="19">
        <f t="shared" si="79"/>
        <v>25600</v>
      </c>
    </row>
    <row r="989" spans="1:18" x14ac:dyDescent="0.25">
      <c r="A989" t="str">
        <f>_xlfn.XLOOKUP(C989,Raw_Data_Transaksi!$A$1:$A$1001,Raw_Data_Transaksi!$D$1:$D$1001,,0)</f>
        <v>PRD-108</v>
      </c>
      <c r="B989" t="str">
        <f>_xlfn.XLOOKUP(C989,Raw_Data_Transaksi!$A$1:$A$1001,Raw_Data_Transaksi!$C$1:$C$1001,,0)</f>
        <v>SLS-08</v>
      </c>
      <c r="C989" s="6" t="s">
        <v>1073</v>
      </c>
      <c r="D989" s="7">
        <v>45821</v>
      </c>
      <c r="E989" s="10" t="str">
        <f>VLOOKUP(B989,Master_Sales!$A$1:$D$9,2,FALSE)</f>
        <v>Hendra Wijaya</v>
      </c>
      <c r="F989" s="10" t="str">
        <f>INDEX(Master_Sales!$D$1:$D$9,MATCH(Lembar_Kerja_Analisis!B989,Master_Sales!$A$1:$A$9,0))</f>
        <v>Tengah</v>
      </c>
      <c r="G989" s="10" t="str">
        <f>INDEX(Master_Sales!$C$1:$C$9,MATCH(Lembar_Kerja_Analisis!B989,Master_Sales!$A$1:$A$9,0))</f>
        <v>Yogyakarta</v>
      </c>
      <c r="H989" s="10" t="str">
        <f>VLOOKUP(A989,Master_Produk!$A$1:$E$16,2,FALSE)</f>
        <v>Sepatu Sneakers Pria/Wanita</v>
      </c>
      <c r="I989" s="10" t="str">
        <f>INDEX(Master_Produk!$C$1:$C$16,MATCH(Lembar_Kerja_Analisis!A989,Master_Produk!$A$1:$A$16,0))</f>
        <v>Fashion</v>
      </c>
      <c r="J989" s="19">
        <f>_xlfn.XLOOKUP(A989,Master_Produk!$A$1:$A$16,Master_Produk!$D$1:$D$16,,0)</f>
        <v>450000</v>
      </c>
      <c r="K989" s="19">
        <f>INDEX(Master_Produk!$E$1:$E$16,MATCH(Lembar_Kerja_Analisis!A989,Master_Produk!$A$1:$A$16,0))</f>
        <v>290000</v>
      </c>
      <c r="L989" s="8">
        <v>12</v>
      </c>
      <c r="M989" s="19">
        <f t="shared" si="75"/>
        <v>5400000</v>
      </c>
      <c r="N989" s="9">
        <v>0.05</v>
      </c>
      <c r="O989" s="19">
        <f t="shared" si="76"/>
        <v>270000</v>
      </c>
      <c r="P989" s="19">
        <f t="shared" si="77"/>
        <v>5130000</v>
      </c>
      <c r="Q989" s="19">
        <f t="shared" si="78"/>
        <v>3480000</v>
      </c>
      <c r="R989" s="19">
        <f t="shared" si="79"/>
        <v>1650000</v>
      </c>
    </row>
    <row r="990" spans="1:18" x14ac:dyDescent="0.25">
      <c r="A990" t="str">
        <f>_xlfn.XLOOKUP(C990,Raw_Data_Transaksi!$A$1:$A$1001,Raw_Data_Transaksi!$D$1:$D$1001,,0)</f>
        <v>PRD-104</v>
      </c>
      <c r="B990" t="str">
        <f>_xlfn.XLOOKUP(C990,Raw_Data_Transaksi!$A$1:$A$1001,Raw_Data_Transaksi!$C$1:$C$1001,,0)</f>
        <v>SLS-02</v>
      </c>
      <c r="C990" s="6" t="s">
        <v>1074</v>
      </c>
      <c r="D990" s="7">
        <v>45802</v>
      </c>
      <c r="E990" s="10" t="str">
        <f>VLOOKUP(B990,Master_Sales!$A$1:$D$9,2,FALSE)</f>
        <v>Budi Santoso</v>
      </c>
      <c r="F990" s="10" t="str">
        <f>INDEX(Master_Sales!$D$1:$D$9,MATCH(Lembar_Kerja_Analisis!B990,Master_Sales!$A$1:$A$9,0))</f>
        <v>Timur</v>
      </c>
      <c r="G990" s="10" t="str">
        <f>INDEX(Master_Sales!$C$1:$C$9,MATCH(Lembar_Kerja_Analisis!B990,Master_Sales!$A$1:$A$9,0))</f>
        <v>Surabaya</v>
      </c>
      <c r="H990" s="10" t="str">
        <f>VLOOKUP(A990,Master_Produk!$A$1:$E$16,2,FALSE)</f>
        <v>Monitor 24" FHD 144Hz</v>
      </c>
      <c r="I990" s="10" t="str">
        <f>INDEX(Master_Produk!$C$1:$C$16,MATCH(Lembar_Kerja_Analisis!A990,Master_Produk!$A$1:$A$16,0))</f>
        <v>Elektronik</v>
      </c>
      <c r="J990" s="19">
        <f>_xlfn.XLOOKUP(A990,Master_Produk!$A$1:$A$16,Master_Produk!$D$1:$D$16,,0)</f>
        <v>1950000</v>
      </c>
      <c r="K990" s="19">
        <f>INDEX(Master_Produk!$E$1:$E$16,MATCH(Lembar_Kerja_Analisis!A990,Master_Produk!$A$1:$A$16,0))</f>
        <v>1500000</v>
      </c>
      <c r="L990" s="8">
        <v>7</v>
      </c>
      <c r="M990" s="19">
        <f t="shared" si="75"/>
        <v>13650000</v>
      </c>
      <c r="N990" s="9">
        <v>0.1</v>
      </c>
      <c r="O990" s="19">
        <f t="shared" si="76"/>
        <v>1365000</v>
      </c>
      <c r="P990" s="19">
        <f t="shared" si="77"/>
        <v>12285000</v>
      </c>
      <c r="Q990" s="19">
        <f t="shared" si="78"/>
        <v>10500000</v>
      </c>
      <c r="R990" s="19">
        <f t="shared" si="79"/>
        <v>1785000</v>
      </c>
    </row>
    <row r="991" spans="1:18" x14ac:dyDescent="0.25">
      <c r="A991" t="str">
        <f>_xlfn.XLOOKUP(C991,Raw_Data_Transaksi!$A$1:$A$1001,Raw_Data_Transaksi!$D$1:$D$1001,,0)</f>
        <v>PRD-104</v>
      </c>
      <c r="B991" t="str">
        <f>_xlfn.XLOOKUP(C991,Raw_Data_Transaksi!$A$1:$A$1001,Raw_Data_Transaksi!$C$1:$C$1001,,0)</f>
        <v>SLS-01</v>
      </c>
      <c r="C991" s="6" t="s">
        <v>1075</v>
      </c>
      <c r="D991" s="7">
        <v>45950</v>
      </c>
      <c r="E991" s="10" t="str">
        <f>VLOOKUP(B991,Master_Sales!$A$1:$D$9,2,FALSE)</f>
        <v>Andi Pratama</v>
      </c>
      <c r="F991" s="10" t="str">
        <f>INDEX(Master_Sales!$D$1:$D$9,MATCH(Lembar_Kerja_Analisis!B991,Master_Sales!$A$1:$A$9,0))</f>
        <v>Barat</v>
      </c>
      <c r="G991" s="10" t="str">
        <f>INDEX(Master_Sales!$C$1:$C$9,MATCH(Lembar_Kerja_Analisis!B991,Master_Sales!$A$1:$A$9,0))</f>
        <v>Jakarta</v>
      </c>
      <c r="H991" s="10" t="str">
        <f>VLOOKUP(A991,Master_Produk!$A$1:$E$16,2,FALSE)</f>
        <v>Monitor 24" FHD 144Hz</v>
      </c>
      <c r="I991" s="10" t="str">
        <f>INDEX(Master_Produk!$C$1:$C$16,MATCH(Lembar_Kerja_Analisis!A991,Master_Produk!$A$1:$A$16,0))</f>
        <v>Elektronik</v>
      </c>
      <c r="J991" s="19">
        <f>_xlfn.XLOOKUP(A991,Master_Produk!$A$1:$A$16,Master_Produk!$D$1:$D$16,,0)</f>
        <v>1950000</v>
      </c>
      <c r="K991" s="19">
        <f>INDEX(Master_Produk!$E$1:$E$16,MATCH(Lembar_Kerja_Analisis!A991,Master_Produk!$A$1:$A$16,0))</f>
        <v>1500000</v>
      </c>
      <c r="L991" s="8">
        <v>1</v>
      </c>
      <c r="M991" s="19">
        <f t="shared" si="75"/>
        <v>1950000</v>
      </c>
      <c r="N991" s="9">
        <v>0.2</v>
      </c>
      <c r="O991" s="19">
        <f t="shared" si="76"/>
        <v>390000</v>
      </c>
      <c r="P991" s="19">
        <f t="shared" si="77"/>
        <v>1560000</v>
      </c>
      <c r="Q991" s="19">
        <f t="shared" si="78"/>
        <v>1500000</v>
      </c>
      <c r="R991" s="19">
        <f t="shared" si="79"/>
        <v>60000</v>
      </c>
    </row>
    <row r="992" spans="1:18" x14ac:dyDescent="0.25">
      <c r="A992" t="str">
        <f>_xlfn.XLOOKUP(C992,Raw_Data_Transaksi!$A$1:$A$1001,Raw_Data_Transaksi!$D$1:$D$1001,,0)</f>
        <v>PRD-105</v>
      </c>
      <c r="B992" t="str">
        <f>_xlfn.XLOOKUP(C992,Raw_Data_Transaksi!$A$1:$A$1001,Raw_Data_Transaksi!$C$1:$C$1001,,0)</f>
        <v>SLS-03</v>
      </c>
      <c r="C992" s="6" t="s">
        <v>1076</v>
      </c>
      <c r="D992" s="7">
        <v>45759</v>
      </c>
      <c r="E992" s="10" t="str">
        <f>VLOOKUP(B992,Master_Sales!$A$1:$D$9,2,FALSE)</f>
        <v>Citra Lestari</v>
      </c>
      <c r="F992" s="10" t="str">
        <f>INDEX(Master_Sales!$D$1:$D$9,MATCH(Lembar_Kerja_Analisis!B992,Master_Sales!$A$1:$A$9,0))</f>
        <v>Barat</v>
      </c>
      <c r="G992" s="10" t="str">
        <f>INDEX(Master_Sales!$C$1:$C$9,MATCH(Lembar_Kerja_Analisis!B992,Master_Sales!$A$1:$A$9,0))</f>
        <v>Bandung</v>
      </c>
      <c r="H992" s="10" t="str">
        <f>VLOOKUP(A992,Master_Produk!$A$1:$E$16,2,FALSE)</f>
        <v>Kemeja Batik Katun Premium</v>
      </c>
      <c r="I992" s="10" t="str">
        <f>INDEX(Master_Produk!$C$1:$C$16,MATCH(Lembar_Kerja_Analisis!A992,Master_Produk!$A$1:$A$16,0))</f>
        <v>Fashion</v>
      </c>
      <c r="J992" s="19">
        <f>_xlfn.XLOOKUP(A992,Master_Produk!$A$1:$A$16,Master_Produk!$D$1:$D$16,,0)</f>
        <v>320000</v>
      </c>
      <c r="K992" s="19">
        <f>INDEX(Master_Produk!$E$1:$E$16,MATCH(Lembar_Kerja_Analisis!A992,Master_Produk!$A$1:$A$16,0))</f>
        <v>190000</v>
      </c>
      <c r="L992" s="8">
        <v>1</v>
      </c>
      <c r="M992" s="19">
        <f t="shared" si="75"/>
        <v>320000</v>
      </c>
      <c r="N992" s="9">
        <v>0.15</v>
      </c>
      <c r="O992" s="19">
        <f t="shared" si="76"/>
        <v>48000</v>
      </c>
      <c r="P992" s="19">
        <f t="shared" si="77"/>
        <v>272000</v>
      </c>
      <c r="Q992" s="19">
        <f t="shared" si="78"/>
        <v>190000</v>
      </c>
      <c r="R992" s="19">
        <f t="shared" si="79"/>
        <v>82000</v>
      </c>
    </row>
    <row r="993" spans="1:18" x14ac:dyDescent="0.25">
      <c r="A993" t="str">
        <f>_xlfn.XLOOKUP(C993,Raw_Data_Transaksi!$A$1:$A$1001,Raw_Data_Transaksi!$D$1:$D$1001,,0)</f>
        <v>PRD-102</v>
      </c>
      <c r="B993" t="str">
        <f>_xlfn.XLOOKUP(C993,Raw_Data_Transaksi!$A$1:$A$1001,Raw_Data_Transaksi!$C$1:$C$1001,,0)</f>
        <v>SLS-06</v>
      </c>
      <c r="C993" s="6" t="s">
        <v>1077</v>
      </c>
      <c r="D993" s="7">
        <v>45734</v>
      </c>
      <c r="E993" s="10" t="str">
        <f>VLOOKUP(B993,Master_Sales!$A$1:$D$9,2,FALSE)</f>
        <v>Fajar Nugraha</v>
      </c>
      <c r="F993" s="10" t="str">
        <f>INDEX(Master_Sales!$D$1:$D$9,MATCH(Lembar_Kerja_Analisis!B993,Master_Sales!$A$1:$A$9,0))</f>
        <v>Timur</v>
      </c>
      <c r="G993" s="10" t="str">
        <f>INDEX(Master_Sales!$C$1:$C$9,MATCH(Lembar_Kerja_Analisis!B993,Master_Sales!$A$1:$A$9,0))</f>
        <v>Makassar</v>
      </c>
      <c r="H993" s="10" t="str">
        <f>VLOOKUP(A993,Master_Produk!$A$1:$E$16,2,FALSE)</f>
        <v>Wireless Mouse Ergonomic</v>
      </c>
      <c r="I993" s="10" t="str">
        <f>INDEX(Master_Produk!$C$1:$C$16,MATCH(Lembar_Kerja_Analisis!A993,Master_Produk!$A$1:$A$16,0))</f>
        <v>Elektronik</v>
      </c>
      <c r="J993" s="19">
        <f>_xlfn.XLOOKUP(A993,Master_Produk!$A$1:$A$16,Master_Produk!$D$1:$D$16,,0)</f>
        <v>250000</v>
      </c>
      <c r="K993" s="19">
        <f>INDEX(Master_Produk!$E$1:$E$16,MATCH(Lembar_Kerja_Analisis!A993,Master_Produk!$A$1:$A$16,0))</f>
        <v>160000</v>
      </c>
      <c r="L993" s="8">
        <v>3</v>
      </c>
      <c r="M993" s="19">
        <f t="shared" si="75"/>
        <v>750000</v>
      </c>
      <c r="N993" s="9">
        <v>0.2</v>
      </c>
      <c r="O993" s="19">
        <f t="shared" si="76"/>
        <v>150000</v>
      </c>
      <c r="P993" s="19">
        <f t="shared" si="77"/>
        <v>600000</v>
      </c>
      <c r="Q993" s="19">
        <f t="shared" si="78"/>
        <v>480000</v>
      </c>
      <c r="R993" s="19">
        <f t="shared" si="79"/>
        <v>120000</v>
      </c>
    </row>
    <row r="994" spans="1:18" x14ac:dyDescent="0.25">
      <c r="A994" t="str">
        <f>_xlfn.XLOOKUP(C994,Raw_Data_Transaksi!$A$1:$A$1001,Raw_Data_Transaksi!$D$1:$D$1001,,0)</f>
        <v>PRD-114</v>
      </c>
      <c r="B994" t="str">
        <f>_xlfn.XLOOKUP(C994,Raw_Data_Transaksi!$A$1:$A$1001,Raw_Data_Transaksi!$C$1:$C$1001,,0)</f>
        <v>SLS-08</v>
      </c>
      <c r="C994" s="6" t="s">
        <v>1078</v>
      </c>
      <c r="D994" s="7">
        <v>45890</v>
      </c>
      <c r="E994" s="10" t="str">
        <f>VLOOKUP(B994,Master_Sales!$A$1:$D$9,2,FALSE)</f>
        <v>Hendra Wijaya</v>
      </c>
      <c r="F994" s="10" t="str">
        <f>INDEX(Master_Sales!$D$1:$D$9,MATCH(Lembar_Kerja_Analisis!B994,Master_Sales!$A$1:$A$9,0))</f>
        <v>Tengah</v>
      </c>
      <c r="G994" s="10" t="str">
        <f>INDEX(Master_Sales!$C$1:$C$9,MATCH(Lembar_Kerja_Analisis!B994,Master_Sales!$A$1:$A$9,0))</f>
        <v>Yogyakarta</v>
      </c>
      <c r="H994" s="10" t="str">
        <f>VLOOKUP(A994,Master_Produk!$A$1:$E$16,2,FALSE)</f>
        <v>Blender Multifungsi 2-in-1</v>
      </c>
      <c r="I994" s="10" t="str">
        <f>INDEX(Master_Produk!$C$1:$C$16,MATCH(Lembar_Kerja_Analisis!A994,Master_Produk!$A$1:$A$16,0))</f>
        <v>Peralatan Rumah</v>
      </c>
      <c r="J994" s="19">
        <f>_xlfn.XLOOKUP(A994,Master_Produk!$A$1:$A$16,Master_Produk!$D$1:$D$16,,0)</f>
        <v>340000</v>
      </c>
      <c r="K994" s="19">
        <f>INDEX(Master_Produk!$E$1:$E$16,MATCH(Lembar_Kerja_Analisis!A994,Master_Produk!$A$1:$A$16,0))</f>
        <v>240000</v>
      </c>
      <c r="L994" s="8">
        <v>2</v>
      </c>
      <c r="M994" s="19">
        <f t="shared" si="75"/>
        <v>680000</v>
      </c>
      <c r="N994" s="9">
        <v>0.05</v>
      </c>
      <c r="O994" s="19">
        <f t="shared" si="76"/>
        <v>34000</v>
      </c>
      <c r="P994" s="19">
        <f t="shared" si="77"/>
        <v>646000</v>
      </c>
      <c r="Q994" s="19">
        <f t="shared" si="78"/>
        <v>480000</v>
      </c>
      <c r="R994" s="19">
        <f t="shared" si="79"/>
        <v>166000</v>
      </c>
    </row>
    <row r="995" spans="1:18" x14ac:dyDescent="0.25">
      <c r="A995" t="str">
        <f>_xlfn.XLOOKUP(C995,Raw_Data_Transaksi!$A$1:$A$1001,Raw_Data_Transaksi!$D$1:$D$1001,,0)</f>
        <v>PRD-112</v>
      </c>
      <c r="B995" t="str">
        <f>_xlfn.XLOOKUP(C995,Raw_Data_Transaksi!$A$1:$A$1001,Raw_Data_Transaksi!$C$1:$C$1001,,0)</f>
        <v>SLS-08</v>
      </c>
      <c r="C995" s="6" t="s">
        <v>1079</v>
      </c>
      <c r="D995" s="7">
        <v>45805</v>
      </c>
      <c r="E995" s="10" t="str">
        <f>VLOOKUP(B995,Master_Sales!$A$1:$D$9,2,FALSE)</f>
        <v>Hendra Wijaya</v>
      </c>
      <c r="F995" s="10" t="str">
        <f>INDEX(Master_Sales!$D$1:$D$9,MATCH(Lembar_Kerja_Analisis!B995,Master_Sales!$A$1:$A$9,0))</f>
        <v>Tengah</v>
      </c>
      <c r="G995" s="10" t="str">
        <f>INDEX(Master_Sales!$C$1:$C$9,MATCH(Lembar_Kerja_Analisis!B995,Master_Sales!$A$1:$A$9,0))</f>
        <v>Yogyakarta</v>
      </c>
      <c r="H995" s="10" t="str">
        <f>VLOOKUP(A995,Master_Produk!$A$1:$E$16,2,FALSE)</f>
        <v>Susu UHT Full Cream 1L</v>
      </c>
      <c r="I995" s="10" t="str">
        <f>INDEX(Master_Produk!$C$1:$C$16,MATCH(Lembar_Kerja_Analisis!A995,Master_Produk!$A$1:$A$16,0))</f>
        <v>F&amp;B</v>
      </c>
      <c r="J995" s="19">
        <f>_xlfn.XLOOKUP(A995,Master_Produk!$A$1:$A$16,Master_Produk!$D$1:$D$16,,0)</f>
        <v>22000</v>
      </c>
      <c r="K995" s="19">
        <f>INDEX(Master_Produk!$E$1:$E$16,MATCH(Lembar_Kerja_Analisis!A995,Master_Produk!$A$1:$A$16,0))</f>
        <v>18000</v>
      </c>
      <c r="L995" s="8">
        <v>7</v>
      </c>
      <c r="M995" s="19">
        <f t="shared" si="75"/>
        <v>154000</v>
      </c>
      <c r="N995" s="9">
        <v>0.15</v>
      </c>
      <c r="O995" s="19">
        <f t="shared" si="76"/>
        <v>23100</v>
      </c>
      <c r="P995" s="19">
        <f t="shared" si="77"/>
        <v>130900</v>
      </c>
      <c r="Q995" s="19">
        <f t="shared" si="78"/>
        <v>126000</v>
      </c>
      <c r="R995" s="19">
        <f t="shared" si="79"/>
        <v>4900</v>
      </c>
    </row>
    <row r="996" spans="1:18" x14ac:dyDescent="0.25">
      <c r="A996" t="str">
        <f>_xlfn.XLOOKUP(C996,Raw_Data_Transaksi!$A$1:$A$1001,Raw_Data_Transaksi!$D$1:$D$1001,,0)</f>
        <v>PRD-112</v>
      </c>
      <c r="B996" t="str">
        <f>_xlfn.XLOOKUP(C996,Raw_Data_Transaksi!$A$1:$A$1001,Raw_Data_Transaksi!$C$1:$C$1001,,0)</f>
        <v>SLS-04</v>
      </c>
      <c r="C996" s="6" t="s">
        <v>1080</v>
      </c>
      <c r="D996" s="7">
        <v>45802</v>
      </c>
      <c r="E996" s="10" t="str">
        <f>VLOOKUP(B996,Master_Sales!$A$1:$D$9,2,FALSE)</f>
        <v>Dewi Anggraini</v>
      </c>
      <c r="F996" s="10" t="str">
        <f>INDEX(Master_Sales!$D$1:$D$9,MATCH(Lembar_Kerja_Analisis!B996,Master_Sales!$A$1:$A$9,0))</f>
        <v>Barat</v>
      </c>
      <c r="G996" s="10" t="str">
        <f>INDEX(Master_Sales!$C$1:$C$9,MATCH(Lembar_Kerja_Analisis!B996,Master_Sales!$A$1:$A$9,0))</f>
        <v>Medan</v>
      </c>
      <c r="H996" s="10" t="str">
        <f>VLOOKUP(A996,Master_Produk!$A$1:$E$16,2,FALSE)</f>
        <v>Susu UHT Full Cream 1L</v>
      </c>
      <c r="I996" s="10" t="str">
        <f>INDEX(Master_Produk!$C$1:$C$16,MATCH(Lembar_Kerja_Analisis!A996,Master_Produk!$A$1:$A$16,0))</f>
        <v>F&amp;B</v>
      </c>
      <c r="J996" s="19">
        <f>_xlfn.XLOOKUP(A996,Master_Produk!$A$1:$A$16,Master_Produk!$D$1:$D$16,,0)</f>
        <v>22000</v>
      </c>
      <c r="K996" s="19">
        <f>INDEX(Master_Produk!$E$1:$E$16,MATCH(Lembar_Kerja_Analisis!A996,Master_Produk!$A$1:$A$16,0))</f>
        <v>18000</v>
      </c>
      <c r="L996" s="8">
        <v>8</v>
      </c>
      <c r="M996" s="19">
        <f t="shared" si="75"/>
        <v>176000</v>
      </c>
      <c r="N996" s="9">
        <v>0.15</v>
      </c>
      <c r="O996" s="19">
        <f t="shared" si="76"/>
        <v>26400</v>
      </c>
      <c r="P996" s="19">
        <f t="shared" si="77"/>
        <v>149600</v>
      </c>
      <c r="Q996" s="19">
        <f t="shared" si="78"/>
        <v>144000</v>
      </c>
      <c r="R996" s="19">
        <f t="shared" si="79"/>
        <v>5600</v>
      </c>
    </row>
    <row r="997" spans="1:18" x14ac:dyDescent="0.25">
      <c r="A997" t="str">
        <f>_xlfn.XLOOKUP(C997,Raw_Data_Transaksi!$A$1:$A$1001,Raw_Data_Transaksi!$D$1:$D$1001,,0)</f>
        <v>PRD-104</v>
      </c>
      <c r="B997" t="str">
        <f>_xlfn.XLOOKUP(C997,Raw_Data_Transaksi!$A$1:$A$1001,Raw_Data_Transaksi!$C$1:$C$1001,,0)</f>
        <v>SLS-08</v>
      </c>
      <c r="C997" s="6" t="s">
        <v>1081</v>
      </c>
      <c r="D997" s="7">
        <v>45792</v>
      </c>
      <c r="E997" s="10" t="str">
        <f>VLOOKUP(B997,Master_Sales!$A$1:$D$9,2,FALSE)</f>
        <v>Hendra Wijaya</v>
      </c>
      <c r="F997" s="10" t="str">
        <f>INDEX(Master_Sales!$D$1:$D$9,MATCH(Lembar_Kerja_Analisis!B997,Master_Sales!$A$1:$A$9,0))</f>
        <v>Tengah</v>
      </c>
      <c r="G997" s="10" t="str">
        <f>INDEX(Master_Sales!$C$1:$C$9,MATCH(Lembar_Kerja_Analisis!B997,Master_Sales!$A$1:$A$9,0))</f>
        <v>Yogyakarta</v>
      </c>
      <c r="H997" s="10" t="str">
        <f>VLOOKUP(A997,Master_Produk!$A$1:$E$16,2,FALSE)</f>
        <v>Monitor 24" FHD 144Hz</v>
      </c>
      <c r="I997" s="10" t="str">
        <f>INDEX(Master_Produk!$C$1:$C$16,MATCH(Lembar_Kerja_Analisis!A997,Master_Produk!$A$1:$A$16,0))</f>
        <v>Elektronik</v>
      </c>
      <c r="J997" s="19">
        <f>_xlfn.XLOOKUP(A997,Master_Produk!$A$1:$A$16,Master_Produk!$D$1:$D$16,,0)</f>
        <v>1950000</v>
      </c>
      <c r="K997" s="19">
        <f>INDEX(Master_Produk!$E$1:$E$16,MATCH(Lembar_Kerja_Analisis!A997,Master_Produk!$A$1:$A$16,0))</f>
        <v>1500000</v>
      </c>
      <c r="L997" s="8">
        <v>4</v>
      </c>
      <c r="M997" s="19">
        <f t="shared" si="75"/>
        <v>7800000</v>
      </c>
      <c r="N997" s="9">
        <v>0.1</v>
      </c>
      <c r="O997" s="19">
        <f t="shared" si="76"/>
        <v>780000</v>
      </c>
      <c r="P997" s="19">
        <f t="shared" si="77"/>
        <v>7020000</v>
      </c>
      <c r="Q997" s="19">
        <f t="shared" si="78"/>
        <v>6000000</v>
      </c>
      <c r="R997" s="19">
        <f t="shared" si="79"/>
        <v>1020000</v>
      </c>
    </row>
    <row r="998" spans="1:18" x14ac:dyDescent="0.25">
      <c r="A998" t="str">
        <f>_xlfn.XLOOKUP(C998,Raw_Data_Transaksi!$A$1:$A$1001,Raw_Data_Transaksi!$D$1:$D$1001,,0)</f>
        <v>PRD-103</v>
      </c>
      <c r="B998" t="str">
        <f>_xlfn.XLOOKUP(C998,Raw_Data_Transaksi!$A$1:$A$1001,Raw_Data_Transaksi!$C$1:$C$1001,,0)</f>
        <v>SLS-06</v>
      </c>
      <c r="C998" s="6" t="s">
        <v>1082</v>
      </c>
      <c r="D998" s="7">
        <v>45898</v>
      </c>
      <c r="E998" s="10" t="str">
        <f>VLOOKUP(B998,Master_Sales!$A$1:$D$9,2,FALSE)</f>
        <v>Fajar Nugraha</v>
      </c>
      <c r="F998" s="10" t="str">
        <f>INDEX(Master_Sales!$D$1:$D$9,MATCH(Lembar_Kerja_Analisis!B998,Master_Sales!$A$1:$A$9,0))</f>
        <v>Timur</v>
      </c>
      <c r="G998" s="10" t="str">
        <f>INDEX(Master_Sales!$C$1:$C$9,MATCH(Lembar_Kerja_Analisis!B998,Master_Sales!$A$1:$A$9,0))</f>
        <v>Makassar</v>
      </c>
      <c r="H998" s="10" t="str">
        <f>VLOOKUP(A998,Master_Produk!$A$1:$E$16,2,FALSE)</f>
        <v>Mechanical Keyboard RGB</v>
      </c>
      <c r="I998" s="10" t="str">
        <f>INDEX(Master_Produk!$C$1:$C$16,MATCH(Lembar_Kerja_Analisis!A998,Master_Produk!$A$1:$A$16,0))</f>
        <v>Elektronik</v>
      </c>
      <c r="J998" s="19">
        <f>_xlfn.XLOOKUP(A998,Master_Produk!$A$1:$A$16,Master_Produk!$D$1:$D$16,,0)</f>
        <v>750000</v>
      </c>
      <c r="K998" s="19">
        <f>INDEX(Master_Produk!$E$1:$E$16,MATCH(Lembar_Kerja_Analisis!A998,Master_Produk!$A$1:$A$16,0))</f>
        <v>520000</v>
      </c>
      <c r="L998" s="8">
        <v>12</v>
      </c>
      <c r="M998" s="19">
        <f t="shared" si="75"/>
        <v>9000000</v>
      </c>
      <c r="N998" s="9">
        <v>0.15</v>
      </c>
      <c r="O998" s="19">
        <f t="shared" si="76"/>
        <v>1350000</v>
      </c>
      <c r="P998" s="19">
        <f t="shared" si="77"/>
        <v>7650000</v>
      </c>
      <c r="Q998" s="19">
        <f t="shared" si="78"/>
        <v>6240000</v>
      </c>
      <c r="R998" s="19">
        <f t="shared" si="79"/>
        <v>1410000</v>
      </c>
    </row>
    <row r="999" spans="1:18" x14ac:dyDescent="0.25">
      <c r="A999" t="str">
        <f>_xlfn.XLOOKUP(C999,Raw_Data_Transaksi!$A$1:$A$1001,Raw_Data_Transaksi!$D$1:$D$1001,,0)</f>
        <v>PRD-107</v>
      </c>
      <c r="B999" t="str">
        <f>_xlfn.XLOOKUP(C999,Raw_Data_Transaksi!$A$1:$A$1001,Raw_Data_Transaksi!$C$1:$C$1001,,0)</f>
        <v>SLS-05</v>
      </c>
      <c r="C999" s="6" t="s">
        <v>1083</v>
      </c>
      <c r="D999" s="7">
        <v>46020</v>
      </c>
      <c r="E999" s="10" t="str">
        <f>VLOOKUP(B999,Master_Sales!$A$1:$D$9,2,FALSE)</f>
        <v>Eko Prasetyo</v>
      </c>
      <c r="F999" s="10" t="str">
        <f>INDEX(Master_Sales!$D$1:$D$9,MATCH(Lembar_Kerja_Analisis!B999,Master_Sales!$A$1:$A$9,0))</f>
        <v>Tengah</v>
      </c>
      <c r="G999" s="10" t="str">
        <f>INDEX(Master_Sales!$C$1:$C$9,MATCH(Lembar_Kerja_Analisis!B999,Master_Sales!$A$1:$A$9,0))</f>
        <v>Semarang</v>
      </c>
      <c r="H999" s="10" t="str">
        <f>VLOOKUP(A999,Master_Produk!$A$1:$E$16,2,FALSE)</f>
        <v>Jaket Hoodie Casual</v>
      </c>
      <c r="I999" s="10" t="str">
        <f>INDEX(Master_Produk!$C$1:$C$16,MATCH(Lembar_Kerja_Analisis!A999,Master_Produk!$A$1:$A$16,0))</f>
        <v>Fashion</v>
      </c>
      <c r="J999" s="19">
        <f>_xlfn.XLOOKUP(A999,Master_Produk!$A$1:$A$16,Master_Produk!$D$1:$D$16,,0)</f>
        <v>350000</v>
      </c>
      <c r="K999" s="19">
        <f>INDEX(Master_Produk!$E$1:$E$16,MATCH(Lembar_Kerja_Analisis!A999,Master_Produk!$A$1:$A$16,0))</f>
        <v>220000</v>
      </c>
      <c r="L999" s="8">
        <v>2</v>
      </c>
      <c r="M999" s="19">
        <f t="shared" si="75"/>
        <v>700000</v>
      </c>
      <c r="N999" s="9">
        <v>0</v>
      </c>
      <c r="O999" s="19">
        <f t="shared" si="76"/>
        <v>0</v>
      </c>
      <c r="P999" s="19">
        <f t="shared" si="77"/>
        <v>700000</v>
      </c>
      <c r="Q999" s="19">
        <f t="shared" si="78"/>
        <v>440000</v>
      </c>
      <c r="R999" s="19">
        <f t="shared" si="79"/>
        <v>260000</v>
      </c>
    </row>
    <row r="1000" spans="1:18" x14ac:dyDescent="0.25">
      <c r="A1000" t="str">
        <f>_xlfn.XLOOKUP(C1000,Raw_Data_Transaksi!$A$1:$A$1001,Raw_Data_Transaksi!$D$1:$D$1001,,0)</f>
        <v>PRD-108</v>
      </c>
      <c r="B1000" t="str">
        <f>_xlfn.XLOOKUP(C1000,Raw_Data_Transaksi!$A$1:$A$1001,Raw_Data_Transaksi!$C$1:$C$1001,,0)</f>
        <v>SLS-06</v>
      </c>
      <c r="C1000" s="6" t="s">
        <v>1084</v>
      </c>
      <c r="D1000" s="7">
        <v>45778</v>
      </c>
      <c r="E1000" s="10" t="str">
        <f>VLOOKUP(B1000,Master_Sales!$A$1:$D$9,2,FALSE)</f>
        <v>Fajar Nugraha</v>
      </c>
      <c r="F1000" s="10" t="str">
        <f>INDEX(Master_Sales!$D$1:$D$9,MATCH(Lembar_Kerja_Analisis!B1000,Master_Sales!$A$1:$A$9,0))</f>
        <v>Timur</v>
      </c>
      <c r="G1000" s="10" t="str">
        <f>INDEX(Master_Sales!$C$1:$C$9,MATCH(Lembar_Kerja_Analisis!B1000,Master_Sales!$A$1:$A$9,0))</f>
        <v>Makassar</v>
      </c>
      <c r="H1000" s="10" t="str">
        <f>VLOOKUP(A1000,Master_Produk!$A$1:$E$16,2,FALSE)</f>
        <v>Sepatu Sneakers Pria/Wanita</v>
      </c>
      <c r="I1000" s="10" t="str">
        <f>INDEX(Master_Produk!$C$1:$C$16,MATCH(Lembar_Kerja_Analisis!A1000,Master_Produk!$A$1:$A$16,0))</f>
        <v>Fashion</v>
      </c>
      <c r="J1000" s="19">
        <f>_xlfn.XLOOKUP(A1000,Master_Produk!$A$1:$A$16,Master_Produk!$D$1:$D$16,,0)</f>
        <v>450000</v>
      </c>
      <c r="K1000" s="19">
        <f>INDEX(Master_Produk!$E$1:$E$16,MATCH(Lembar_Kerja_Analisis!A1000,Master_Produk!$A$1:$A$16,0))</f>
        <v>290000</v>
      </c>
      <c r="L1000" s="8">
        <v>10</v>
      </c>
      <c r="M1000" s="19">
        <f t="shared" si="75"/>
        <v>4500000</v>
      </c>
      <c r="N1000" s="9">
        <v>0.2</v>
      </c>
      <c r="O1000" s="19">
        <f t="shared" si="76"/>
        <v>900000</v>
      </c>
      <c r="P1000" s="19">
        <f t="shared" si="77"/>
        <v>3600000</v>
      </c>
      <c r="Q1000" s="19">
        <f t="shared" si="78"/>
        <v>2900000</v>
      </c>
      <c r="R1000" s="19">
        <f t="shared" si="79"/>
        <v>700000</v>
      </c>
    </row>
    <row r="1001" spans="1:18" x14ac:dyDescent="0.25">
      <c r="A1001" t="str">
        <f>_xlfn.XLOOKUP(C1001,Raw_Data_Transaksi!$A$1:$A$1001,Raw_Data_Transaksi!$D$1:$D$1001,,0)</f>
        <v>PRD-110</v>
      </c>
      <c r="B1001" t="str">
        <f>_xlfn.XLOOKUP(C1001,Raw_Data_Transaksi!$A$1:$A$1001,Raw_Data_Transaksi!$C$1:$C$1001,,0)</f>
        <v>SLS-07</v>
      </c>
      <c r="C1001" s="6" t="s">
        <v>1085</v>
      </c>
      <c r="D1001" s="7">
        <v>45916</v>
      </c>
      <c r="E1001" s="10" t="str">
        <f>VLOOKUP(B1001,Master_Sales!$A$1:$D$9,2,FALSE)</f>
        <v>Gita Permata</v>
      </c>
      <c r="F1001" s="10" t="str">
        <f>INDEX(Master_Sales!$D$1:$D$9,MATCH(Lembar_Kerja_Analisis!B1001,Master_Sales!$A$1:$A$9,0))</f>
        <v>Tengah</v>
      </c>
      <c r="G1001" s="10" t="str">
        <f>INDEX(Master_Sales!$C$1:$C$9,MATCH(Lembar_Kerja_Analisis!B1001,Master_Sales!$A$1:$A$9,0))</f>
        <v>Denpasar</v>
      </c>
      <c r="H1001" s="10" t="str">
        <f>VLOOKUP(A1001,Master_Produk!$A$1:$E$16,2,FALSE)</f>
        <v>Minyak Goreng Sawit 2L</v>
      </c>
      <c r="I1001" s="10" t="str">
        <f>INDEX(Master_Produk!$C$1:$C$16,MATCH(Lembar_Kerja_Analisis!A1001,Master_Produk!$A$1:$A$16,0))</f>
        <v>F&amp;B</v>
      </c>
      <c r="J1001" s="19">
        <f>_xlfn.XLOOKUP(A1001,Master_Produk!$A$1:$A$16,Master_Produk!$D$1:$D$16,,0)</f>
        <v>36000</v>
      </c>
      <c r="K1001" s="19">
        <f>INDEX(Master_Produk!$E$1:$E$16,MATCH(Lembar_Kerja_Analisis!A1001,Master_Produk!$A$1:$A$16,0))</f>
        <v>31000</v>
      </c>
      <c r="L1001" s="8">
        <v>15</v>
      </c>
      <c r="M1001" s="19">
        <f t="shared" si="75"/>
        <v>540000</v>
      </c>
      <c r="N1001" s="9">
        <v>0.1</v>
      </c>
      <c r="O1001" s="19">
        <f t="shared" si="76"/>
        <v>54000</v>
      </c>
      <c r="P1001" s="19">
        <f t="shared" si="77"/>
        <v>486000</v>
      </c>
      <c r="Q1001" s="19">
        <f t="shared" si="78"/>
        <v>465000</v>
      </c>
      <c r="R1001" s="19">
        <f t="shared" si="79"/>
        <v>21000</v>
      </c>
    </row>
  </sheetData>
  <conditionalFormatting sqref="R2:R1001">
    <cfRule type="cellIs" dxfId="3" priority="3" operator="greaterThan">
      <formula>5000000</formula>
    </cfRule>
    <cfRule type="cellIs" dxfId="2" priority="2" operator="lessThan">
      <formula>0</formula>
    </cfRule>
  </conditionalFormatting>
  <conditionalFormatting sqref="P2:P100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{BBA20965-150E-4738-BDFA-E0E5EFF39BB5}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BA20965-150E-4738-BDFA-E0E5EFF39BB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P2:P1001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394E1-CE7C-48FE-AA3B-5430BE05955F}">
  <dimension ref="A3:F15"/>
  <sheetViews>
    <sheetView tabSelected="1" workbookViewId="0">
      <selection activeCell="J3" sqref="J3"/>
    </sheetView>
  </sheetViews>
  <sheetFormatPr defaultRowHeight="15" x14ac:dyDescent="0.25"/>
  <cols>
    <col min="1" max="1" width="18.28515625" bestFit="1" customWidth="1"/>
    <col min="2" max="2" width="14.5703125" bestFit="1" customWidth="1"/>
    <col min="3" max="3" width="20" bestFit="1" customWidth="1"/>
    <col min="4" max="4" width="19.28515625" bestFit="1" customWidth="1"/>
    <col min="5" max="5" width="18.28515625" bestFit="1" customWidth="1"/>
    <col min="6" max="6" width="21.7109375" bestFit="1" customWidth="1"/>
  </cols>
  <sheetData>
    <row r="3" spans="1:6" x14ac:dyDescent="0.25">
      <c r="A3" s="20" t="s">
        <v>1111</v>
      </c>
      <c r="B3" s="20" t="s">
        <v>1109</v>
      </c>
      <c r="C3" t="s">
        <v>1137</v>
      </c>
      <c r="D3" t="s">
        <v>1139</v>
      </c>
      <c r="E3" t="s">
        <v>1138</v>
      </c>
      <c r="F3" s="23" t="s">
        <v>1140</v>
      </c>
    </row>
    <row r="4" spans="1:6" x14ac:dyDescent="0.25">
      <c r="A4" t="s">
        <v>1114</v>
      </c>
      <c r="B4" t="s">
        <v>1112</v>
      </c>
      <c r="C4" s="21">
        <v>394643400</v>
      </c>
      <c r="D4" s="22">
        <v>12.549999999999995</v>
      </c>
      <c r="E4" s="21">
        <v>66443400</v>
      </c>
      <c r="F4" s="23">
        <v>0.16836313492129856</v>
      </c>
    </row>
    <row r="5" spans="1:6" x14ac:dyDescent="0.25">
      <c r="B5" t="s">
        <v>1118</v>
      </c>
      <c r="C5" s="21">
        <v>660508700</v>
      </c>
      <c r="D5" s="22">
        <v>13.499999999999998</v>
      </c>
      <c r="E5" s="21">
        <v>90165700</v>
      </c>
      <c r="F5" s="23">
        <v>0.13650948125285858</v>
      </c>
    </row>
    <row r="6" spans="1:6" x14ac:dyDescent="0.25">
      <c r="B6" t="s">
        <v>1120</v>
      </c>
      <c r="C6" s="21">
        <v>421427200</v>
      </c>
      <c r="D6" s="22">
        <v>11.850000000000001</v>
      </c>
      <c r="E6" s="21">
        <v>43809200</v>
      </c>
      <c r="F6" s="23">
        <v>0.10395437219049933</v>
      </c>
    </row>
    <row r="7" spans="1:6" x14ac:dyDescent="0.25">
      <c r="A7" t="s">
        <v>1141</v>
      </c>
      <c r="C7" s="21">
        <v>1476579300</v>
      </c>
      <c r="D7" s="22">
        <v>37.899999999999991</v>
      </c>
      <c r="E7" s="21">
        <v>200418300</v>
      </c>
      <c r="F7" s="23">
        <v>0.13573148424876333</v>
      </c>
    </row>
    <row r="8" spans="1:6" x14ac:dyDescent="0.25">
      <c r="A8" t="s">
        <v>1124</v>
      </c>
      <c r="B8" t="s">
        <v>1122</v>
      </c>
      <c r="C8" s="21">
        <v>624703450</v>
      </c>
      <c r="D8" s="22">
        <v>13.099999999999996</v>
      </c>
      <c r="E8" s="21">
        <v>82129450</v>
      </c>
      <c r="F8" s="23">
        <v>0.13146949964819307</v>
      </c>
    </row>
    <row r="9" spans="1:6" x14ac:dyDescent="0.25">
      <c r="B9" t="s">
        <v>1127</v>
      </c>
      <c r="C9" s="21">
        <v>818202450</v>
      </c>
      <c r="D9" s="22">
        <v>13.350000000000003</v>
      </c>
      <c r="E9" s="21">
        <v>78706450</v>
      </c>
      <c r="F9" s="23">
        <v>9.6194346521450771E-2</v>
      </c>
    </row>
    <row r="10" spans="1:6" x14ac:dyDescent="0.25">
      <c r="B10" t="s">
        <v>1129</v>
      </c>
      <c r="C10" s="21">
        <v>774059450</v>
      </c>
      <c r="D10" s="22">
        <v>12.5</v>
      </c>
      <c r="E10" s="21">
        <v>87810450</v>
      </c>
      <c r="F10" s="23">
        <v>0.11344148049610402</v>
      </c>
    </row>
    <row r="11" spans="1:6" x14ac:dyDescent="0.25">
      <c r="A11" t="s">
        <v>1142</v>
      </c>
      <c r="C11" s="21">
        <v>2216965350</v>
      </c>
      <c r="D11" s="22">
        <v>38.950000000000003</v>
      </c>
      <c r="E11" s="21">
        <v>248646350</v>
      </c>
      <c r="F11" s="23">
        <v>0.11215617330239284</v>
      </c>
    </row>
    <row r="12" spans="1:6" x14ac:dyDescent="0.25">
      <c r="A12" t="s">
        <v>1117</v>
      </c>
      <c r="B12" t="s">
        <v>1115</v>
      </c>
      <c r="C12" s="21">
        <v>881718300</v>
      </c>
      <c r="D12" s="22">
        <v>14.500000000000005</v>
      </c>
      <c r="E12" s="21">
        <v>96042300</v>
      </c>
      <c r="F12" s="23">
        <v>0.10892628632069902</v>
      </c>
    </row>
    <row r="13" spans="1:6" x14ac:dyDescent="0.25">
      <c r="B13" t="s">
        <v>1125</v>
      </c>
      <c r="C13" s="21">
        <v>804883050</v>
      </c>
      <c r="D13" s="22">
        <v>12.049999999999994</v>
      </c>
      <c r="E13" s="21">
        <v>89000050</v>
      </c>
      <c r="F13" s="23">
        <v>0.11057513262330472</v>
      </c>
    </row>
    <row r="14" spans="1:6" x14ac:dyDescent="0.25">
      <c r="A14" t="s">
        <v>1143</v>
      </c>
      <c r="C14" s="21">
        <v>1686601350</v>
      </c>
      <c r="D14" s="22">
        <v>26.549999999999997</v>
      </c>
      <c r="E14" s="21">
        <v>185042350</v>
      </c>
      <c r="F14" s="23">
        <v>0.10971315183638386</v>
      </c>
    </row>
    <row r="15" spans="1:6" x14ac:dyDescent="0.25">
      <c r="A15" t="s">
        <v>1136</v>
      </c>
      <c r="C15" s="21">
        <v>5380146000</v>
      </c>
      <c r="D15" s="22">
        <v>103.39999999999999</v>
      </c>
      <c r="E15" s="21">
        <v>634107000</v>
      </c>
      <c r="F15" s="23">
        <v>0.11786055620051947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Panduan &amp; Soal Latihan</vt:lpstr>
      <vt:lpstr>Raw_Data_Transaksi</vt:lpstr>
      <vt:lpstr>Master_Produk</vt:lpstr>
      <vt:lpstr>Master_Sales</vt:lpstr>
      <vt:lpstr>Lembar_Kerja_Analisis</vt:lpstr>
      <vt:lpstr>PT_Sales_Performance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Aldy Ngere</cp:lastModifiedBy>
  <dcterms:created xsi:type="dcterms:W3CDTF">2026-10-29T13:45:19Z</dcterms:created>
  <dcterms:modified xsi:type="dcterms:W3CDTF">2026-10-30T08:01:22Z</dcterms:modified>
</cp:coreProperties>
</file>